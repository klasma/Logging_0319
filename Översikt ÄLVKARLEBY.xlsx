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45891</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45891</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45891</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45891</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26681-2025</t>
        </is>
      </c>
      <c r="B7" s="1" t="n">
        <v>45810.42891203704</v>
      </c>
      <c r="C7" s="1" t="n">
        <v>45891</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45891</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45891</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45891</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34798-2024</t>
        </is>
      </c>
      <c r="B11" s="1" t="n">
        <v>45526</v>
      </c>
      <c r="C11" s="1" t="n">
        <v>45891</v>
      </c>
      <c r="D11" t="inlineStr">
        <is>
          <t>UPPSALA LÄN</t>
        </is>
      </c>
      <c r="E11" t="inlineStr">
        <is>
          <t>ÄLVKARLEBY</t>
        </is>
      </c>
      <c r="F11" t="inlineStr">
        <is>
          <t>Bergvik skog väst AB</t>
        </is>
      </c>
      <c r="G11" t="n">
        <v>13.8</v>
      </c>
      <c r="H11" t="n">
        <v>0</v>
      </c>
      <c r="I11" t="n">
        <v>3</v>
      </c>
      <c r="J11" t="n">
        <v>0</v>
      </c>
      <c r="K11" t="n">
        <v>0</v>
      </c>
      <c r="L11" t="n">
        <v>0</v>
      </c>
      <c r="M11" t="n">
        <v>0</v>
      </c>
      <c r="N11" t="n">
        <v>0</v>
      </c>
      <c r="O11" t="n">
        <v>0</v>
      </c>
      <c r="P11" t="n">
        <v>0</v>
      </c>
      <c r="Q11" t="n">
        <v>3</v>
      </c>
      <c r="R11" s="2" t="inlineStr">
        <is>
          <t>Rödgul trumpetsvamp
Tibast
Vätteros</t>
        </is>
      </c>
      <c r="S11">
        <f>HYPERLINK("https://klasma.github.io/Logging_0319/artfynd/A 34798-2024 artfynd.xlsx", "A 34798-2024")</f>
        <v/>
      </c>
      <c r="T11">
        <f>HYPERLINK("https://klasma.github.io/Logging_0319/kartor/A 34798-2024 karta.png", "A 34798-2024")</f>
        <v/>
      </c>
      <c r="V11">
        <f>HYPERLINK("https://klasma.github.io/Logging_0319/klagomål/A 34798-2024 FSC-klagomål.docx", "A 34798-2024")</f>
        <v/>
      </c>
      <c r="W11">
        <f>HYPERLINK("https://klasma.github.io/Logging_0319/klagomålsmail/A 34798-2024 FSC-klagomål mail.docx", "A 34798-2024")</f>
        <v/>
      </c>
      <c r="X11">
        <f>HYPERLINK("https://klasma.github.io/Logging_0319/tillsyn/A 34798-2024 tillsynsbegäran.docx", "A 34798-2024")</f>
        <v/>
      </c>
      <c r="Y11">
        <f>HYPERLINK("https://klasma.github.io/Logging_0319/tillsynsmail/A 34798-2024 tillsynsbegäran mail.docx", "A 34798-2024")</f>
        <v/>
      </c>
    </row>
    <row r="12" ht="15" customHeight="1">
      <c r="A12" t="inlineStr">
        <is>
          <t>A 55547-2024</t>
        </is>
      </c>
      <c r="B12" s="1" t="n">
        <v>45622.5105787037</v>
      </c>
      <c r="C12" s="1" t="n">
        <v>45891</v>
      </c>
      <c r="D12" t="inlineStr">
        <is>
          <t>UPPSALA LÄN</t>
        </is>
      </c>
      <c r="E12" t="inlineStr">
        <is>
          <t>ÄLVKARLEBY</t>
        </is>
      </c>
      <c r="F12" t="inlineStr">
        <is>
          <t>Bergvik skog väst AB</t>
        </is>
      </c>
      <c r="G12" t="n">
        <v>0.9</v>
      </c>
      <c r="H12" t="n">
        <v>2</v>
      </c>
      <c r="I12" t="n">
        <v>1</v>
      </c>
      <c r="J12" t="n">
        <v>0</v>
      </c>
      <c r="K12" t="n">
        <v>1</v>
      </c>
      <c r="L12" t="n">
        <v>0</v>
      </c>
      <c r="M12" t="n">
        <v>0</v>
      </c>
      <c r="N12" t="n">
        <v>0</v>
      </c>
      <c r="O12" t="n">
        <v>1</v>
      </c>
      <c r="P12" t="n">
        <v>1</v>
      </c>
      <c r="Q12" t="n">
        <v>3</v>
      </c>
      <c r="R12" s="2" t="inlineStr">
        <is>
          <t>Knärot
Vedticka
Sparvuggla</t>
        </is>
      </c>
      <c r="S12">
        <f>HYPERLINK("https://klasma.github.io/Logging_0319/artfynd/A 55547-2024 artfynd.xlsx", "A 55547-2024")</f>
        <v/>
      </c>
      <c r="T12">
        <f>HYPERLINK("https://klasma.github.io/Logging_0319/kartor/A 55547-2024 karta.png", "A 55547-2024")</f>
        <v/>
      </c>
      <c r="U12">
        <f>HYPERLINK("https://klasma.github.io/Logging_0319/knärot/A 55547-2024 karta knärot.png", "A 55547-2024")</f>
        <v/>
      </c>
      <c r="V12">
        <f>HYPERLINK("https://klasma.github.io/Logging_0319/klagomål/A 55547-2024 FSC-klagomål.docx", "A 55547-2024")</f>
        <v/>
      </c>
      <c r="W12">
        <f>HYPERLINK("https://klasma.github.io/Logging_0319/klagomålsmail/A 55547-2024 FSC-klagomål mail.docx", "A 55547-2024")</f>
        <v/>
      </c>
      <c r="X12">
        <f>HYPERLINK("https://klasma.github.io/Logging_0319/tillsyn/A 55547-2024 tillsynsbegäran.docx", "A 55547-2024")</f>
        <v/>
      </c>
      <c r="Y12">
        <f>HYPERLINK("https://klasma.github.io/Logging_0319/tillsynsmail/A 55547-2024 tillsynsbegäran mail.docx", "A 55547-2024")</f>
        <v/>
      </c>
      <c r="Z12">
        <f>HYPERLINK("https://klasma.github.io/Logging_0319/fåglar/A 55547-2024 prioriterade fågelarter.docx", "A 55547-2024")</f>
        <v/>
      </c>
    </row>
    <row r="13" ht="15" customHeight="1">
      <c r="A13" t="inlineStr">
        <is>
          <t>A 70017-2021</t>
        </is>
      </c>
      <c r="B13" s="1" t="n">
        <v>44533</v>
      </c>
      <c r="C13" s="1" t="n">
        <v>45891</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55554-2024</t>
        </is>
      </c>
      <c r="B14" s="1" t="n">
        <v>45622</v>
      </c>
      <c r="C14" s="1" t="n">
        <v>45891</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45891</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30484-2025</t>
        </is>
      </c>
      <c r="B16" s="1" t="n">
        <v>45828.75157407407</v>
      </c>
      <c r="C16" s="1" t="n">
        <v>45891</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21007-2025</t>
        </is>
      </c>
      <c r="B17" s="1" t="n">
        <v>45777</v>
      </c>
      <c r="C17" s="1" t="n">
        <v>45891</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45891</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45891</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10455-2022</t>
        </is>
      </c>
      <c r="B20" s="1" t="n">
        <v>44623</v>
      </c>
      <c r="C20" s="1" t="n">
        <v>45891</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66277-2020</t>
        </is>
      </c>
      <c r="B21" s="1" t="n">
        <v>44176</v>
      </c>
      <c r="C21" s="1" t="n">
        <v>45891</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12427-2025</t>
        </is>
      </c>
      <c r="B22" s="1" t="n">
        <v>45730.45799768518</v>
      </c>
      <c r="C22" s="1" t="n">
        <v>45891</v>
      </c>
      <c r="D22" t="inlineStr">
        <is>
          <t>UPPSALA LÄN</t>
        </is>
      </c>
      <c r="E22" t="inlineStr">
        <is>
          <t>ÄLVKARLEBY</t>
        </is>
      </c>
      <c r="F22" t="inlineStr">
        <is>
          <t>Bergvik skog öst AB</t>
        </is>
      </c>
      <c r="G22" t="n">
        <v>9.300000000000001</v>
      </c>
      <c r="H22" t="n">
        <v>1</v>
      </c>
      <c r="I22" t="n">
        <v>1</v>
      </c>
      <c r="J22" t="n">
        <v>0</v>
      </c>
      <c r="K22" t="n">
        <v>0</v>
      </c>
      <c r="L22" t="n">
        <v>0</v>
      </c>
      <c r="M22" t="n">
        <v>0</v>
      </c>
      <c r="N22" t="n">
        <v>0</v>
      </c>
      <c r="O22" t="n">
        <v>0</v>
      </c>
      <c r="P22" t="n">
        <v>0</v>
      </c>
      <c r="Q22" t="n">
        <v>1</v>
      </c>
      <c r="R22" s="2" t="inlineStr">
        <is>
          <t>Guckusko</t>
        </is>
      </c>
      <c r="S22">
        <f>HYPERLINK("https://klasma.github.io/Logging_0319/artfynd/A 12427-2025 artfynd.xlsx", "A 12427-2025")</f>
        <v/>
      </c>
      <c r="T22">
        <f>HYPERLINK("https://klasma.github.io/Logging_0319/kartor/A 12427-2025 karta.png", "A 12427-2025")</f>
        <v/>
      </c>
      <c r="V22">
        <f>HYPERLINK("https://klasma.github.io/Logging_0319/klagomål/A 12427-2025 FSC-klagomål.docx", "A 12427-2025")</f>
        <v/>
      </c>
      <c r="W22">
        <f>HYPERLINK("https://klasma.github.io/Logging_0319/klagomålsmail/A 12427-2025 FSC-klagomål mail.docx", "A 12427-2025")</f>
        <v/>
      </c>
      <c r="X22">
        <f>HYPERLINK("https://klasma.github.io/Logging_0319/tillsyn/A 12427-2025 tillsynsbegäran.docx", "A 12427-2025")</f>
        <v/>
      </c>
      <c r="Y22">
        <f>HYPERLINK("https://klasma.github.io/Logging_0319/tillsynsmail/A 12427-2025 tillsynsbegäran mail.docx", "A 12427-2025")</f>
        <v/>
      </c>
    </row>
    <row r="23" ht="15" customHeight="1">
      <c r="A23" t="inlineStr">
        <is>
          <t>A 19300-2024</t>
        </is>
      </c>
      <c r="B23" s="1" t="n">
        <v>45428.70128472222</v>
      </c>
      <c r="C23" s="1" t="n">
        <v>45891</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9521-2025</t>
        </is>
      </c>
      <c r="B24" s="1" t="n">
        <v>45715.56259259259</v>
      </c>
      <c r="C24" s="1" t="n">
        <v>45891</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21700-2024</t>
        </is>
      </c>
      <c r="B25" s="1" t="n">
        <v>45442</v>
      </c>
      <c r="C25" s="1" t="n">
        <v>45891</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50416-2020</t>
        </is>
      </c>
      <c r="B26" s="1" t="n">
        <v>44110</v>
      </c>
      <c r="C26" s="1" t="n">
        <v>45891</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45891</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45891</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45891</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19740-2025</t>
        </is>
      </c>
      <c r="B30" s="1" t="n">
        <v>45771</v>
      </c>
      <c r="C30" s="1" t="n">
        <v>45891</v>
      </c>
      <c r="D30" t="inlineStr">
        <is>
          <t>UPPSALA LÄN</t>
        </is>
      </c>
      <c r="E30" t="inlineStr">
        <is>
          <t>ÄLVKARLEBY</t>
        </is>
      </c>
      <c r="F30" t="inlineStr">
        <is>
          <t>Bergvik skog väst AB</t>
        </is>
      </c>
      <c r="G30" t="n">
        <v>0.7</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45891</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45891</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14590-2023</t>
        </is>
      </c>
      <c r="B33" s="1" t="n">
        <v>45013.54621527778</v>
      </c>
      <c r="C33" s="1" t="n">
        <v>45891</v>
      </c>
      <c r="D33" t="inlineStr">
        <is>
          <t>UPPSALA LÄN</t>
        </is>
      </c>
      <c r="E33" t="inlineStr">
        <is>
          <t>ÄLVKARLEBY</t>
        </is>
      </c>
      <c r="G33" t="n">
        <v>1.8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45891</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45891</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9533-2025</t>
        </is>
      </c>
      <c r="B36" s="1" t="n">
        <v>45715.57082175926</v>
      </c>
      <c r="C36" s="1" t="n">
        <v>45891</v>
      </c>
      <c r="D36" t="inlineStr">
        <is>
          <t>UPPSALA LÄN</t>
        </is>
      </c>
      <c r="E36" t="inlineStr">
        <is>
          <t>ÄLVKARLEBY</t>
        </is>
      </c>
      <c r="G36" t="n">
        <v>2.1</v>
      </c>
      <c r="H36" t="n">
        <v>0</v>
      </c>
      <c r="I36" t="n">
        <v>0</v>
      </c>
      <c r="J36" t="n">
        <v>0</v>
      </c>
      <c r="K36" t="n">
        <v>0</v>
      </c>
      <c r="L36" t="n">
        <v>0</v>
      </c>
      <c r="M36" t="n">
        <v>0</v>
      </c>
      <c r="N36" t="n">
        <v>0</v>
      </c>
      <c r="O36" t="n">
        <v>0</v>
      </c>
      <c r="P36" t="n">
        <v>0</v>
      </c>
      <c r="Q36" t="n">
        <v>0</v>
      </c>
      <c r="R36" s="2" t="inlineStr"/>
    </row>
    <row r="37" ht="15" customHeight="1">
      <c r="A37" t="inlineStr">
        <is>
          <t>A 19697-2025</t>
        </is>
      </c>
      <c r="B37" s="1" t="n">
        <v>45771</v>
      </c>
      <c r="C37" s="1" t="n">
        <v>45891</v>
      </c>
      <c r="D37" t="inlineStr">
        <is>
          <t>UPPSALA LÄN</t>
        </is>
      </c>
      <c r="E37" t="inlineStr">
        <is>
          <t>ÄLVKARLEBY</t>
        </is>
      </c>
      <c r="F37" t="inlineStr">
        <is>
          <t>Bergvik skog väst AB</t>
        </is>
      </c>
      <c r="G37" t="n">
        <v>3.3</v>
      </c>
      <c r="H37" t="n">
        <v>0</v>
      </c>
      <c r="I37" t="n">
        <v>0</v>
      </c>
      <c r="J37" t="n">
        <v>0</v>
      </c>
      <c r="K37" t="n">
        <v>0</v>
      </c>
      <c r="L37" t="n">
        <v>0</v>
      </c>
      <c r="M37" t="n">
        <v>0</v>
      </c>
      <c r="N37" t="n">
        <v>0</v>
      </c>
      <c r="O37" t="n">
        <v>0</v>
      </c>
      <c r="P37" t="n">
        <v>0</v>
      </c>
      <c r="Q37" t="n">
        <v>0</v>
      </c>
      <c r="R37" s="2" t="inlineStr"/>
    </row>
    <row r="38" ht="15" customHeight="1">
      <c r="A38" t="inlineStr">
        <is>
          <t>A 21012-2025</t>
        </is>
      </c>
      <c r="B38" s="1" t="n">
        <v>45777</v>
      </c>
      <c r="C38" s="1" t="n">
        <v>45891</v>
      </c>
      <c r="D38" t="inlineStr">
        <is>
          <t>UPPSALA LÄN</t>
        </is>
      </c>
      <c r="E38" t="inlineStr">
        <is>
          <t>ÄLVKARLEBY</t>
        </is>
      </c>
      <c r="F38" t="inlineStr">
        <is>
          <t>Bergvik skog väst AB</t>
        </is>
      </c>
      <c r="G38" t="n">
        <v>1.8</v>
      </c>
      <c r="H38" t="n">
        <v>0</v>
      </c>
      <c r="I38" t="n">
        <v>0</v>
      </c>
      <c r="J38" t="n">
        <v>0</v>
      </c>
      <c r="K38" t="n">
        <v>0</v>
      </c>
      <c r="L38" t="n">
        <v>0</v>
      </c>
      <c r="M38" t="n">
        <v>0</v>
      </c>
      <c r="N38" t="n">
        <v>0</v>
      </c>
      <c r="O38" t="n">
        <v>0</v>
      </c>
      <c r="P38" t="n">
        <v>0</v>
      </c>
      <c r="Q38" t="n">
        <v>0</v>
      </c>
      <c r="R38" s="2" t="inlineStr"/>
    </row>
    <row r="39" ht="15" customHeight="1">
      <c r="A39" t="inlineStr">
        <is>
          <t>A 41272-2023</t>
        </is>
      </c>
      <c r="B39" s="1" t="n">
        <v>45174</v>
      </c>
      <c r="C39" s="1" t="n">
        <v>45891</v>
      </c>
      <c r="D39" t="inlineStr">
        <is>
          <t>UPPSALA LÄN</t>
        </is>
      </c>
      <c r="E39" t="inlineStr">
        <is>
          <t>ÄLVKARLEBY</t>
        </is>
      </c>
      <c r="F39" t="inlineStr">
        <is>
          <t>Bergvik skog väst AB</t>
        </is>
      </c>
      <c r="G39" t="n">
        <v>0.9</v>
      </c>
      <c r="H39" t="n">
        <v>0</v>
      </c>
      <c r="I39" t="n">
        <v>0</v>
      </c>
      <c r="J39" t="n">
        <v>0</v>
      </c>
      <c r="K39" t="n">
        <v>0</v>
      </c>
      <c r="L39" t="n">
        <v>0</v>
      </c>
      <c r="M39" t="n">
        <v>0</v>
      </c>
      <c r="N39" t="n">
        <v>0</v>
      </c>
      <c r="O39" t="n">
        <v>0</v>
      </c>
      <c r="P39" t="n">
        <v>0</v>
      </c>
      <c r="Q39" t="n">
        <v>0</v>
      </c>
      <c r="R39" s="2" t="inlineStr"/>
    </row>
    <row r="40" ht="15" customHeight="1">
      <c r="A40" t="inlineStr">
        <is>
          <t>A 38226-2023</t>
        </is>
      </c>
      <c r="B40" s="1" t="n">
        <v>45161</v>
      </c>
      <c r="C40" s="1" t="n">
        <v>45891</v>
      </c>
      <c r="D40" t="inlineStr">
        <is>
          <t>UPPSALA LÄN</t>
        </is>
      </c>
      <c r="E40" t="inlineStr">
        <is>
          <t>ÄLVKARLEBY</t>
        </is>
      </c>
      <c r="F40" t="inlineStr">
        <is>
          <t>Bergvik skog väst AB</t>
        </is>
      </c>
      <c r="G40" t="n">
        <v>4.5</v>
      </c>
      <c r="H40" t="n">
        <v>0</v>
      </c>
      <c r="I40" t="n">
        <v>0</v>
      </c>
      <c r="J40" t="n">
        <v>0</v>
      </c>
      <c r="K40" t="n">
        <v>0</v>
      </c>
      <c r="L40" t="n">
        <v>0</v>
      </c>
      <c r="M40" t="n">
        <v>0</v>
      </c>
      <c r="N40" t="n">
        <v>0</v>
      </c>
      <c r="O40" t="n">
        <v>0</v>
      </c>
      <c r="P40" t="n">
        <v>0</v>
      </c>
      <c r="Q40" t="n">
        <v>0</v>
      </c>
      <c r="R40" s="2" t="inlineStr"/>
    </row>
    <row r="41" ht="15" customHeight="1">
      <c r="A41" t="inlineStr">
        <is>
          <t>A 22223-2025</t>
        </is>
      </c>
      <c r="B41" s="1" t="n">
        <v>45785</v>
      </c>
      <c r="C41" s="1" t="n">
        <v>45891</v>
      </c>
      <c r="D41" t="inlineStr">
        <is>
          <t>UPPSALA LÄN</t>
        </is>
      </c>
      <c r="E41" t="inlineStr">
        <is>
          <t>ÄLVKARLEBY</t>
        </is>
      </c>
      <c r="F41" t="inlineStr">
        <is>
          <t>Bergvik skog väst AB</t>
        </is>
      </c>
      <c r="G41" t="n">
        <v>1.3</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45891</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19304-2024</t>
        </is>
      </c>
      <c r="B43" s="1" t="n">
        <v>45428</v>
      </c>
      <c r="C43" s="1" t="n">
        <v>45891</v>
      </c>
      <c r="D43" t="inlineStr">
        <is>
          <t>UPPSALA LÄN</t>
        </is>
      </c>
      <c r="E43" t="inlineStr">
        <is>
          <t>ÄLVKARLEBY</t>
        </is>
      </c>
      <c r="G43" t="n">
        <v>0.2</v>
      </c>
      <c r="H43" t="n">
        <v>0</v>
      </c>
      <c r="I43" t="n">
        <v>0</v>
      </c>
      <c r="J43" t="n">
        <v>0</v>
      </c>
      <c r="K43" t="n">
        <v>0</v>
      </c>
      <c r="L43" t="n">
        <v>0</v>
      </c>
      <c r="M43" t="n">
        <v>0</v>
      </c>
      <c r="N43" t="n">
        <v>0</v>
      </c>
      <c r="O43" t="n">
        <v>0</v>
      </c>
      <c r="P43" t="n">
        <v>0</v>
      </c>
      <c r="Q43" t="n">
        <v>0</v>
      </c>
      <c r="R43" s="2" t="inlineStr"/>
    </row>
    <row r="44" ht="15" customHeight="1">
      <c r="A44" t="inlineStr">
        <is>
          <t>A 56864-2024</t>
        </is>
      </c>
      <c r="B44" s="1" t="n">
        <v>45628.55212962963</v>
      </c>
      <c r="C44" s="1" t="n">
        <v>45891</v>
      </c>
      <c r="D44" t="inlineStr">
        <is>
          <t>UPPSALA LÄN</t>
        </is>
      </c>
      <c r="E44" t="inlineStr">
        <is>
          <t>ÄLVKARLEBY</t>
        </is>
      </c>
      <c r="F44" t="inlineStr">
        <is>
          <t>Bergvik skog väst AB</t>
        </is>
      </c>
      <c r="G44" t="n">
        <v>11.3</v>
      </c>
      <c r="H44" t="n">
        <v>0</v>
      </c>
      <c r="I44" t="n">
        <v>0</v>
      </c>
      <c r="J44" t="n">
        <v>0</v>
      </c>
      <c r="K44" t="n">
        <v>0</v>
      </c>
      <c r="L44" t="n">
        <v>0</v>
      </c>
      <c r="M44" t="n">
        <v>0</v>
      </c>
      <c r="N44" t="n">
        <v>0</v>
      </c>
      <c r="O44" t="n">
        <v>0</v>
      </c>
      <c r="P44" t="n">
        <v>0</v>
      </c>
      <c r="Q44" t="n">
        <v>0</v>
      </c>
      <c r="R44" s="2" t="inlineStr"/>
    </row>
    <row r="45" ht="15" customHeight="1">
      <c r="A45" t="inlineStr">
        <is>
          <t>A 45372-2024</t>
        </is>
      </c>
      <c r="B45" s="1" t="n">
        <v>45576.51116898148</v>
      </c>
      <c r="C45" s="1" t="n">
        <v>45891</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16990-2022</t>
        </is>
      </c>
      <c r="B46" s="1" t="n">
        <v>44676.6122337963</v>
      </c>
      <c r="C46" s="1" t="n">
        <v>45891</v>
      </c>
      <c r="D46" t="inlineStr">
        <is>
          <t>UPPSALA LÄN</t>
        </is>
      </c>
      <c r="E46" t="inlineStr">
        <is>
          <t>ÄLVKARLEBY</t>
        </is>
      </c>
      <c r="F46" t="inlineStr">
        <is>
          <t>Bergvik skog väst AB</t>
        </is>
      </c>
      <c r="G46" t="n">
        <v>2.6</v>
      </c>
      <c r="H46" t="n">
        <v>0</v>
      </c>
      <c r="I46" t="n">
        <v>0</v>
      </c>
      <c r="J46" t="n">
        <v>0</v>
      </c>
      <c r="K46" t="n">
        <v>0</v>
      </c>
      <c r="L46" t="n">
        <v>0</v>
      </c>
      <c r="M46" t="n">
        <v>0</v>
      </c>
      <c r="N46" t="n">
        <v>0</v>
      </c>
      <c r="O46" t="n">
        <v>0</v>
      </c>
      <c r="P46" t="n">
        <v>0</v>
      </c>
      <c r="Q46" t="n">
        <v>0</v>
      </c>
      <c r="R46" s="2" t="inlineStr"/>
    </row>
    <row r="47" ht="15" customHeight="1">
      <c r="A47" t="inlineStr">
        <is>
          <t>A 24593-2025</t>
        </is>
      </c>
      <c r="B47" s="1" t="n">
        <v>45798</v>
      </c>
      <c r="C47" s="1" t="n">
        <v>45891</v>
      </c>
      <c r="D47" t="inlineStr">
        <is>
          <t>UPPSALA LÄN</t>
        </is>
      </c>
      <c r="E47" t="inlineStr">
        <is>
          <t>ÄLVKARLEBY</t>
        </is>
      </c>
      <c r="F47" t="inlineStr">
        <is>
          <t>Bergvik skog väst AB</t>
        </is>
      </c>
      <c r="G47" t="n">
        <v>0.6</v>
      </c>
      <c r="H47" t="n">
        <v>0</v>
      </c>
      <c r="I47" t="n">
        <v>0</v>
      </c>
      <c r="J47" t="n">
        <v>0</v>
      </c>
      <c r="K47" t="n">
        <v>0</v>
      </c>
      <c r="L47" t="n">
        <v>0</v>
      </c>
      <c r="M47" t="n">
        <v>0</v>
      </c>
      <c r="N47" t="n">
        <v>0</v>
      </c>
      <c r="O47" t="n">
        <v>0</v>
      </c>
      <c r="P47" t="n">
        <v>0</v>
      </c>
      <c r="Q47" t="n">
        <v>0</v>
      </c>
      <c r="R47" s="2" t="inlineStr"/>
    </row>
    <row r="48" ht="15" customHeight="1">
      <c r="A48" t="inlineStr">
        <is>
          <t>A 24591-2025</t>
        </is>
      </c>
      <c r="B48" s="1" t="n">
        <v>45798.53666666667</v>
      </c>
      <c r="C48" s="1" t="n">
        <v>45891</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24592-2025</t>
        </is>
      </c>
      <c r="B49" s="1" t="n">
        <v>45798.54337962963</v>
      </c>
      <c r="C49" s="1" t="n">
        <v>45891</v>
      </c>
      <c r="D49" t="inlineStr">
        <is>
          <t>UPPSALA LÄN</t>
        </is>
      </c>
      <c r="E49" t="inlineStr">
        <is>
          <t>ÄLVKARLEBY</t>
        </is>
      </c>
      <c r="F49" t="inlineStr">
        <is>
          <t>Bergvik skog väst AB</t>
        </is>
      </c>
      <c r="G49" t="n">
        <v>2.5</v>
      </c>
      <c r="H49" t="n">
        <v>0</v>
      </c>
      <c r="I49" t="n">
        <v>0</v>
      </c>
      <c r="J49" t="n">
        <v>0</v>
      </c>
      <c r="K49" t="n">
        <v>0</v>
      </c>
      <c r="L49" t="n">
        <v>0</v>
      </c>
      <c r="M49" t="n">
        <v>0</v>
      </c>
      <c r="N49" t="n">
        <v>0</v>
      </c>
      <c r="O49" t="n">
        <v>0</v>
      </c>
      <c r="P49" t="n">
        <v>0</v>
      </c>
      <c r="Q49" t="n">
        <v>0</v>
      </c>
      <c r="R49" s="2" t="inlineStr"/>
    </row>
    <row r="50" ht="15" customHeight="1">
      <c r="A50" t="inlineStr">
        <is>
          <t>A 25330-2025</t>
        </is>
      </c>
      <c r="B50" s="1" t="n">
        <v>45800.59114583334</v>
      </c>
      <c r="C50" s="1" t="n">
        <v>45891</v>
      </c>
      <c r="D50" t="inlineStr">
        <is>
          <t>UPPSALA LÄN</t>
        </is>
      </c>
      <c r="E50" t="inlineStr">
        <is>
          <t>ÄLVKARLEBY</t>
        </is>
      </c>
      <c r="F50" t="inlineStr">
        <is>
          <t>Bergvik skog väst AB</t>
        </is>
      </c>
      <c r="G50" t="n">
        <v>5</v>
      </c>
      <c r="H50" t="n">
        <v>0</v>
      </c>
      <c r="I50" t="n">
        <v>0</v>
      </c>
      <c r="J50" t="n">
        <v>0</v>
      </c>
      <c r="K50" t="n">
        <v>0</v>
      </c>
      <c r="L50" t="n">
        <v>0</v>
      </c>
      <c r="M50" t="n">
        <v>0</v>
      </c>
      <c r="N50" t="n">
        <v>0</v>
      </c>
      <c r="O50" t="n">
        <v>0</v>
      </c>
      <c r="P50" t="n">
        <v>0</v>
      </c>
      <c r="Q50" t="n">
        <v>0</v>
      </c>
      <c r="R50" s="2" t="inlineStr"/>
    </row>
    <row r="51" ht="15" customHeight="1">
      <c r="A51" t="inlineStr">
        <is>
          <t>A 25264-2025</t>
        </is>
      </c>
      <c r="B51" s="1" t="n">
        <v>45800.5334375</v>
      </c>
      <c r="C51" s="1" t="n">
        <v>45891</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11553-2021</t>
        </is>
      </c>
      <c r="B52" s="1" t="n">
        <v>44264.48725694444</v>
      </c>
      <c r="C52" s="1" t="n">
        <v>45891</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43285-2023</t>
        </is>
      </c>
      <c r="B53" s="1" t="n">
        <v>45183.5630787037</v>
      </c>
      <c r="C53" s="1" t="n">
        <v>45891</v>
      </c>
      <c r="D53" t="inlineStr">
        <is>
          <t>UPPSALA LÄN</t>
        </is>
      </c>
      <c r="E53" t="inlineStr">
        <is>
          <t>ÄLVKARLEBY</t>
        </is>
      </c>
      <c r="F53" t="inlineStr">
        <is>
          <t>Bergvik skog väst AB</t>
        </is>
      </c>
      <c r="G53" t="n">
        <v>1.3</v>
      </c>
      <c r="H53" t="n">
        <v>0</v>
      </c>
      <c r="I53" t="n">
        <v>0</v>
      </c>
      <c r="J53" t="n">
        <v>0</v>
      </c>
      <c r="K53" t="n">
        <v>0</v>
      </c>
      <c r="L53" t="n">
        <v>0</v>
      </c>
      <c r="M53" t="n">
        <v>0</v>
      </c>
      <c r="N53" t="n">
        <v>0</v>
      </c>
      <c r="O53" t="n">
        <v>0</v>
      </c>
      <c r="P53" t="n">
        <v>0</v>
      </c>
      <c r="Q53" t="n">
        <v>0</v>
      </c>
      <c r="R53" s="2" t="inlineStr"/>
    </row>
    <row r="54" ht="15" customHeight="1">
      <c r="A54" t="inlineStr">
        <is>
          <t>A 3950-2025</t>
        </is>
      </c>
      <c r="B54" s="1" t="n">
        <v>45684</v>
      </c>
      <c r="C54" s="1" t="n">
        <v>45891</v>
      </c>
      <c r="D54" t="inlineStr">
        <is>
          <t>UPPSALA LÄN</t>
        </is>
      </c>
      <c r="E54" t="inlineStr">
        <is>
          <t>ÄLVKARLEBY</t>
        </is>
      </c>
      <c r="G54" t="n">
        <v>3.1</v>
      </c>
      <c r="H54" t="n">
        <v>0</v>
      </c>
      <c r="I54" t="n">
        <v>0</v>
      </c>
      <c r="J54" t="n">
        <v>0</v>
      </c>
      <c r="K54" t="n">
        <v>0</v>
      </c>
      <c r="L54" t="n">
        <v>0</v>
      </c>
      <c r="M54" t="n">
        <v>0</v>
      </c>
      <c r="N54" t="n">
        <v>0</v>
      </c>
      <c r="O54" t="n">
        <v>0</v>
      </c>
      <c r="P54" t="n">
        <v>0</v>
      </c>
      <c r="Q54" t="n">
        <v>0</v>
      </c>
      <c r="R54" s="2" t="inlineStr"/>
    </row>
    <row r="55" ht="15" customHeight="1">
      <c r="A55" t="inlineStr">
        <is>
          <t>A 26664-2025</t>
        </is>
      </c>
      <c r="B55" s="1" t="n">
        <v>45810</v>
      </c>
      <c r="C55" s="1" t="n">
        <v>45891</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15739-2025</t>
        </is>
      </c>
      <c r="B56" s="1" t="n">
        <v>45748.54612268518</v>
      </c>
      <c r="C56" s="1" t="n">
        <v>45891</v>
      </c>
      <c r="D56" t="inlineStr">
        <is>
          <t>UPPSALA LÄN</t>
        </is>
      </c>
      <c r="E56" t="inlineStr">
        <is>
          <t>ÄLVKARLEBY</t>
        </is>
      </c>
      <c r="F56" t="inlineStr">
        <is>
          <t>Kyrkan</t>
        </is>
      </c>
      <c r="G56" t="n">
        <v>2.4</v>
      </c>
      <c r="H56" t="n">
        <v>0</v>
      </c>
      <c r="I56" t="n">
        <v>0</v>
      </c>
      <c r="J56" t="n">
        <v>0</v>
      </c>
      <c r="K56" t="n">
        <v>0</v>
      </c>
      <c r="L56" t="n">
        <v>0</v>
      </c>
      <c r="M56" t="n">
        <v>0</v>
      </c>
      <c r="N56" t="n">
        <v>0</v>
      </c>
      <c r="O56" t="n">
        <v>0</v>
      </c>
      <c r="P56" t="n">
        <v>0</v>
      </c>
      <c r="Q56" t="n">
        <v>0</v>
      </c>
      <c r="R56" s="2" t="inlineStr"/>
    </row>
    <row r="57" ht="15" customHeight="1">
      <c r="A57" t="inlineStr">
        <is>
          <t>A 26670-2025</t>
        </is>
      </c>
      <c r="B57" s="1" t="n">
        <v>45810.41489583333</v>
      </c>
      <c r="C57" s="1" t="n">
        <v>45891</v>
      </c>
      <c r="D57" t="inlineStr">
        <is>
          <t>UPPSALA LÄN</t>
        </is>
      </c>
      <c r="E57" t="inlineStr">
        <is>
          <t>ÄLVKARLEBY</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26668-2025</t>
        </is>
      </c>
      <c r="B58" s="1" t="n">
        <v>45810.41017361111</v>
      </c>
      <c r="C58" s="1" t="n">
        <v>45891</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8030-2025</t>
        </is>
      </c>
      <c r="B59" s="1" t="n">
        <v>45707.59064814815</v>
      </c>
      <c r="C59" s="1" t="n">
        <v>45891</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27330-2025</t>
        </is>
      </c>
      <c r="B60" s="1" t="n">
        <v>45812.60934027778</v>
      </c>
      <c r="C60" s="1" t="n">
        <v>45891</v>
      </c>
      <c r="D60" t="inlineStr">
        <is>
          <t>UPPSALA LÄN</t>
        </is>
      </c>
      <c r="E60" t="inlineStr">
        <is>
          <t>ÄLVKARLEBY</t>
        </is>
      </c>
      <c r="F60" t="inlineStr">
        <is>
          <t>Bergvik skog väst AB</t>
        </is>
      </c>
      <c r="G60" t="n">
        <v>0.5</v>
      </c>
      <c r="H60" t="n">
        <v>0</v>
      </c>
      <c r="I60" t="n">
        <v>0</v>
      </c>
      <c r="J60" t="n">
        <v>0</v>
      </c>
      <c r="K60" t="n">
        <v>0</v>
      </c>
      <c r="L60" t="n">
        <v>0</v>
      </c>
      <c r="M60" t="n">
        <v>0</v>
      </c>
      <c r="N60" t="n">
        <v>0</v>
      </c>
      <c r="O60" t="n">
        <v>0</v>
      </c>
      <c r="P60" t="n">
        <v>0</v>
      </c>
      <c r="Q60" t="n">
        <v>0</v>
      </c>
      <c r="R60" s="2" t="inlineStr"/>
    </row>
    <row r="61" ht="15" customHeight="1">
      <c r="A61" t="inlineStr">
        <is>
          <t>A 27743-2025</t>
        </is>
      </c>
      <c r="B61" s="1" t="n">
        <v>45815.53981481482</v>
      </c>
      <c r="C61" s="1" t="n">
        <v>45891</v>
      </c>
      <c r="D61" t="inlineStr">
        <is>
          <t>UPPSALA LÄN</t>
        </is>
      </c>
      <c r="E61" t="inlineStr">
        <is>
          <t>ÄLVKARLEBY</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27742-2025</t>
        </is>
      </c>
      <c r="B62" s="1" t="n">
        <v>45815.53724537037</v>
      </c>
      <c r="C62" s="1" t="n">
        <v>45891</v>
      </c>
      <c r="D62" t="inlineStr">
        <is>
          <t>UPPSALA LÄN</t>
        </is>
      </c>
      <c r="E62" t="inlineStr">
        <is>
          <t>ÄLVKARLEBY</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27741-2025</t>
        </is>
      </c>
      <c r="B63" s="1" t="n">
        <v>45815.5346875</v>
      </c>
      <c r="C63" s="1" t="n">
        <v>45891</v>
      </c>
      <c r="D63" t="inlineStr">
        <is>
          <t>UPPSALA LÄN</t>
        </is>
      </c>
      <c r="E63" t="inlineStr">
        <is>
          <t>ÄLVKARLEBY</t>
        </is>
      </c>
      <c r="F63" t="inlineStr">
        <is>
          <t>Bergvik skog väst AB</t>
        </is>
      </c>
      <c r="G63" t="n">
        <v>4.4</v>
      </c>
      <c r="H63" t="n">
        <v>0</v>
      </c>
      <c r="I63" t="n">
        <v>0</v>
      </c>
      <c r="J63" t="n">
        <v>0</v>
      </c>
      <c r="K63" t="n">
        <v>0</v>
      </c>
      <c r="L63" t="n">
        <v>0</v>
      </c>
      <c r="M63" t="n">
        <v>0</v>
      </c>
      <c r="N63" t="n">
        <v>0</v>
      </c>
      <c r="O63" t="n">
        <v>0</v>
      </c>
      <c r="P63" t="n">
        <v>0</v>
      </c>
      <c r="Q63" t="n">
        <v>0</v>
      </c>
      <c r="R63" s="2" t="inlineStr"/>
    </row>
    <row r="64" ht="15" customHeight="1">
      <c r="A64" t="inlineStr">
        <is>
          <t>A 28670-2025</t>
        </is>
      </c>
      <c r="B64" s="1" t="n">
        <v>45819.67130787037</v>
      </c>
      <c r="C64" s="1" t="n">
        <v>45891</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19703-2025</t>
        </is>
      </c>
      <c r="B65" s="1" t="n">
        <v>45771</v>
      </c>
      <c r="C65" s="1" t="n">
        <v>45891</v>
      </c>
      <c r="D65" t="inlineStr">
        <is>
          <t>UPPSALA LÄN</t>
        </is>
      </c>
      <c r="E65" t="inlineStr">
        <is>
          <t>ÄLVKARLEBY</t>
        </is>
      </c>
      <c r="F65" t="inlineStr">
        <is>
          <t>Bergvik skog väst AB</t>
        </is>
      </c>
      <c r="G65" t="n">
        <v>3.8</v>
      </c>
      <c r="H65" t="n">
        <v>0</v>
      </c>
      <c r="I65" t="n">
        <v>0</v>
      </c>
      <c r="J65" t="n">
        <v>0</v>
      </c>
      <c r="K65" t="n">
        <v>0</v>
      </c>
      <c r="L65" t="n">
        <v>0</v>
      </c>
      <c r="M65" t="n">
        <v>0</v>
      </c>
      <c r="N65" t="n">
        <v>0</v>
      </c>
      <c r="O65" t="n">
        <v>0</v>
      </c>
      <c r="P65" t="n">
        <v>0</v>
      </c>
      <c r="Q65" t="n">
        <v>0</v>
      </c>
      <c r="R65" s="2" t="inlineStr"/>
    </row>
    <row r="66" ht="15" customHeight="1">
      <c r="A66" t="inlineStr">
        <is>
          <t>A 28668-2025</t>
        </is>
      </c>
      <c r="B66" s="1" t="n">
        <v>45819.66650462963</v>
      </c>
      <c r="C66" s="1" t="n">
        <v>45891</v>
      </c>
      <c r="D66" t="inlineStr">
        <is>
          <t>UPPSALA LÄN</t>
        </is>
      </c>
      <c r="E66" t="inlineStr">
        <is>
          <t>ÄLVKARLEBY</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46113-2023</t>
        </is>
      </c>
      <c r="B67" s="1" t="n">
        <v>45196.54938657407</v>
      </c>
      <c r="C67" s="1" t="n">
        <v>45891</v>
      </c>
      <c r="D67" t="inlineStr">
        <is>
          <t>UPPSALA LÄN</t>
        </is>
      </c>
      <c r="E67" t="inlineStr">
        <is>
          <t>ÄLVKARLEBY</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967-2021</t>
        </is>
      </c>
      <c r="B68" s="1" t="n">
        <v>44207</v>
      </c>
      <c r="C68" s="1" t="n">
        <v>45891</v>
      </c>
      <c r="D68" t="inlineStr">
        <is>
          <t>UPPSALA LÄN</t>
        </is>
      </c>
      <c r="E68" t="inlineStr">
        <is>
          <t>ÄLVKARLEBY</t>
        </is>
      </c>
      <c r="G68" t="n">
        <v>0.7</v>
      </c>
      <c r="H68" t="n">
        <v>0</v>
      </c>
      <c r="I68" t="n">
        <v>0</v>
      </c>
      <c r="J68" t="n">
        <v>0</v>
      </c>
      <c r="K68" t="n">
        <v>0</v>
      </c>
      <c r="L68" t="n">
        <v>0</v>
      </c>
      <c r="M68" t="n">
        <v>0</v>
      </c>
      <c r="N68" t="n">
        <v>0</v>
      </c>
      <c r="O68" t="n">
        <v>0</v>
      </c>
      <c r="P68" t="n">
        <v>0</v>
      </c>
      <c r="Q68" t="n">
        <v>0</v>
      </c>
      <c r="R68" s="2" t="inlineStr"/>
    </row>
    <row r="69" ht="15" customHeight="1">
      <c r="A69" t="inlineStr">
        <is>
          <t>A 50409-2020</t>
        </is>
      </c>
      <c r="B69" s="1" t="n">
        <v>44110</v>
      </c>
      <c r="C69" s="1" t="n">
        <v>45891</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14004-2025</t>
        </is>
      </c>
      <c r="B70" s="1" t="n">
        <v>45740.2997337963</v>
      </c>
      <c r="C70" s="1" t="n">
        <v>45891</v>
      </c>
      <c r="D70" t="inlineStr">
        <is>
          <t>UPPSALA LÄN</t>
        </is>
      </c>
      <c r="E70" t="inlineStr">
        <is>
          <t>ÄLVKARLEBY</t>
        </is>
      </c>
      <c r="F70" t="inlineStr">
        <is>
          <t>Bergvik skog öst AB</t>
        </is>
      </c>
      <c r="G70" t="n">
        <v>10.1</v>
      </c>
      <c r="H70" t="n">
        <v>0</v>
      </c>
      <c r="I70" t="n">
        <v>0</v>
      </c>
      <c r="J70" t="n">
        <v>0</v>
      </c>
      <c r="K70" t="n">
        <v>0</v>
      </c>
      <c r="L70" t="n">
        <v>0</v>
      </c>
      <c r="M70" t="n">
        <v>0</v>
      </c>
      <c r="N70" t="n">
        <v>0</v>
      </c>
      <c r="O70" t="n">
        <v>0</v>
      </c>
      <c r="P70" t="n">
        <v>0</v>
      </c>
      <c r="Q70" t="n">
        <v>0</v>
      </c>
      <c r="R70" s="2" t="inlineStr"/>
    </row>
    <row r="71" ht="15" customHeight="1">
      <c r="A71" t="inlineStr">
        <is>
          <t>A 8031-2025</t>
        </is>
      </c>
      <c r="B71" s="1" t="n">
        <v>45707.59112268518</v>
      </c>
      <c r="C71" s="1" t="n">
        <v>45891</v>
      </c>
      <c r="D71" t="inlineStr">
        <is>
          <t>UPPSALA LÄN</t>
        </is>
      </c>
      <c r="E71" t="inlineStr">
        <is>
          <t>ÄLVKARLEBY</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7286-2023</t>
        </is>
      </c>
      <c r="B72" s="1" t="n">
        <v>44970</v>
      </c>
      <c r="C72" s="1" t="n">
        <v>45891</v>
      </c>
      <c r="D72" t="inlineStr">
        <is>
          <t>UPPSALA LÄN</t>
        </is>
      </c>
      <c r="E72" t="inlineStr">
        <is>
          <t>ÄLVKARLEBY</t>
        </is>
      </c>
      <c r="F72" t="inlineStr">
        <is>
          <t>Bergvik skog väst AB</t>
        </is>
      </c>
      <c r="G72" t="n">
        <v>2.5</v>
      </c>
      <c r="H72" t="n">
        <v>0</v>
      </c>
      <c r="I72" t="n">
        <v>0</v>
      </c>
      <c r="J72" t="n">
        <v>0</v>
      </c>
      <c r="K72" t="n">
        <v>0</v>
      </c>
      <c r="L72" t="n">
        <v>0</v>
      </c>
      <c r="M72" t="n">
        <v>0</v>
      </c>
      <c r="N72" t="n">
        <v>0</v>
      </c>
      <c r="O72" t="n">
        <v>0</v>
      </c>
      <c r="P72" t="n">
        <v>0</v>
      </c>
      <c r="Q72" t="n">
        <v>0</v>
      </c>
      <c r="R72" s="2" t="inlineStr"/>
    </row>
    <row r="73" ht="15" customHeight="1">
      <c r="A73" t="inlineStr">
        <is>
          <t>A 26815-2022</t>
        </is>
      </c>
      <c r="B73" s="1" t="n">
        <v>44740.44644675926</v>
      </c>
      <c r="C73" s="1" t="n">
        <v>45891</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30483-2025</t>
        </is>
      </c>
      <c r="B74" s="1" t="n">
        <v>45828.68988425926</v>
      </c>
      <c r="C74" s="1" t="n">
        <v>45891</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36626-2025</t>
        </is>
      </c>
      <c r="B75" s="1" t="n">
        <v>45870.66732638889</v>
      </c>
      <c r="C75" s="1" t="n">
        <v>45891</v>
      </c>
      <c r="D75" t="inlineStr">
        <is>
          <t>UPPSALA LÄN</t>
        </is>
      </c>
      <c r="E75" t="inlineStr">
        <is>
          <t>ÄLVKARLEBY</t>
        </is>
      </c>
      <c r="F75" t="inlineStr">
        <is>
          <t>Bergvik skog väst AB</t>
        </is>
      </c>
      <c r="G75" t="n">
        <v>2.7</v>
      </c>
      <c r="H75" t="n">
        <v>0</v>
      </c>
      <c r="I75" t="n">
        <v>0</v>
      </c>
      <c r="J75" t="n">
        <v>0</v>
      </c>
      <c r="K75" t="n">
        <v>0</v>
      </c>
      <c r="L75" t="n">
        <v>0</v>
      </c>
      <c r="M75" t="n">
        <v>0</v>
      </c>
      <c r="N75" t="n">
        <v>0</v>
      </c>
      <c r="O75" t="n">
        <v>0</v>
      </c>
      <c r="P75" t="n">
        <v>0</v>
      </c>
      <c r="Q75" t="n">
        <v>0</v>
      </c>
      <c r="R75" s="2" t="inlineStr"/>
    </row>
    <row r="76" ht="15" customHeight="1">
      <c r="A76" t="inlineStr">
        <is>
          <t>A 30944-2025</t>
        </is>
      </c>
      <c r="B76" s="1" t="n">
        <v>45832.41182870371</v>
      </c>
      <c r="C76" s="1" t="n">
        <v>45891</v>
      </c>
      <c r="D76" t="inlineStr">
        <is>
          <t>UPPSALA LÄN</t>
        </is>
      </c>
      <c r="E76" t="inlineStr">
        <is>
          <t>ÄLVKARLEBY</t>
        </is>
      </c>
      <c r="F76" t="inlineStr">
        <is>
          <t>Bergvik skog öst AB</t>
        </is>
      </c>
      <c r="G76" t="n">
        <v>3.4</v>
      </c>
      <c r="H76" t="n">
        <v>0</v>
      </c>
      <c r="I76" t="n">
        <v>0</v>
      </c>
      <c r="J76" t="n">
        <v>0</v>
      </c>
      <c r="K76" t="n">
        <v>0</v>
      </c>
      <c r="L76" t="n">
        <v>0</v>
      </c>
      <c r="M76" t="n">
        <v>0</v>
      </c>
      <c r="N76" t="n">
        <v>0</v>
      </c>
      <c r="O76" t="n">
        <v>0</v>
      </c>
      <c r="P76" t="n">
        <v>0</v>
      </c>
      <c r="Q76" t="n">
        <v>0</v>
      </c>
      <c r="R76" s="2" t="inlineStr"/>
    </row>
    <row r="77" ht="15" customHeight="1">
      <c r="A77" t="inlineStr">
        <is>
          <t>A 30936-2025</t>
        </is>
      </c>
      <c r="B77" s="1" t="n">
        <v>45832.40586805555</v>
      </c>
      <c r="C77" s="1" t="n">
        <v>45891</v>
      </c>
      <c r="D77" t="inlineStr">
        <is>
          <t>UPPSALA LÄN</t>
        </is>
      </c>
      <c r="E77" t="inlineStr">
        <is>
          <t>ÄLVKARLEBY</t>
        </is>
      </c>
      <c r="F77" t="inlineStr">
        <is>
          <t>Bergvik skog öst AB</t>
        </is>
      </c>
      <c r="G77" t="n">
        <v>7.2</v>
      </c>
      <c r="H77" t="n">
        <v>0</v>
      </c>
      <c r="I77" t="n">
        <v>0</v>
      </c>
      <c r="J77" t="n">
        <v>0</v>
      </c>
      <c r="K77" t="n">
        <v>0</v>
      </c>
      <c r="L77" t="n">
        <v>0</v>
      </c>
      <c r="M77" t="n">
        <v>0</v>
      </c>
      <c r="N77" t="n">
        <v>0</v>
      </c>
      <c r="O77" t="n">
        <v>0</v>
      </c>
      <c r="P77" t="n">
        <v>0</v>
      </c>
      <c r="Q77" t="n">
        <v>0</v>
      </c>
      <c r="R77" s="2" t="inlineStr"/>
    </row>
    <row r="78" ht="15" customHeight="1">
      <c r="A78" t="inlineStr">
        <is>
          <t>A 41979-2024</t>
        </is>
      </c>
      <c r="B78" s="1" t="n">
        <v>45561</v>
      </c>
      <c r="C78" s="1" t="n">
        <v>45891</v>
      </c>
      <c r="D78" t="inlineStr">
        <is>
          <t>UPPSALA LÄN</t>
        </is>
      </c>
      <c r="E78" t="inlineStr">
        <is>
          <t>ÄLVKARLEBY</t>
        </is>
      </c>
      <c r="F78" t="inlineStr">
        <is>
          <t>Bergvik skog väst AB</t>
        </is>
      </c>
      <c r="G78" t="n">
        <v>2.8</v>
      </c>
      <c r="H78" t="n">
        <v>0</v>
      </c>
      <c r="I78" t="n">
        <v>0</v>
      </c>
      <c r="J78" t="n">
        <v>0</v>
      </c>
      <c r="K78" t="n">
        <v>0</v>
      </c>
      <c r="L78" t="n">
        <v>0</v>
      </c>
      <c r="M78" t="n">
        <v>0</v>
      </c>
      <c r="N78" t="n">
        <v>0</v>
      </c>
      <c r="O78" t="n">
        <v>0</v>
      </c>
      <c r="P78" t="n">
        <v>0</v>
      </c>
      <c r="Q78" t="n">
        <v>0</v>
      </c>
      <c r="R78" s="2" t="inlineStr"/>
    </row>
    <row r="79" ht="15" customHeight="1">
      <c r="A79" t="inlineStr">
        <is>
          <t>A 32221-2025</t>
        </is>
      </c>
      <c r="B79" s="1" t="n">
        <v>45835.5909837963</v>
      </c>
      <c r="C79" s="1" t="n">
        <v>45891</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32203-2025</t>
        </is>
      </c>
      <c r="B80" s="1" t="n">
        <v>45835.57951388889</v>
      </c>
      <c r="C80" s="1" t="n">
        <v>45891</v>
      </c>
      <c r="D80" t="inlineStr">
        <is>
          <t>UPPSALA LÄN</t>
        </is>
      </c>
      <c r="E80" t="inlineStr">
        <is>
          <t>ÄLVKARLEBY</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32186-2025</t>
        </is>
      </c>
      <c r="B81" s="1" t="n">
        <v>45835.5667824074</v>
      </c>
      <c r="C81" s="1" t="n">
        <v>45891</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32187-2025</t>
        </is>
      </c>
      <c r="B82" s="1" t="n">
        <v>45835.56949074074</v>
      </c>
      <c r="C82" s="1" t="n">
        <v>45891</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32212-2025</t>
        </is>
      </c>
      <c r="B83" s="1" t="n">
        <v>45835.58509259259</v>
      </c>
      <c r="C83" s="1" t="n">
        <v>45891</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39791-2021</t>
        </is>
      </c>
      <c r="B84" s="1" t="n">
        <v>44417</v>
      </c>
      <c r="C84" s="1" t="n">
        <v>45891</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45891</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41929-2024</t>
        </is>
      </c>
      <c r="B86" s="1" t="n">
        <v>45561</v>
      </c>
      <c r="C86" s="1" t="n">
        <v>45891</v>
      </c>
      <c r="D86" t="inlineStr">
        <is>
          <t>UPPSALA LÄN</t>
        </is>
      </c>
      <c r="E86" t="inlineStr">
        <is>
          <t>ÄLVKARLEBY</t>
        </is>
      </c>
      <c r="F86" t="inlineStr">
        <is>
          <t>Bergvik skog väst AB</t>
        </is>
      </c>
      <c r="G86" t="n">
        <v>4.9</v>
      </c>
      <c r="H86" t="n">
        <v>0</v>
      </c>
      <c r="I86" t="n">
        <v>0</v>
      </c>
      <c r="J86" t="n">
        <v>0</v>
      </c>
      <c r="K86" t="n">
        <v>0</v>
      </c>
      <c r="L86" t="n">
        <v>0</v>
      </c>
      <c r="M86" t="n">
        <v>0</v>
      </c>
      <c r="N86" t="n">
        <v>0</v>
      </c>
      <c r="O86" t="n">
        <v>0</v>
      </c>
      <c r="P86" t="n">
        <v>0</v>
      </c>
      <c r="Q86" t="n">
        <v>0</v>
      </c>
      <c r="R86" s="2" t="inlineStr"/>
    </row>
    <row r="87">
      <c r="A87" t="inlineStr">
        <is>
          <t>A 18451-2025</t>
        </is>
      </c>
      <c r="B87" s="1" t="n">
        <v>45762</v>
      </c>
      <c r="C87" s="1" t="n">
        <v>45891</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2025-08-22T08:30:40Z</dcterms:created>
  <dcterms:modified xmlns:dcterms="http://purl.org/dc/terms/" xmlns:xsi="http://www.w3.org/2001/XMLSchema-instance" xsi:type="dcterms:W3CDTF">2025-08-22T08:30:41Z</dcterms:modified>
</cp:coreProperties>
</file>