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46249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46249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46249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46249</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46249</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46249</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46249</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46249</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46249</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46249</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46249</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46249</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46249</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46249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46249</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46249</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46249</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46249</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61693-2025</t>
        </is>
      </c>
      <c r="B20" t="inlineStr">
        <is>
          <t>avverkningsanmälan</t>
        </is>
      </c>
      <c r="C20" t="inlineStr">
        <is>
          <t>Föryngringsavverkning</t>
        </is>
      </c>
      <c r="D20" s="1" t="n">
        <v>46002</v>
      </c>
      <c r="E20" s="1" t="n">
        <v>46249</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46249</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46249</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46249</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46249</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46249</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46249</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46249</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46249</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46249</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14127-2026</t>
        </is>
      </c>
      <c r="B30" t="inlineStr">
        <is>
          <t>avverkningsanmälan</t>
        </is>
      </c>
      <c r="C30" t="inlineStr">
        <is>
          <t>Föryngringsavverkning</t>
        </is>
      </c>
      <c r="D30" s="1" t="n">
        <v>46099</v>
      </c>
      <c r="E30" s="1" t="n">
        <v>46249</v>
      </c>
      <c r="F30" t="inlineStr">
        <is>
          <t>UPPSALA LÄN</t>
        </is>
      </c>
      <c r="G30" t="inlineStr">
        <is>
          <t>ÄLVKARLEBY</t>
        </is>
      </c>
      <c r="I30" t="n">
        <v>1.7</v>
      </c>
      <c r="J30" t="n">
        <v>0</v>
      </c>
      <c r="K30" t="n">
        <v>0</v>
      </c>
      <c r="L30" t="n">
        <v>0</v>
      </c>
      <c r="M30" t="n">
        <v>1</v>
      </c>
      <c r="N30" t="n">
        <v>0</v>
      </c>
      <c r="O30" t="n">
        <v>0</v>
      </c>
      <c r="P30" t="n">
        <v>0</v>
      </c>
      <c r="Q30" t="n">
        <v>1</v>
      </c>
      <c r="R30" t="n">
        <v>1</v>
      </c>
      <c r="S30" t="n">
        <v>1</v>
      </c>
      <c r="T30" t="n">
        <v>1</v>
      </c>
      <c r="U30" t="n">
        <v>0</v>
      </c>
      <c r="V30" s="2" t="inlineStr">
        <is>
          <t>Grangråticka</t>
        </is>
      </c>
      <c r="W30">
        <f>HYPERLINK("https://klasma.github.io/Logging_0319/artfynd/A 14127-2026 artfynd.xlsx", "A 14127-2026")</f>
        <v/>
      </c>
      <c r="X30">
        <f>HYPERLINK("https://klasma.github.io/Logging_0319/kartor/A 14127-2026 karta.png", "A 14127-2026")</f>
        <v/>
      </c>
      <c r="Y30">
        <f>HYPERLINK("https://klasma.github.io/Logging_0319/kartor_geotiff/A 14127-2026 georefererad karta.tif", "A 14127-2026")</f>
        <v/>
      </c>
      <c r="AA30">
        <f>HYPERLINK("https://klasma.github.io/Logging_0319/klagomål/A 14127-2026 FSC-klagomål.docx", "A 14127-2026")</f>
        <v/>
      </c>
      <c r="AB30">
        <f>HYPERLINK("https://klasma.github.io/Logging_0319/klagomålsmail/A 14127-2026 FSC-klagomål mail.docx", "A 14127-2026")</f>
        <v/>
      </c>
      <c r="AC30">
        <f>HYPERLINK("https://klasma.github.io/Logging_0319/tillsyn/A 14127-2026 tillsynsbegäran.docx", "A 14127-2026")</f>
        <v/>
      </c>
      <c r="AD30">
        <f>HYPERLINK("https://klasma.github.io/Logging_0319/tillsynsmail/A 14127-2026 tillsynsbegäran mail.docx", "A 14127-2026")</f>
        <v/>
      </c>
    </row>
    <row r="31" ht="15" customHeight="1">
      <c r="A31" t="inlineStr">
        <is>
          <t>A 51238-2025</t>
        </is>
      </c>
      <c r="B31" t="inlineStr">
        <is>
          <t>avverkningsanmälan</t>
        </is>
      </c>
      <c r="C31" t="inlineStr">
        <is>
          <t>Föryngringsavverkning</t>
        </is>
      </c>
      <c r="D31" s="1" t="n">
        <v>45947</v>
      </c>
      <c r="E31" s="1" t="n">
        <v>46249</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19300-2024</t>
        </is>
      </c>
      <c r="B32" t="inlineStr">
        <is>
          <t>avverkningsanmälan</t>
        </is>
      </c>
      <c r="C32" t="inlineStr">
        <is>
          <t>Föryngringsavverkning</t>
        </is>
      </c>
      <c r="D32" s="1" t="n">
        <v>45428</v>
      </c>
      <c r="E32" s="1" t="n">
        <v>46249</v>
      </c>
      <c r="F32" t="inlineStr">
        <is>
          <t>UPPSALA LÄN</t>
        </is>
      </c>
      <c r="G32" t="inlineStr">
        <is>
          <t>ÄLVKARLEBY</t>
        </is>
      </c>
      <c r="I32" t="n">
        <v>0.9</v>
      </c>
      <c r="J32" t="n">
        <v>1</v>
      </c>
      <c r="K32" t="n">
        <v>0</v>
      </c>
      <c r="L32" t="n">
        <v>1</v>
      </c>
      <c r="M32" t="n">
        <v>0</v>
      </c>
      <c r="N32" t="n">
        <v>0</v>
      </c>
      <c r="O32" t="n">
        <v>0</v>
      </c>
      <c r="P32" t="n">
        <v>0</v>
      </c>
      <c r="Q32" t="n">
        <v>1</v>
      </c>
      <c r="R32" t="n">
        <v>0</v>
      </c>
      <c r="S32" t="n">
        <v>1</v>
      </c>
      <c r="T32" t="n">
        <v>1</v>
      </c>
      <c r="U32" t="n">
        <v>1</v>
      </c>
      <c r="V32" s="2" t="inlineStr">
        <is>
          <t>Kricka</t>
        </is>
      </c>
      <c r="W32">
        <f>HYPERLINK("https://klasma.github.io/Logging_0319/artfynd/A 19300-2024 artfynd.xlsx", "A 19300-2024")</f>
        <v/>
      </c>
      <c r="X32">
        <f>HYPERLINK("https://klasma.github.io/Logging_0319/kartor/A 19300-2024 karta.png", "A 19300-2024")</f>
        <v/>
      </c>
      <c r="Y32">
        <f>HYPERLINK("https://klasma.github.io/Logging_0319/kartor_geotiff/A 19300-2024 georefererad karta.tif", "A 19300-2024")</f>
        <v/>
      </c>
      <c r="AA32">
        <f>HYPERLINK("https://klasma.github.io/Logging_0319/klagomål/A 19300-2024 FSC-klagomål.docx", "A 19300-2024")</f>
        <v/>
      </c>
      <c r="AB32">
        <f>HYPERLINK("https://klasma.github.io/Logging_0319/klagomålsmail/A 19300-2024 FSC-klagomål mail.docx", "A 19300-2024")</f>
        <v/>
      </c>
      <c r="AC32">
        <f>HYPERLINK("https://klasma.github.io/Logging_0319/tillsyn/A 19300-2024 tillsynsbegäran.docx", "A 19300-2024")</f>
        <v/>
      </c>
      <c r="AD32">
        <f>HYPERLINK("https://klasma.github.io/Logging_0319/tillsynsmail/A 19300-2024 tillsynsbegäran mail.docx", "A 19300-2024")</f>
        <v/>
      </c>
      <c r="AE32">
        <f>HYPERLINK("https://klasma.github.io/Logging_0319/fåglar/A 19300-2024 prioriterade fågelarter.docx", "A 19300-2024")</f>
        <v/>
      </c>
    </row>
    <row r="33" ht="15" customHeight="1">
      <c r="A33" t="inlineStr">
        <is>
          <t>A 57734-2025</t>
        </is>
      </c>
      <c r="B33" t="inlineStr">
        <is>
          <t>avverkningsanmälan</t>
        </is>
      </c>
      <c r="C33" t="inlineStr">
        <is>
          <t>Föryngringsavverkning</t>
        </is>
      </c>
      <c r="D33" s="1" t="n">
        <v>45981</v>
      </c>
      <c r="E33" s="1" t="n">
        <v>46249</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46249</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46249</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63004-2025</t>
        </is>
      </c>
      <c r="B36" t="inlineStr">
        <is>
          <t>avverkningsanmälan</t>
        </is>
      </c>
      <c r="C36" t="inlineStr">
        <is>
          <t>Föryngringsavverkning</t>
        </is>
      </c>
      <c r="D36" s="1" t="n">
        <v>46009</v>
      </c>
      <c r="E36" s="1" t="n">
        <v>46249</v>
      </c>
      <c r="F36" t="inlineStr">
        <is>
          <t>UPPSALA LÄN</t>
        </is>
      </c>
      <c r="G36" t="inlineStr">
        <is>
          <t>ÄLVKARLEBY</t>
        </is>
      </c>
      <c r="H36" t="inlineStr">
        <is>
          <t>Bergvik skog väst AB</t>
        </is>
      </c>
      <c r="I36" t="n">
        <v>2.2</v>
      </c>
      <c r="J36" t="n">
        <v>1</v>
      </c>
      <c r="K36" t="n">
        <v>1</v>
      </c>
      <c r="L36" t="n">
        <v>0</v>
      </c>
      <c r="M36" t="n">
        <v>0</v>
      </c>
      <c r="N36" t="n">
        <v>0</v>
      </c>
      <c r="O36" t="n">
        <v>0</v>
      </c>
      <c r="P36" t="n">
        <v>0</v>
      </c>
      <c r="Q36" t="n">
        <v>0</v>
      </c>
      <c r="R36" t="n">
        <v>0</v>
      </c>
      <c r="S36" t="n">
        <v>1</v>
      </c>
      <c r="T36" t="n">
        <v>4</v>
      </c>
      <c r="U36" t="n">
        <v>0</v>
      </c>
      <c r="V36" s="2" t="inlineStr">
        <is>
          <t>Skogsknipprot</t>
        </is>
      </c>
      <c r="W36">
        <f>HYPERLINK("https://klasma.github.io/Logging_0319/artfynd/A 63004-2025 artfynd.xlsx", "A 63004-2025")</f>
        <v/>
      </c>
      <c r="X36">
        <f>HYPERLINK("https://klasma.github.io/Logging_0319/kartor/A 63004-2025 karta.png", "A 63004-2025")</f>
        <v/>
      </c>
      <c r="Y36">
        <f>HYPERLINK("https://klasma.github.io/Logging_0319/kartor_geotiff/A 63004-2025 georefererad karta.tif", "A 63004-2025")</f>
        <v/>
      </c>
      <c r="AA36">
        <f>HYPERLINK("https://klasma.github.io/Logging_0319/klagomål/A 63004-2025 FSC-klagomål.docx", "A 63004-2025")</f>
        <v/>
      </c>
      <c r="AB36">
        <f>HYPERLINK("https://klasma.github.io/Logging_0319/klagomålsmail/A 63004-2025 FSC-klagomål mail.docx", "A 63004-2025")</f>
        <v/>
      </c>
      <c r="AC36">
        <f>HYPERLINK("https://klasma.github.io/Logging_0319/tillsyn/A 63004-2025 tillsynsbegäran.docx", "A 63004-2025")</f>
        <v/>
      </c>
      <c r="AD36">
        <f>HYPERLINK("https://klasma.github.io/Logging_0319/tillsynsmail/A 63004-2025 tillsynsbegäran mail.docx", "A 63004-2025")</f>
        <v/>
      </c>
    </row>
    <row r="37" ht="15" customHeight="1">
      <c r="A37" t="inlineStr">
        <is>
          <t>A 7286-2023</t>
        </is>
      </c>
      <c r="B37" t="inlineStr">
        <is>
          <t>avverkningsanmälan</t>
        </is>
      </c>
      <c r="C37" t="inlineStr">
        <is>
          <t>Avverkning för annat ändamål</t>
        </is>
      </c>
      <c r="D37" s="1" t="n">
        <v>44970</v>
      </c>
      <c r="E37" s="1" t="n">
        <v>46249</v>
      </c>
      <c r="F37" t="inlineStr">
        <is>
          <t>UPPSALA LÄN</t>
        </is>
      </c>
      <c r="G37" t="inlineStr">
        <is>
          <t>ÄLVKARLEBY</t>
        </is>
      </c>
      <c r="H37" t="inlineStr">
        <is>
          <t>Bergvik skog väst AB</t>
        </is>
      </c>
      <c r="I37" t="n">
        <v>2.5</v>
      </c>
      <c r="J37" t="n">
        <v>0</v>
      </c>
      <c r="K37" t="n">
        <v>1</v>
      </c>
      <c r="L37" t="n">
        <v>0</v>
      </c>
      <c r="M37" t="n">
        <v>0</v>
      </c>
      <c r="N37" t="n">
        <v>0</v>
      </c>
      <c r="O37" t="n">
        <v>0</v>
      </c>
      <c r="P37" t="n">
        <v>0</v>
      </c>
      <c r="Q37" t="n">
        <v>0</v>
      </c>
      <c r="R37" t="n">
        <v>0</v>
      </c>
      <c r="S37" t="n">
        <v>1</v>
      </c>
      <c r="T37" t="n">
        <v>1</v>
      </c>
      <c r="U37" t="n">
        <v>0</v>
      </c>
      <c r="V37" s="2" t="inlineStr">
        <is>
          <t>Grönpyrola</t>
        </is>
      </c>
      <c r="W37">
        <f>HYPERLINK("https://klasma.github.io/Logging_0319/artfynd/A 7286-2023 artfynd.xlsx", "A 7286-2023")</f>
        <v/>
      </c>
      <c r="X37">
        <f>HYPERLINK("https://klasma.github.io/Logging_0319/kartor/A 7286-2023 karta.png", "A 7286-2023")</f>
        <v/>
      </c>
      <c r="Y37">
        <f>HYPERLINK("https://klasma.github.io/Logging_0319/kartor_geotiff/A 7286-2023 georefererad karta.tif", "A 7286-2023")</f>
        <v/>
      </c>
      <c r="AA37">
        <f>HYPERLINK("https://klasma.github.io/Logging_0319/klagomål/A 7286-2023 FSC-klagomål.docx", "A 7286-2023")</f>
        <v/>
      </c>
      <c r="AB37">
        <f>HYPERLINK("https://klasma.github.io/Logging_0319/klagomålsmail/A 7286-2023 FSC-klagomål mail.docx", "A 7286-2023")</f>
        <v/>
      </c>
      <c r="AC37">
        <f>HYPERLINK("https://klasma.github.io/Logging_0319/tillsyn/A 7286-2023 tillsynsbegäran.docx", "A 7286-2023")</f>
        <v/>
      </c>
      <c r="AD37">
        <f>HYPERLINK("https://klasma.github.io/Logging_0319/tillsynsmail/A 7286-2023 tillsynsbegäran mail.docx", "A 7286-2023")</f>
        <v/>
      </c>
    </row>
    <row r="38" ht="15" customHeight="1">
      <c r="A38" t="inlineStr">
        <is>
          <t>A 1673-2026</t>
        </is>
      </c>
      <c r="B38" t="inlineStr">
        <is>
          <t>avverkningsanmälan</t>
        </is>
      </c>
      <c r="C38" t="inlineStr">
        <is>
          <t>Föryngringsavverkning</t>
        </is>
      </c>
      <c r="D38" s="1" t="n">
        <v>46034</v>
      </c>
      <c r="E38" s="1" t="n">
        <v>46249</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4131-2026</t>
        </is>
      </c>
      <c r="B39" t="inlineStr">
        <is>
          <t>avverkningsanmälan</t>
        </is>
      </c>
      <c r="C39" t="inlineStr">
        <is>
          <t>Föryngringsavverkning</t>
        </is>
      </c>
      <c r="D39" s="1" t="n">
        <v>46044</v>
      </c>
      <c r="E39" s="1" t="n">
        <v>46249</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10455-2022</t>
        </is>
      </c>
      <c r="B40" t="inlineStr">
        <is>
          <t>avverkningsanmälan</t>
        </is>
      </c>
      <c r="C40" t="inlineStr">
        <is>
          <t>Föryngringsavverkning</t>
        </is>
      </c>
      <c r="D40" s="1" t="n">
        <v>44623</v>
      </c>
      <c r="E40" s="1" t="n">
        <v>46249</v>
      </c>
      <c r="F40" t="inlineStr">
        <is>
          <t>UPPSALA LÄN</t>
        </is>
      </c>
      <c r="G40" t="inlineStr">
        <is>
          <t>ÄLVKARLEBY</t>
        </is>
      </c>
      <c r="H40" t="inlineStr">
        <is>
          <t>Bergvik skog öst AB</t>
        </is>
      </c>
      <c r="I40" t="n">
        <v>1.1</v>
      </c>
      <c r="J40" t="n">
        <v>0</v>
      </c>
      <c r="K40" t="n">
        <v>0</v>
      </c>
      <c r="L40" t="n">
        <v>1</v>
      </c>
      <c r="M40" t="n">
        <v>0</v>
      </c>
      <c r="N40" t="n">
        <v>0</v>
      </c>
      <c r="O40" t="n">
        <v>0</v>
      </c>
      <c r="P40" t="n">
        <v>0</v>
      </c>
      <c r="Q40" t="n">
        <v>1</v>
      </c>
      <c r="R40" t="n">
        <v>0</v>
      </c>
      <c r="S40" t="n">
        <v>1</v>
      </c>
      <c r="T40" t="n">
        <v>4</v>
      </c>
      <c r="U40" t="n">
        <v>1</v>
      </c>
      <c r="V40" s="2" t="inlineStr">
        <is>
          <t>Sandviol</t>
        </is>
      </c>
      <c r="W40">
        <f>HYPERLINK("https://klasma.github.io/Logging_0319/artfynd/A 10455-2022 artfynd.xlsx", "A 10455-2022")</f>
        <v/>
      </c>
      <c r="X40">
        <f>HYPERLINK("https://klasma.github.io/Logging_0319/kartor/A 10455-2022 karta.png", "A 10455-2022")</f>
        <v/>
      </c>
      <c r="Y40">
        <f>HYPERLINK("https://klasma.github.io/Logging_0319/kartor_geotiff/A 10455-2022 georefererad karta.tif", "A 10455-2022")</f>
        <v/>
      </c>
      <c r="AA40">
        <f>HYPERLINK("https://klasma.github.io/Logging_0319/klagomål/A 10455-2022 FSC-klagomål.docx", "A 10455-2022")</f>
        <v/>
      </c>
      <c r="AB40">
        <f>HYPERLINK("https://klasma.github.io/Logging_0319/klagomålsmail/A 10455-2022 FSC-klagomål mail.docx", "A 10455-2022")</f>
        <v/>
      </c>
      <c r="AC40">
        <f>HYPERLINK("https://klasma.github.io/Logging_0319/tillsyn/A 10455-2022 tillsynsbegäran.docx", "A 10455-2022")</f>
        <v/>
      </c>
      <c r="AD40">
        <f>HYPERLINK("https://klasma.github.io/Logging_0319/tillsynsmail/A 10455-2022 tillsynsbegäran mail.docx", "A 10455-2022")</f>
        <v/>
      </c>
    </row>
    <row r="41" ht="15" customHeight="1">
      <c r="A41" t="inlineStr">
        <is>
          <t>A 70017-2021</t>
        </is>
      </c>
      <c r="B41" t="inlineStr">
        <is>
          <t>avverkningsanmälan</t>
        </is>
      </c>
      <c r="C41" t="inlineStr">
        <is>
          <t>Föryngringsavverkning</t>
        </is>
      </c>
      <c r="D41" s="1" t="n">
        <v>44533</v>
      </c>
      <c r="E41" s="1" t="n">
        <v>46249</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30236-2026</t>
        </is>
      </c>
      <c r="B42" t="inlineStr">
        <is>
          <t>avverkningsanmälan</t>
        </is>
      </c>
      <c r="C42" t="inlineStr">
        <is>
          <t>Föryngringsavverkning</t>
        </is>
      </c>
      <c r="D42" s="1" t="n">
        <v>46206</v>
      </c>
      <c r="E42" s="1" t="n">
        <v>46249</v>
      </c>
      <c r="F42" t="inlineStr">
        <is>
          <t>UPPSALA LÄN</t>
        </is>
      </c>
      <c r="G42" t="inlineStr">
        <is>
          <t>ÄLVKARLEBY</t>
        </is>
      </c>
      <c r="H42" t="inlineStr">
        <is>
          <t>Bergvik skog öst AB</t>
        </is>
      </c>
      <c r="I42" t="n">
        <v>4.8</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30236-2026 artfynd.xlsx", "A 30236-2026")</f>
        <v/>
      </c>
      <c r="X42">
        <f>HYPERLINK("https://klasma.github.io/Logging_0319/kartor/A 30236-2026 karta.png", "A 30236-2026")</f>
        <v/>
      </c>
      <c r="Y42">
        <f>HYPERLINK("https://klasma.github.io/Logging_0319/kartor_geotiff/A 30236-2026 georefererad karta.tif", "A 30236-2026")</f>
        <v/>
      </c>
      <c r="AA42">
        <f>HYPERLINK("https://klasma.github.io/Logging_0319/klagomål/A 30236-2026 FSC-klagomål.docx", "A 30236-2026")</f>
        <v/>
      </c>
      <c r="AB42">
        <f>HYPERLINK("https://klasma.github.io/Logging_0319/klagomålsmail/A 30236-2026 FSC-klagomål mail.docx", "A 30236-2026")</f>
        <v/>
      </c>
      <c r="AC42">
        <f>HYPERLINK("https://klasma.github.io/Logging_0319/tillsyn/A 30236-2026 tillsynsbegäran.docx", "A 30236-2026")</f>
        <v/>
      </c>
      <c r="AD42">
        <f>HYPERLINK("https://klasma.github.io/Logging_0319/tillsynsmail/A 30236-2026 tillsynsbegäran mail.docx", "A 30236-2026")</f>
        <v/>
      </c>
    </row>
    <row r="43" ht="15" customHeight="1">
      <c r="A43" t="inlineStr">
        <is>
          <t>A 19304-2024</t>
        </is>
      </c>
      <c r="B43" t="inlineStr">
        <is>
          <t>avverkningsanmälan</t>
        </is>
      </c>
      <c r="C43" t="inlineStr">
        <is>
          <t>Föryngringsavverkning</t>
        </is>
      </c>
      <c r="D43" s="1" t="n">
        <v>45428</v>
      </c>
      <c r="E43" s="1" t="n">
        <v>46249</v>
      </c>
      <c r="F43" t="inlineStr">
        <is>
          <t>UPPSALA LÄN</t>
        </is>
      </c>
      <c r="G43" t="inlineStr">
        <is>
          <t>ÄLVKARLEBY</t>
        </is>
      </c>
      <c r="I43" t="n">
        <v>0.2</v>
      </c>
      <c r="J43" t="n">
        <v>0</v>
      </c>
      <c r="K43" t="n">
        <v>0</v>
      </c>
      <c r="L43" t="n">
        <v>0</v>
      </c>
      <c r="M43" t="n">
        <v>1</v>
      </c>
      <c r="N43" t="n">
        <v>0</v>
      </c>
      <c r="O43" t="n">
        <v>0</v>
      </c>
      <c r="P43" t="n">
        <v>0</v>
      </c>
      <c r="Q43" t="n">
        <v>1</v>
      </c>
      <c r="R43" t="n">
        <v>1</v>
      </c>
      <c r="S43" t="n">
        <v>1</v>
      </c>
      <c r="T43" t="n">
        <v>1</v>
      </c>
      <c r="U43" t="n">
        <v>0</v>
      </c>
      <c r="V43" s="2" t="inlineStr">
        <is>
          <t>Mindre bastardsvärmare</t>
        </is>
      </c>
      <c r="W43">
        <f>HYPERLINK("https://klasma.github.io/Logging_0319/artfynd/A 19304-2024 artfynd.xlsx", "A 19304-2024")</f>
        <v/>
      </c>
      <c r="X43">
        <f>HYPERLINK("https://klasma.github.io/Logging_0319/kartor/A 19304-2024 karta.png", "A 19304-2024")</f>
        <v/>
      </c>
      <c r="Y43">
        <f>HYPERLINK("https://klasma.github.io/Logging_0319/kartor_geotiff/A 19304-2024 georefererad karta.tif", "A 19304-2024")</f>
        <v/>
      </c>
      <c r="AA43">
        <f>HYPERLINK("https://klasma.github.io/Logging_0319/klagomål/A 19304-2024 FSC-klagomål.docx", "A 19304-2024")</f>
        <v/>
      </c>
      <c r="AB43">
        <f>HYPERLINK("https://klasma.github.io/Logging_0319/klagomålsmail/A 19304-2024 FSC-klagomål mail.docx", "A 19304-2024")</f>
        <v/>
      </c>
      <c r="AC43">
        <f>HYPERLINK("https://klasma.github.io/Logging_0319/tillsyn/A 19304-2024 tillsynsbegäran.docx", "A 19304-2024")</f>
        <v/>
      </c>
      <c r="AD43">
        <f>HYPERLINK("https://klasma.github.io/Logging_0319/tillsynsmail/A 19304-2024 tillsynsbegäran mail.docx", "A 19304-2024")</f>
        <v/>
      </c>
    </row>
    <row r="44" ht="15" customHeight="1">
      <c r="A44" t="inlineStr">
        <is>
          <t>A 43285-2023</t>
        </is>
      </c>
      <c r="B44" t="inlineStr">
        <is>
          <t>avverkningsanmälan</t>
        </is>
      </c>
      <c r="C44" t="inlineStr">
        <is>
          <t>Föryngringsavverkning</t>
        </is>
      </c>
      <c r="D44" s="1" t="n">
        <v>45183</v>
      </c>
      <c r="E44" s="1" t="n">
        <v>46249</v>
      </c>
      <c r="F44" t="inlineStr">
        <is>
          <t>UPPSALA LÄN</t>
        </is>
      </c>
      <c r="G44" t="inlineStr">
        <is>
          <t>ÄLVKARLEBY</t>
        </is>
      </c>
      <c r="H44" t="inlineStr">
        <is>
          <t>Bergvik skog väst AB</t>
        </is>
      </c>
      <c r="I44" t="n">
        <v>1.3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HYPERLINK("https://klasma.github.io/Logging_0319/artfynd/A 43285-2023 artfynd.xlsx", "A 43285-2023")</f>
        <v/>
      </c>
      <c r="X44">
        <f>HYPERLINK("https://klasma.github.io/Logging_0319/kartor/A 43285-2023 karta.png", "A 43285-2023")</f>
        <v/>
      </c>
      <c r="Y44">
        <f>HYPERLINK("https://klasma.github.io/Logging_0319/kartor_geotiff/A 43285-2023 georefererad karta.tif", "A 43285-2023")</f>
        <v/>
      </c>
      <c r="AA44">
        <f>HYPERLINK("https://klasma.github.io/Logging_0319/klagomål/A 43285-2023 FSC-klagomål.docx", "A 43285-2023")</f>
        <v/>
      </c>
      <c r="AB44">
        <f>HYPERLINK("https://klasma.github.io/Logging_0319/klagomålsmail/A 43285-2023 FSC-klagomål mail.docx", "A 43285-2023")</f>
        <v/>
      </c>
      <c r="AC44">
        <f>HYPERLINK("https://klasma.github.io/Logging_0319/tillsyn/A 43285-2023 tillsynsbegäran.docx", "A 43285-2023")</f>
        <v/>
      </c>
      <c r="AD44">
        <f>HYPERLINK("https://klasma.github.io/Logging_0319/tillsynsmail/A 43285-2023 tillsynsbegäran mail.docx", "A 43285-2023")</f>
        <v/>
      </c>
    </row>
    <row r="45" ht="15" customHeight="1">
      <c r="A45" t="inlineStr">
        <is>
          <t>A 3950-2025</t>
        </is>
      </c>
      <c r="B45" t="inlineStr">
        <is>
          <t>avverkningsanmälan</t>
        </is>
      </c>
      <c r="C45" t="inlineStr">
        <is>
          <t>Avverkning för annat ändamål</t>
        </is>
      </c>
      <c r="D45" s="1" t="n">
        <v>45684</v>
      </c>
      <c r="E45" s="1" t="n">
        <v>46249</v>
      </c>
      <c r="F45" t="inlineStr">
        <is>
          <t>UPPSALA LÄN</t>
        </is>
      </c>
      <c r="G45" t="inlineStr">
        <is>
          <t>ÄLVKARLEBY</t>
        </is>
      </c>
      <c r="I45" t="n">
        <v>3.1</v>
      </c>
      <c r="J45" t="n">
        <v>0</v>
      </c>
      <c r="K45" t="n">
        <v>0</v>
      </c>
      <c r="L45" t="n">
        <v>1</v>
      </c>
      <c r="M45" t="n">
        <v>0</v>
      </c>
      <c r="N45" t="n">
        <v>0</v>
      </c>
      <c r="O45" t="n">
        <v>0</v>
      </c>
      <c r="P45" t="n">
        <v>0</v>
      </c>
      <c r="Q45" t="n">
        <v>1</v>
      </c>
      <c r="R45" t="n">
        <v>0</v>
      </c>
      <c r="S45" t="n">
        <v>1</v>
      </c>
      <c r="T45" t="n">
        <v>4</v>
      </c>
      <c r="U45" t="n">
        <v>0</v>
      </c>
      <c r="V45" s="2" t="inlineStr">
        <is>
          <t>Månlåsbräken</t>
        </is>
      </c>
      <c r="W45">
        <f>HYPERLINK("https://klasma.github.io/Logging_0319/artfynd/A 3950-2025 artfynd.xlsx", "A 3950-2025")</f>
        <v/>
      </c>
      <c r="X45">
        <f>HYPERLINK("https://klasma.github.io/Logging_0319/kartor/A 3950-2025 karta.png", "A 3950-2025")</f>
        <v/>
      </c>
      <c r="Y45">
        <f>HYPERLINK("https://klasma.github.io/Logging_0319/kartor_geotiff/A 3950-2025 georefererad karta.tif", "A 3950-2025")</f>
        <v/>
      </c>
      <c r="AA45">
        <f>HYPERLINK("https://klasma.github.io/Logging_0319/klagomål/A 3950-2025 FSC-klagomål.docx", "A 3950-2025")</f>
        <v/>
      </c>
      <c r="AB45">
        <f>HYPERLINK("https://klasma.github.io/Logging_0319/klagomålsmail/A 3950-2025 FSC-klagomål mail.docx", "A 3950-2025")</f>
        <v/>
      </c>
      <c r="AC45">
        <f>HYPERLINK("https://klasma.github.io/Logging_0319/tillsyn/A 3950-2025 tillsynsbegäran.docx", "A 3950-2025")</f>
        <v/>
      </c>
      <c r="AD45">
        <f>HYPERLINK("https://klasma.github.io/Logging_0319/tillsynsmail/A 3950-2025 tillsynsbegäran mail.docx", "A 3950-2025")</f>
        <v/>
      </c>
    </row>
    <row r="46" ht="15" customHeight="1">
      <c r="A46" t="inlineStr">
        <is>
          <t>A 30233-2026</t>
        </is>
      </c>
      <c r="B46" t="inlineStr">
        <is>
          <t>avverkningsanmälan</t>
        </is>
      </c>
      <c r="C46" t="inlineStr">
        <is>
          <t>Föryngringsavverkning</t>
        </is>
      </c>
      <c r="D46" s="1" t="n">
        <v>46206</v>
      </c>
      <c r="E46" s="1" t="n">
        <v>46249</v>
      </c>
      <c r="F46" t="inlineStr">
        <is>
          <t>UPPSALA LÄN</t>
        </is>
      </c>
      <c r="G46" t="inlineStr">
        <is>
          <t>ÄLVKARLEBY</t>
        </is>
      </c>
      <c r="H46" t="inlineStr">
        <is>
          <t>Bergvik skog öst AB</t>
        </is>
      </c>
      <c r="I46" t="n">
        <v>6.8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30233-2026 artfynd.xlsx", "A 30233-2026")</f>
        <v/>
      </c>
      <c r="X46">
        <f>HYPERLINK("https://klasma.github.io/Logging_0319/kartor/A 30233-2026 karta.png", "A 30233-2026")</f>
        <v/>
      </c>
      <c r="Y46">
        <f>HYPERLINK("https://klasma.github.io/Logging_0319/kartor_geotiff/A 30233-2026 georefererad karta.tif", "A 30233-2026")</f>
        <v/>
      </c>
      <c r="AA46">
        <f>HYPERLINK("https://klasma.github.io/Logging_0319/klagomål/A 30233-2026 FSC-klagomål.docx", "A 30233-2026")</f>
        <v/>
      </c>
      <c r="AB46">
        <f>HYPERLINK("https://klasma.github.io/Logging_0319/klagomålsmail/A 30233-2026 FSC-klagomål mail.docx", "A 30233-2026")</f>
        <v/>
      </c>
      <c r="AC46">
        <f>HYPERLINK("https://klasma.github.io/Logging_0319/tillsyn/A 30233-2026 tillsynsbegäran.docx", "A 30233-2026")</f>
        <v/>
      </c>
      <c r="AD46">
        <f>HYPERLINK("https://klasma.github.io/Logging_0319/tillsynsmail/A 30233-2026 tillsynsbegäran mail.docx", "A 30233-2026")</f>
        <v/>
      </c>
    </row>
    <row r="47" ht="15" customHeight="1">
      <c r="A47" t="inlineStr">
        <is>
          <t>A 36217-2022</t>
        </is>
      </c>
      <c r="B47" t="inlineStr">
        <is>
          <t>avverkningsanmälan</t>
        </is>
      </c>
      <c r="C47" t="inlineStr">
        <is>
          <t>Avverkning för annat ändamål</t>
        </is>
      </c>
      <c r="D47" s="1" t="n">
        <v>44803</v>
      </c>
      <c r="E47" s="1" t="n">
        <v>46249</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46249</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46249</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26664-2025</t>
        </is>
      </c>
      <c r="B50" t="inlineStr">
        <is>
          <t>avverkningsanmälan</t>
        </is>
      </c>
      <c r="C50" t="inlineStr">
        <is>
          <t>Avverkning för att bevara och utveckla /försöksver</t>
        </is>
      </c>
      <c r="D50" s="1" t="n">
        <v>45810</v>
      </c>
      <c r="E50" s="1" t="n">
        <v>46249</v>
      </c>
      <c r="F50" t="inlineStr">
        <is>
          <t>UPPSALA LÄN</t>
        </is>
      </c>
      <c r="G50" t="inlineStr">
        <is>
          <t>ÄLVKARLEBY</t>
        </is>
      </c>
      <c r="H50" t="inlineStr">
        <is>
          <t>Bergvik skog väst AB</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36216-2022</t>
        </is>
      </c>
      <c r="B51" t="inlineStr">
        <is>
          <t>avverkningsanmälan</t>
        </is>
      </c>
      <c r="C51" t="inlineStr">
        <is>
          <t>Avverkning för annat ändamål</t>
        </is>
      </c>
      <c r="D51" s="1" t="n">
        <v>44803</v>
      </c>
      <c r="E51" s="1" t="n">
        <v>46249</v>
      </c>
      <c r="F51" t="inlineStr">
        <is>
          <t>UPPSALA LÄN</t>
        </is>
      </c>
      <c r="G51" t="inlineStr">
        <is>
          <t>ÄLVKARLEBY</t>
        </is>
      </c>
      <c r="H51" t="inlineStr">
        <is>
          <t>Bergvik skog väst AB</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45033-2025</t>
        </is>
      </c>
      <c r="B52" t="inlineStr">
        <is>
          <t>avverkningsanmälan</t>
        </is>
      </c>
      <c r="C52" t="inlineStr">
        <is>
          <t>Föryngringsavverkning</t>
        </is>
      </c>
      <c r="D52" s="1" t="n">
        <v>45918</v>
      </c>
      <c r="E52" s="1" t="n">
        <v>46249</v>
      </c>
      <c r="F52" t="inlineStr">
        <is>
          <t>UPPSALA LÄN</t>
        </is>
      </c>
      <c r="G52" t="inlineStr">
        <is>
          <t>ÄLVKARLEBY</t>
        </is>
      </c>
      <c r="H52" t="inlineStr">
        <is>
          <t>Bergvik skog väst AB</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38226-2023</t>
        </is>
      </c>
      <c r="B53" t="inlineStr">
        <is>
          <t>avverkningsanmälan</t>
        </is>
      </c>
      <c r="C53" t="inlineStr">
        <is>
          <t>Föryngringsavverkning</t>
        </is>
      </c>
      <c r="D53" s="1" t="n">
        <v>45161</v>
      </c>
      <c r="E53" s="1" t="n">
        <v>46249</v>
      </c>
      <c r="F53" t="inlineStr">
        <is>
          <t>UPPSALA LÄN</t>
        </is>
      </c>
      <c r="G53" t="inlineStr">
        <is>
          <t>ÄLVKARLEBY</t>
        </is>
      </c>
      <c r="H53" t="inlineStr">
        <is>
          <t>Bergvik skog väst AB</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46249</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11848-2026</t>
        </is>
      </c>
      <c r="B55" t="inlineStr">
        <is>
          <t>avverkningsanmälan</t>
        </is>
      </c>
      <c r="C55" t="inlineStr">
        <is>
          <t>Föryngringsavverkning</t>
        </is>
      </c>
      <c r="D55" s="1" t="n">
        <v>46085</v>
      </c>
      <c r="E55" s="1" t="n">
        <v>46249</v>
      </c>
      <c r="F55" t="inlineStr">
        <is>
          <t>UPPSALA LÄN</t>
        </is>
      </c>
      <c r="G55" t="inlineStr">
        <is>
          <t>ÄLVKARLEBY</t>
        </is>
      </c>
      <c r="H55" t="inlineStr">
        <is>
          <t>Bergvik skog väst AB</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46113-2023</t>
        </is>
      </c>
      <c r="B56" t="inlineStr">
        <is>
          <t>avverkningsanmälan</t>
        </is>
      </c>
      <c r="C56" t="inlineStr">
        <is>
          <t>Föryngringsavverkning</t>
        </is>
      </c>
      <c r="D56" s="1" t="n">
        <v>45196</v>
      </c>
      <c r="E56" s="1" t="n">
        <v>46249</v>
      </c>
      <c r="F56" t="inlineStr">
        <is>
          <t>UPPSALA LÄN</t>
        </is>
      </c>
      <c r="G56" t="inlineStr">
        <is>
          <t>ÄLVKARLEBY</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46249</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46249</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14091-2026</t>
        </is>
      </c>
      <c r="B59" t="inlineStr">
        <is>
          <t>avverkningsanmälan</t>
        </is>
      </c>
      <c r="C59" t="inlineStr">
        <is>
          <t>Föryngringsavverkning</t>
        </is>
      </c>
      <c r="D59" s="1" t="n">
        <v>46099</v>
      </c>
      <c r="E59" s="1" t="n">
        <v>46249</v>
      </c>
      <c r="F59" t="inlineStr">
        <is>
          <t>UPPSALA LÄN</t>
        </is>
      </c>
      <c r="G59" t="inlineStr">
        <is>
          <t>ÄLVKARLEBY</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46249</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46249</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46249</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45372-2024</t>
        </is>
      </c>
      <c r="B63" t="inlineStr">
        <is>
          <t>avverkningsanmälan</t>
        </is>
      </c>
      <c r="C63" t="inlineStr">
        <is>
          <t>Föryngringsavverkning</t>
        </is>
      </c>
      <c r="D63" s="1" t="n">
        <v>45576</v>
      </c>
      <c r="E63" s="1" t="n">
        <v>46249</v>
      </c>
      <c r="F63" t="inlineStr">
        <is>
          <t>UPPSALA LÄN</t>
        </is>
      </c>
      <c r="G63" t="inlineStr">
        <is>
          <t>ÄLVKARLEBY</t>
        </is>
      </c>
      <c r="H63" t="inlineStr">
        <is>
          <t>Bergvik skog väst AB</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16990-2022</t>
        </is>
      </c>
      <c r="B64" t="inlineStr">
        <is>
          <t>avverkningsanmälan</t>
        </is>
      </c>
      <c r="C64" t="inlineStr">
        <is>
          <t>Föryngringsavverkning</t>
        </is>
      </c>
      <c r="D64" s="1" t="n">
        <v>44676</v>
      </c>
      <c r="E64" s="1" t="n">
        <v>46249</v>
      </c>
      <c r="F64" t="inlineStr">
        <is>
          <t>UPPSALA LÄN</t>
        </is>
      </c>
      <c r="G64" t="inlineStr">
        <is>
          <t>ÄLVKARLEBY</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46249</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46249</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46249</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58168-2025</t>
        </is>
      </c>
      <c r="B68" t="inlineStr">
        <is>
          <t>avverkningsanmälan</t>
        </is>
      </c>
      <c r="C68" t="inlineStr">
        <is>
          <t>Föryngringsavverkning</t>
        </is>
      </c>
      <c r="D68" s="1" t="n">
        <v>45982</v>
      </c>
      <c r="E68" s="1" t="n">
        <v>46249</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41276-2023</t>
        </is>
      </c>
      <c r="B69" t="inlineStr">
        <is>
          <t>avverkningsanmälan</t>
        </is>
      </c>
      <c r="C69" t="inlineStr">
        <is>
          <t>Föryngringsavverkning</t>
        </is>
      </c>
      <c r="D69" s="1" t="n">
        <v>45174</v>
      </c>
      <c r="E69" s="1" t="n">
        <v>46249</v>
      </c>
      <c r="F69" t="inlineStr">
        <is>
          <t>UPPSALA LÄN</t>
        </is>
      </c>
      <c r="G69" t="inlineStr">
        <is>
          <t>ÄLVKARLEBY</t>
        </is>
      </c>
      <c r="H69" t="inlineStr">
        <is>
          <t>Bergvik skog väst AB</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58497-2025</t>
        </is>
      </c>
      <c r="B70" t="inlineStr">
        <is>
          <t>avverkningsanmälan</t>
        </is>
      </c>
      <c r="C70" t="inlineStr">
        <is>
          <t>Föryngringsavverkning</t>
        </is>
      </c>
      <c r="D70" s="1" t="n">
        <v>45985</v>
      </c>
      <c r="E70" s="1" t="n">
        <v>46249</v>
      </c>
      <c r="F70" t="inlineStr">
        <is>
          <t>UPPSALA LÄN</t>
        </is>
      </c>
      <c r="G70" t="inlineStr">
        <is>
          <t>ÄLVKARLEBY</t>
        </is>
      </c>
      <c r="H70" t="inlineStr">
        <is>
          <t>Bergvik skog väst AB</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46249</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46249</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46249</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46249</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46249</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41929-2024</t>
        </is>
      </c>
      <c r="B76" t="inlineStr">
        <is>
          <t>avverkningsanmälan</t>
        </is>
      </c>
      <c r="C76" t="inlineStr">
        <is>
          <t>Föryngringsavverkning</t>
        </is>
      </c>
      <c r="D76" s="1" t="n">
        <v>45561</v>
      </c>
      <c r="E76" s="1" t="n">
        <v>46249</v>
      </c>
      <c r="F76" t="inlineStr">
        <is>
          <t>UPPSALA LÄN</t>
        </is>
      </c>
      <c r="G76" t="inlineStr">
        <is>
          <t>ÄLVKARLEBY</t>
        </is>
      </c>
      <c r="H76" t="inlineStr">
        <is>
          <t>Bergvik skog väst AB</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46249</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46249</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46249</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26815-2022</t>
        </is>
      </c>
      <c r="B80" t="inlineStr">
        <is>
          <t>avverkningsanmälan</t>
        </is>
      </c>
      <c r="C80" t="inlineStr">
        <is>
          <t>Föryngringsavverkning</t>
        </is>
      </c>
      <c r="D80" s="1" t="n">
        <v>44740</v>
      </c>
      <c r="E80" s="1" t="n">
        <v>46249</v>
      </c>
      <c r="F80" t="inlineStr">
        <is>
          <t>UPPSALA LÄN</t>
        </is>
      </c>
      <c r="G80" t="inlineStr">
        <is>
          <t>ÄLVKARLEBY</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4134-2026</t>
        </is>
      </c>
      <c r="B81" t="inlineStr">
        <is>
          <t>avverkningsanmälan</t>
        </is>
      </c>
      <c r="C81" t="inlineStr">
        <is>
          <t>Föryngringsavverkning</t>
        </is>
      </c>
      <c r="D81" s="1" t="n">
        <v>46044</v>
      </c>
      <c r="E81" s="1" t="n">
        <v>46249</v>
      </c>
      <c r="F81" t="inlineStr">
        <is>
          <t>UPPSALA LÄN</t>
        </is>
      </c>
      <c r="G81" t="inlineStr">
        <is>
          <t>ÄLVKARLEBY</t>
        </is>
      </c>
      <c r="H81" t="inlineStr">
        <is>
          <t>Bergvik skog öst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9394-2026</t>
        </is>
      </c>
      <c r="B82" t="inlineStr">
        <is>
          <t>avverkningsanmälan</t>
        </is>
      </c>
      <c r="C82" t="inlineStr">
        <is>
          <t>Föryngringsavverkning</t>
        </is>
      </c>
      <c r="D82" s="1" t="n">
        <v>46071</v>
      </c>
      <c r="E82" s="1" t="n">
        <v>46249</v>
      </c>
      <c r="F82" t="inlineStr">
        <is>
          <t>UPPSALA LÄN</t>
        </is>
      </c>
      <c r="G82" t="inlineStr">
        <is>
          <t>ÄLVKARLEBY</t>
        </is>
      </c>
      <c r="H82" t="inlineStr">
        <is>
          <t>Bergvik skog väst AB</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46249</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11467-2026</t>
        </is>
      </c>
      <c r="B84" t="inlineStr">
        <is>
          <t>avverkningsanmälan</t>
        </is>
      </c>
      <c r="C84" t="inlineStr">
        <is>
          <t>Föryngringsavverkning</t>
        </is>
      </c>
      <c r="D84" s="1" t="n">
        <v>46083</v>
      </c>
      <c r="E84" s="1" t="n">
        <v>46249</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14590-2023</t>
        </is>
      </c>
      <c r="B85" t="inlineStr">
        <is>
          <t>avverkningsanmälan</t>
        </is>
      </c>
      <c r="C85" t="inlineStr">
        <is>
          <t>Föryngringsavverkning</t>
        </is>
      </c>
      <c r="D85" s="1" t="n">
        <v>45013</v>
      </c>
      <c r="E85" s="1" t="n">
        <v>46249</v>
      </c>
      <c r="F85" t="inlineStr">
        <is>
          <t>UPPSALA LÄN</t>
        </is>
      </c>
      <c r="G85" t="inlineStr">
        <is>
          <t>ÄLVKARLEBY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9533-2025</t>
        </is>
      </c>
      <c r="B86" t="inlineStr">
        <is>
          <t>avverkningsanmälan</t>
        </is>
      </c>
      <c r="C86" t="inlineStr">
        <is>
          <t>Föryngringsavverkning</t>
        </is>
      </c>
      <c r="D86" s="1" t="n">
        <v>45715</v>
      </c>
      <c r="E86" s="1" t="n">
        <v>46249</v>
      </c>
      <c r="F86" t="inlineStr">
        <is>
          <t>UPPSALA LÄN</t>
        </is>
      </c>
      <c r="G86" t="inlineStr">
        <is>
          <t>ÄLVKARLEBY</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41272-2023</t>
        </is>
      </c>
      <c r="B87" t="inlineStr">
        <is>
          <t>avverkningsanmälan</t>
        </is>
      </c>
      <c r="C87" t="inlineStr">
        <is>
          <t>Föryngringsavverkning</t>
        </is>
      </c>
      <c r="D87" s="1" t="n">
        <v>45174</v>
      </c>
      <c r="E87" s="1" t="n">
        <v>46249</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2183-2024</t>
        </is>
      </c>
      <c r="B88" t="inlineStr">
        <is>
          <t>avverkningsanmälan</t>
        </is>
      </c>
      <c r="C88" t="inlineStr">
        <is>
          <t>Föryngringsavverkning</t>
        </is>
      </c>
      <c r="D88" s="1" t="n">
        <v>45309</v>
      </c>
      <c r="E88" s="1" t="n">
        <v>46249</v>
      </c>
      <c r="F88" t="inlineStr">
        <is>
          <t>UPPSALA LÄN</t>
        </is>
      </c>
      <c r="G88" t="inlineStr">
        <is>
          <t>ÄLVKARLEBY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25330-2025</t>
        </is>
      </c>
      <c r="B89" t="inlineStr">
        <is>
          <t>avverkningsanmälan</t>
        </is>
      </c>
      <c r="C89" t="inlineStr">
        <is>
          <t>Föryngringsavverkning</t>
        </is>
      </c>
      <c r="D89" s="1" t="n">
        <v>45800</v>
      </c>
      <c r="E89" s="1" t="n">
        <v>46249</v>
      </c>
      <c r="F89" t="inlineStr">
        <is>
          <t>UPPSALA LÄN</t>
        </is>
      </c>
      <c r="G89" t="inlineStr">
        <is>
          <t>ÄLVKARLEBY</t>
        </is>
      </c>
      <c r="H89" t="inlineStr">
        <is>
          <t>Bergvik skog väst AB</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32187-2025</t>
        </is>
      </c>
      <c r="B90" t="inlineStr">
        <is>
          <t>avverkningsanmälan</t>
        </is>
      </c>
      <c r="C90" t="inlineStr">
        <is>
          <t>Föryngringsavverkning</t>
        </is>
      </c>
      <c r="D90" s="1" t="n">
        <v>45835</v>
      </c>
      <c r="E90" s="1" t="n">
        <v>46249</v>
      </c>
      <c r="F90" t="inlineStr">
        <is>
          <t>UPPSALA LÄN</t>
        </is>
      </c>
      <c r="G90" t="inlineStr">
        <is>
          <t>ÄLVKARLEBY</t>
        </is>
      </c>
      <c r="H90" t="inlineStr">
        <is>
          <t>Bergvik skog väst AB</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46249</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33485-2026</t>
        </is>
      </c>
      <c r="B92" t="inlineStr">
        <is>
          <t>avverkningsanmälan</t>
        </is>
      </c>
      <c r="C92" t="inlineStr">
        <is>
          <t>Föryngringsavverkning</t>
        </is>
      </c>
      <c r="D92" s="1" t="n">
        <v>46247</v>
      </c>
      <c r="E92" s="1" t="n">
        <v>46249</v>
      </c>
      <c r="F92" t="inlineStr">
        <is>
          <t>UPPSALA LÄN</t>
        </is>
      </c>
      <c r="G92" t="inlineStr">
        <is>
          <t>ÄLVKARLEBY</t>
        </is>
      </c>
      <c r="H92" t="inlineStr">
        <is>
          <t>Bergvik skog öst AB</t>
        </is>
      </c>
      <c r="I92" t="n">
        <v>4.3</v>
      </c>
      <c r="J92" t="n">
        <v>0</v>
      </c>
      <c r="K92" t="n">
        <v>0</v>
      </c>
      <c r="L92" t="n">
        <v>0</v>
      </c>
      <c r="M92" t="n">
        <v>0</v>
      </c>
      <c r="N92" t="n">
        <v>0</v>
      </c>
      <c r="O92" t="n">
        <v>0</v>
      </c>
      <c r="P92" t="n">
        <v>0</v>
      </c>
      <c r="Q92" t="n">
        <v>0</v>
      </c>
      <c r="R92" t="n">
        <v>0</v>
      </c>
      <c r="S92" t="n">
        <v>0</v>
      </c>
      <c r="T92" t="n">
        <v>0</v>
      </c>
      <c r="U92" t="n">
        <v>0</v>
      </c>
      <c r="V92" s="2" t="inlineStr"/>
    </row>
    <row r="93">
      <c r="A93" t="inlineStr">
        <is>
          <t>A 30238-2026</t>
        </is>
      </c>
      <c r="B93" t="inlineStr">
        <is>
          <t>avverkningsanmälan</t>
        </is>
      </c>
      <c r="C93" t="inlineStr">
        <is>
          <t>Föryngringsavverkning</t>
        </is>
      </c>
      <c r="D93" s="1" t="n">
        <v>46206</v>
      </c>
      <c r="E93" s="1" t="n">
        <v>46249</v>
      </c>
      <c r="F93" t="inlineStr">
        <is>
          <t>UPPSALA LÄN</t>
        </is>
      </c>
      <c r="G93" t="inlineStr">
        <is>
          <t>ÄLVKARLEBY</t>
        </is>
      </c>
      <c r="H93" t="inlineStr">
        <is>
          <t>Bergvik skog öst AB</t>
        </is>
      </c>
      <c r="I93" t="n">
        <v>2.6</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2026-08-15T08:25:42Z</dcterms:created>
  <dcterms:modified xmlns:dcterms="http://purl.org/dc/terms/" xmlns:xsi="http://www.w3.org/2001/XMLSchema-instance" xsi:type="dcterms:W3CDTF">2026-08-15T08:25:42Z</dcterms:modified>
</cp:coreProperties>
</file>