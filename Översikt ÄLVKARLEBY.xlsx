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46302</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46302</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46302</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46302</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46302</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46302</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46302</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46302</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46302</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46302</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46302</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46302</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46302</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46302</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46302</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46302</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46302</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46302</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46302</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46302</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15739-2025</t>
        </is>
      </c>
      <c r="B27" t="inlineStr">
        <is>
          <t>avverkningsanmälan</t>
        </is>
      </c>
      <c r="C27" t="inlineStr">
        <is>
          <t>Föryngringsavverkning</t>
        </is>
      </c>
      <c r="D27" s="1" t="n">
        <v>45748</v>
      </c>
      <c r="E27" s="1" t="n">
        <v>46302</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4132-2026</t>
        </is>
      </c>
      <c r="B28" t="inlineStr">
        <is>
          <t>avverkningsanmälan</t>
        </is>
      </c>
      <c r="C28" t="inlineStr">
        <is>
          <t>Föryngringsavverkning</t>
        </is>
      </c>
      <c r="D28" s="1" t="n">
        <v>46044</v>
      </c>
      <c r="E28" s="1" t="n">
        <v>46302</v>
      </c>
      <c r="F28" t="inlineStr">
        <is>
          <t>UPPSALA LÄN</t>
        </is>
      </c>
      <c r="G28" t="inlineStr">
        <is>
          <t>ÄLVKARLEBY</t>
        </is>
      </c>
      <c r="H28" t="inlineStr">
        <is>
          <t>Bergvik skog öst AB</t>
        </is>
      </c>
      <c r="I28" t="n">
        <v>12.2</v>
      </c>
      <c r="J28" t="n">
        <v>2</v>
      </c>
      <c r="K28" t="n">
        <v>1</v>
      </c>
      <c r="L28" t="n">
        <v>0</v>
      </c>
      <c r="M28" t="n">
        <v>1</v>
      </c>
      <c r="N28" t="n">
        <v>0</v>
      </c>
      <c r="O28" t="n">
        <v>0</v>
      </c>
      <c r="P28" t="n">
        <v>0</v>
      </c>
      <c r="Q28" t="n">
        <v>1</v>
      </c>
      <c r="R28" t="n">
        <v>1</v>
      </c>
      <c r="S28" t="n">
        <v>2</v>
      </c>
      <c r="T28" t="n">
        <v>2</v>
      </c>
      <c r="U28" t="n">
        <v>0</v>
      </c>
      <c r="V28" s="2" t="inlineStr">
        <is>
          <t>Bredgentiana
Nästrot</t>
        </is>
      </c>
      <c r="W28">
        <f>HYPERLINK("https://klasma.github.io/Logging_0319/artfynd/A 4132-2026 artfynd.xlsx", "A 4132-2026")</f>
        <v/>
      </c>
      <c r="X28">
        <f>HYPERLINK("https://klasma.github.io/Logging_0319/kartor/A 4132-2026 karta.png", "A 4132-2026")</f>
        <v/>
      </c>
      <c r="Y28">
        <f>HYPERLINK("https://klasma.github.io/Logging_0319/kartor_geotiff/A 4132-2026 georefererad karta.tif", "A 4132-2026")</f>
        <v/>
      </c>
      <c r="AA28">
        <f>HYPERLINK("https://klasma.github.io/Logging_0319/klagomål/A 4132-2026 FSC-klagomål.docx", "A 4132-2026")</f>
        <v/>
      </c>
      <c r="AB28">
        <f>HYPERLINK("https://klasma.github.io/Logging_0319/klagomålsmail/A 4132-2026 FSC-klagomål mail.docx", "A 4132-2026")</f>
        <v/>
      </c>
      <c r="AC28">
        <f>HYPERLINK("https://klasma.github.io/Logging_0319/tillsyn/A 4132-2026 tillsynsbegäran.docx", "A 4132-2026")</f>
        <v/>
      </c>
      <c r="AD28">
        <f>HYPERLINK("https://klasma.github.io/Logging_0319/tillsynsmail/A 4132-2026 tillsynsbegäran mail.docx", "A 4132-2026")</f>
        <v/>
      </c>
    </row>
    <row r="29" ht="15" customHeight="1">
      <c r="A29" t="inlineStr">
        <is>
          <t>A 4133-2026</t>
        </is>
      </c>
      <c r="B29" t="inlineStr">
        <is>
          <t>avverkningsanmälan</t>
        </is>
      </c>
      <c r="C29" t="inlineStr">
        <is>
          <t>Föryngringsavverkning</t>
        </is>
      </c>
      <c r="D29" s="1" t="n">
        <v>46044</v>
      </c>
      <c r="E29" s="1" t="n">
        <v>46302</v>
      </c>
      <c r="F29" t="inlineStr">
        <is>
          <t>UPPSALA LÄN</t>
        </is>
      </c>
      <c r="G29" t="inlineStr">
        <is>
          <t>ÄLVKARLEBY</t>
        </is>
      </c>
      <c r="H29" t="inlineStr">
        <is>
          <t>Bergvik skog öst AB</t>
        </is>
      </c>
      <c r="I29" t="n">
        <v>4.1</v>
      </c>
      <c r="J29" t="n">
        <v>2</v>
      </c>
      <c r="K29" t="n">
        <v>1</v>
      </c>
      <c r="L29" t="n">
        <v>0</v>
      </c>
      <c r="M29" t="n">
        <v>0</v>
      </c>
      <c r="N29" t="n">
        <v>0</v>
      </c>
      <c r="O29" t="n">
        <v>0</v>
      </c>
      <c r="P29" t="n">
        <v>0</v>
      </c>
      <c r="Q29" t="n">
        <v>0</v>
      </c>
      <c r="R29" t="n">
        <v>0</v>
      </c>
      <c r="S29" t="n">
        <v>2</v>
      </c>
      <c r="T29" t="n">
        <v>2</v>
      </c>
      <c r="U29" t="n">
        <v>2</v>
      </c>
      <c r="V29" s="2" t="inlineStr">
        <is>
          <t>Tvåblad
Nattviol</t>
        </is>
      </c>
      <c r="W29">
        <f>HYPERLINK("https://klasma.github.io/Logging_0319/artfynd/A 4133-2026 artfynd.xlsx", "A 4133-2026")</f>
        <v/>
      </c>
      <c r="X29">
        <f>HYPERLINK("https://klasma.github.io/Logging_0319/kartor/A 4133-2026 karta.png", "A 4133-2026")</f>
        <v/>
      </c>
      <c r="Y29">
        <f>HYPERLINK("https://klasma.github.io/Logging_0319/kartor_geotiff/A 4133-2026 georefererad karta.tif", "A 4133-2026")</f>
        <v/>
      </c>
      <c r="AA29">
        <f>HYPERLINK("https://klasma.github.io/Logging_0319/klagomål/A 4133-2026 FSC-klagomål.docx", "A 4133-2026")</f>
        <v/>
      </c>
      <c r="AB29">
        <f>HYPERLINK("https://klasma.github.io/Logging_0319/klagomålsmail/A 4133-2026 FSC-klagomål mail.docx", "A 4133-2026")</f>
        <v/>
      </c>
      <c r="AC29">
        <f>HYPERLINK("https://klasma.github.io/Logging_0319/tillsyn/A 4133-2026 tillsynsbegäran.docx", "A 4133-2026")</f>
        <v/>
      </c>
      <c r="AD29">
        <f>HYPERLINK("https://klasma.github.io/Logging_0319/tillsynsmail/A 4133-2026 tillsynsbegäran mail.docx", "A 4133-2026")</f>
        <v/>
      </c>
    </row>
    <row r="30" ht="15" customHeight="1">
      <c r="A30" t="inlineStr">
        <is>
          <t>A 58485-2025</t>
        </is>
      </c>
      <c r="B30" t="inlineStr">
        <is>
          <t>avverkningsanmälan</t>
        </is>
      </c>
      <c r="C30" t="inlineStr">
        <is>
          <t>Föryngringsavverkning</t>
        </is>
      </c>
      <c r="D30" s="1" t="n">
        <v>45985</v>
      </c>
      <c r="E30" s="1" t="n">
        <v>46302</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46302</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46302</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46302</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1673-2026</t>
        </is>
      </c>
      <c r="B34" t="inlineStr">
        <is>
          <t>avverkningsanmälan</t>
        </is>
      </c>
      <c r="C34" t="inlineStr">
        <is>
          <t>Föryngringsavverkning</t>
        </is>
      </c>
      <c r="D34" s="1" t="n">
        <v>46034</v>
      </c>
      <c r="E34" s="1" t="n">
        <v>46302</v>
      </c>
      <c r="F34" t="inlineStr">
        <is>
          <t>UPPSALA LÄN</t>
        </is>
      </c>
      <c r="G34" t="inlineStr">
        <is>
          <t>ÄLVKARLEBY</t>
        </is>
      </c>
      <c r="H34" t="inlineStr">
        <is>
          <t>Bergvik skog väst AB</t>
        </is>
      </c>
      <c r="I34" t="n">
        <v>1.9</v>
      </c>
      <c r="J34" t="n">
        <v>0</v>
      </c>
      <c r="K34" t="n">
        <v>1</v>
      </c>
      <c r="L34" t="n">
        <v>0</v>
      </c>
      <c r="M34" t="n">
        <v>0</v>
      </c>
      <c r="N34" t="n">
        <v>0</v>
      </c>
      <c r="O34" t="n">
        <v>0</v>
      </c>
      <c r="P34" t="n">
        <v>0</v>
      </c>
      <c r="Q34" t="n">
        <v>0</v>
      </c>
      <c r="R34" t="n">
        <v>0</v>
      </c>
      <c r="S34" t="n">
        <v>1</v>
      </c>
      <c r="T34" t="n">
        <v>1</v>
      </c>
      <c r="U34" t="n">
        <v>0</v>
      </c>
      <c r="V34" s="2" t="inlineStr">
        <is>
          <t>Tibast</t>
        </is>
      </c>
      <c r="W34">
        <f>HYPERLINK("https://klasma.github.io/Logging_0319/artfynd/A 1673-2026 artfynd.xlsx", "A 1673-2026")</f>
        <v/>
      </c>
      <c r="X34">
        <f>HYPERLINK("https://klasma.github.io/Logging_0319/kartor/A 1673-2026 karta.png", "A 1673-2026")</f>
        <v/>
      </c>
      <c r="Y34">
        <f>HYPERLINK("https://klasma.github.io/Logging_0319/kartor_geotiff/A 1673-2026 georefererad karta.tif", "A 1673-2026")</f>
        <v/>
      </c>
      <c r="AA34">
        <f>HYPERLINK("https://klasma.github.io/Logging_0319/klagomål/A 1673-2026 FSC-klagomål.docx", "A 1673-2026")</f>
        <v/>
      </c>
      <c r="AB34">
        <f>HYPERLINK("https://klasma.github.io/Logging_0319/klagomålsmail/A 1673-2026 FSC-klagomål mail.docx", "A 1673-2026")</f>
        <v/>
      </c>
      <c r="AC34">
        <f>HYPERLINK("https://klasma.github.io/Logging_0319/tillsyn/A 1673-2026 tillsynsbegäran.docx", "A 1673-2026")</f>
        <v/>
      </c>
      <c r="AD34">
        <f>HYPERLINK("https://klasma.github.io/Logging_0319/tillsynsmail/A 1673-2026 tillsynsbegäran mail.docx", "A 1673-2026")</f>
        <v/>
      </c>
    </row>
    <row r="35" ht="15" customHeight="1">
      <c r="A35" t="inlineStr">
        <is>
          <t>A 4131-2026</t>
        </is>
      </c>
      <c r="B35" t="inlineStr">
        <is>
          <t>avverkningsanmälan</t>
        </is>
      </c>
      <c r="C35" t="inlineStr">
        <is>
          <t>Föryngringsavverkning</t>
        </is>
      </c>
      <c r="D35" s="1" t="n">
        <v>46044</v>
      </c>
      <c r="E35" s="1" t="n">
        <v>46302</v>
      </c>
      <c r="F35" t="inlineStr">
        <is>
          <t>UPPSALA LÄN</t>
        </is>
      </c>
      <c r="G35" t="inlineStr">
        <is>
          <t>ÄLVKARLEBY</t>
        </is>
      </c>
      <c r="H35" t="inlineStr">
        <is>
          <t>Bergvik skog öst AB</t>
        </is>
      </c>
      <c r="I35" t="n">
        <v>2.4</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HYPERLINK("https://klasma.github.io/Logging_0319/artfynd/A 4131-2026 artfynd.xlsx", "A 4131-2026")</f>
        <v/>
      </c>
      <c r="X35">
        <f>HYPERLINK("https://klasma.github.io/Logging_0319/kartor/A 4131-2026 karta.png", "A 4131-2026")</f>
        <v/>
      </c>
      <c r="Y35">
        <f>HYPERLINK("https://klasma.github.io/Logging_0319/kartor_geotiff/A 4131-2026 georefererad karta.tif", "A 4131-2026")</f>
        <v/>
      </c>
      <c r="AA35">
        <f>HYPERLINK("https://klasma.github.io/Logging_0319/klagomål/A 4131-2026 FSC-klagomål.docx", "A 4131-2026")</f>
        <v/>
      </c>
      <c r="AB35">
        <f>HYPERLINK("https://klasma.github.io/Logging_0319/klagomålsmail/A 4131-2026 FSC-klagomål mail.docx", "A 4131-2026")</f>
        <v/>
      </c>
      <c r="AC35">
        <f>HYPERLINK("https://klasma.github.io/Logging_0319/tillsyn/A 4131-2026 tillsynsbegäran.docx", "A 4131-2026")</f>
        <v/>
      </c>
      <c r="AD35">
        <f>HYPERLINK("https://klasma.github.io/Logging_0319/tillsynsmail/A 4131-2026 tillsynsbegäran mail.docx", "A 4131-2026")</f>
        <v/>
      </c>
    </row>
    <row r="36" ht="15" customHeight="1">
      <c r="A36" t="inlineStr">
        <is>
          <t>A 43285-2023</t>
        </is>
      </c>
      <c r="B36" t="inlineStr">
        <is>
          <t>avverkningsanmälan</t>
        </is>
      </c>
      <c r="C36" t="inlineStr">
        <is>
          <t>Föryngringsavverkning</t>
        </is>
      </c>
      <c r="D36" s="1" t="n">
        <v>45183</v>
      </c>
      <c r="E36" s="1" t="n">
        <v>46302</v>
      </c>
      <c r="F36" t="inlineStr">
        <is>
          <t>UPPSALA LÄN</t>
        </is>
      </c>
      <c r="G36" t="inlineStr">
        <is>
          <t>ÄLVKARLEBY</t>
        </is>
      </c>
      <c r="H36" t="inlineStr">
        <is>
          <t>Bergvik skog väst AB</t>
        </is>
      </c>
      <c r="I36" t="n">
        <v>1.3</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HYPERLINK("https://klasma.github.io/Logging_0319/artfynd/A 43285-2023 artfynd.xlsx", "A 43285-2023")</f>
        <v/>
      </c>
      <c r="X36">
        <f>HYPERLINK("https://klasma.github.io/Logging_0319/kartor/A 43285-2023 karta.png", "A 43285-2023")</f>
        <v/>
      </c>
      <c r="Y36">
        <f>HYPERLINK("https://klasma.github.io/Logging_0319/kartor_geotiff/A 43285-2023 georefererad karta.tif", "A 43285-2023")</f>
        <v/>
      </c>
      <c r="AA36">
        <f>HYPERLINK("https://klasma.github.io/Logging_0319/klagomål/A 43285-2023 FSC-klagomål.docx", "A 43285-2023")</f>
        <v/>
      </c>
      <c r="AB36">
        <f>HYPERLINK("https://klasma.github.io/Logging_0319/klagomålsmail/A 43285-2023 FSC-klagomål mail.docx", "A 43285-2023")</f>
        <v/>
      </c>
      <c r="AC36">
        <f>HYPERLINK("https://klasma.github.io/Logging_0319/tillsyn/A 43285-2023 tillsynsbegäran.docx", "A 43285-2023")</f>
        <v/>
      </c>
      <c r="AD36">
        <f>HYPERLINK("https://klasma.github.io/Logging_0319/tillsynsmail/A 43285-2023 tillsynsbegäran mail.docx", "A 43285-2023")</f>
        <v/>
      </c>
    </row>
    <row r="37" ht="15" customHeight="1">
      <c r="A37" t="inlineStr">
        <is>
          <t>A 14127-2026</t>
        </is>
      </c>
      <c r="B37" t="inlineStr">
        <is>
          <t>avverkningsanmälan</t>
        </is>
      </c>
      <c r="C37" t="inlineStr">
        <is>
          <t>Föryngringsavverkning</t>
        </is>
      </c>
      <c r="D37" s="1" t="n">
        <v>46099</v>
      </c>
      <c r="E37" s="1" t="n">
        <v>46302</v>
      </c>
      <c r="F37" t="inlineStr">
        <is>
          <t>UPPSALA LÄN</t>
        </is>
      </c>
      <c r="G37" t="inlineStr">
        <is>
          <t>ÄLVKARLEBY</t>
        </is>
      </c>
      <c r="I37" t="n">
        <v>1.7</v>
      </c>
      <c r="J37" t="n">
        <v>0</v>
      </c>
      <c r="K37" t="n">
        <v>0</v>
      </c>
      <c r="L37" t="n">
        <v>0</v>
      </c>
      <c r="M37" t="n">
        <v>1</v>
      </c>
      <c r="N37" t="n">
        <v>0</v>
      </c>
      <c r="O37" t="n">
        <v>0</v>
      </c>
      <c r="P37" t="n">
        <v>0</v>
      </c>
      <c r="Q37" t="n">
        <v>1</v>
      </c>
      <c r="R37" t="n">
        <v>1</v>
      </c>
      <c r="S37" t="n">
        <v>1</v>
      </c>
      <c r="T37" t="n">
        <v>1</v>
      </c>
      <c r="U37" t="n">
        <v>0</v>
      </c>
      <c r="V37" s="2" t="inlineStr">
        <is>
          <t>Grangråticka</t>
        </is>
      </c>
      <c r="W37">
        <f>HYPERLINK("https://klasma.github.io/Logging_0319/artfynd/A 14127-2026 artfynd.xlsx", "A 14127-2026")</f>
        <v/>
      </c>
      <c r="X37">
        <f>HYPERLINK("https://klasma.github.io/Logging_0319/kartor/A 14127-2026 karta.png", "A 14127-2026")</f>
        <v/>
      </c>
      <c r="Y37">
        <f>HYPERLINK("https://klasma.github.io/Logging_0319/kartor_geotiff/A 14127-2026 georefererad karta.tif", "A 14127-2026")</f>
        <v/>
      </c>
      <c r="AA37">
        <f>HYPERLINK("https://klasma.github.io/Logging_0319/klagomål/A 14127-2026 FSC-klagomål.docx", "A 14127-2026")</f>
        <v/>
      </c>
      <c r="AB37">
        <f>HYPERLINK("https://klasma.github.io/Logging_0319/klagomålsmail/A 14127-2026 FSC-klagomål mail.docx", "A 14127-2026")</f>
        <v/>
      </c>
      <c r="AC37">
        <f>HYPERLINK("https://klasma.github.io/Logging_0319/tillsyn/A 14127-2026 tillsynsbegäran.docx", "A 14127-2026")</f>
        <v/>
      </c>
      <c r="AD37">
        <f>HYPERLINK("https://klasma.github.io/Logging_0319/tillsynsmail/A 14127-2026 tillsynsbegäran mail.docx", "A 14127-2026")</f>
        <v/>
      </c>
    </row>
    <row r="38" ht="15" customHeight="1">
      <c r="A38" t="inlineStr">
        <is>
          <t>A 70017-2021</t>
        </is>
      </c>
      <c r="B38" t="inlineStr">
        <is>
          <t>avverkningsanmälan</t>
        </is>
      </c>
      <c r="C38" t="inlineStr">
        <is>
          <t>Föryngringsavverkning</t>
        </is>
      </c>
      <c r="D38" s="1" t="n">
        <v>44533</v>
      </c>
      <c r="E38" s="1" t="n">
        <v>46302</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51238-2025</t>
        </is>
      </c>
      <c r="B39" t="inlineStr">
        <is>
          <t>avverkningsanmälan</t>
        </is>
      </c>
      <c r="C39" t="inlineStr">
        <is>
          <t>Föryngringsavverkning</t>
        </is>
      </c>
      <c r="D39" s="1" t="n">
        <v>45947</v>
      </c>
      <c r="E39" s="1" t="n">
        <v>46302</v>
      </c>
      <c r="F39" t="inlineStr">
        <is>
          <t>UPPSALA LÄN</t>
        </is>
      </c>
      <c r="G39" t="inlineStr">
        <is>
          <t>ÄLVKARLEBY</t>
        </is>
      </c>
      <c r="H39" t="inlineStr">
        <is>
          <t>Bergvik skog väst AB</t>
        </is>
      </c>
      <c r="I39" t="n">
        <v>6</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HYPERLINK("https://klasma.github.io/Logging_0319/artfynd/A 51238-2025 artfynd.xlsx", "A 51238-2025")</f>
        <v/>
      </c>
      <c r="X39">
        <f>HYPERLINK("https://klasma.github.io/Logging_0319/kartor/A 51238-2025 karta.png", "A 51238-2025")</f>
        <v/>
      </c>
      <c r="Y39">
        <f>HYPERLINK("https://klasma.github.io/Logging_0319/kartor_geotiff/A 51238-2025 georefererad karta.tif", "A 51238-2025")</f>
        <v/>
      </c>
      <c r="AA39">
        <f>HYPERLINK("https://klasma.github.io/Logging_0319/klagomål/A 51238-2025 FSC-klagomål.docx", "A 51238-2025")</f>
        <v/>
      </c>
      <c r="AB39">
        <f>HYPERLINK("https://klasma.github.io/Logging_0319/klagomålsmail/A 51238-2025 FSC-klagomål mail.docx", "A 51238-2025")</f>
        <v/>
      </c>
      <c r="AC39">
        <f>HYPERLINK("https://klasma.github.io/Logging_0319/tillsyn/A 51238-2025 tillsynsbegäran.docx", "A 51238-2025")</f>
        <v/>
      </c>
      <c r="AD39">
        <f>HYPERLINK("https://klasma.github.io/Logging_0319/tillsynsmail/A 51238-2025 tillsynsbegäran mail.docx", "A 51238-2025")</f>
        <v/>
      </c>
    </row>
    <row r="40" ht="15" customHeight="1">
      <c r="A40" t="inlineStr">
        <is>
          <t>A 57734-2025</t>
        </is>
      </c>
      <c r="B40" t="inlineStr">
        <is>
          <t>avverkningsanmälan</t>
        </is>
      </c>
      <c r="C40" t="inlineStr">
        <is>
          <t>Föryngringsavverkning</t>
        </is>
      </c>
      <c r="D40" s="1" t="n">
        <v>45981</v>
      </c>
      <c r="E40" s="1" t="n">
        <v>46302</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63004-2025</t>
        </is>
      </c>
      <c r="B41" t="inlineStr">
        <is>
          <t>avverkningsanmälan</t>
        </is>
      </c>
      <c r="C41" t="inlineStr">
        <is>
          <t>Föryngringsavverkning</t>
        </is>
      </c>
      <c r="D41" s="1" t="n">
        <v>46009</v>
      </c>
      <c r="E41" s="1" t="n">
        <v>46302</v>
      </c>
      <c r="F41" t="inlineStr">
        <is>
          <t>UPPSALA LÄN</t>
        </is>
      </c>
      <c r="G41" t="inlineStr">
        <is>
          <t>ÄLVKARLEBY</t>
        </is>
      </c>
      <c r="H41" t="inlineStr">
        <is>
          <t>Bergvik skog väst AB</t>
        </is>
      </c>
      <c r="I41" t="n">
        <v>2.2</v>
      </c>
      <c r="J41" t="n">
        <v>1</v>
      </c>
      <c r="K41" t="n">
        <v>1</v>
      </c>
      <c r="L41" t="n">
        <v>0</v>
      </c>
      <c r="M41" t="n">
        <v>0</v>
      </c>
      <c r="N41" t="n">
        <v>0</v>
      </c>
      <c r="O41" t="n">
        <v>0</v>
      </c>
      <c r="P41" t="n">
        <v>0</v>
      </c>
      <c r="Q41" t="n">
        <v>0</v>
      </c>
      <c r="R41" t="n">
        <v>0</v>
      </c>
      <c r="S41" t="n">
        <v>1</v>
      </c>
      <c r="T41" t="n">
        <v>4</v>
      </c>
      <c r="U41" t="n">
        <v>0</v>
      </c>
      <c r="V41" s="2" t="inlineStr">
        <is>
          <t>Skogsknipprot</t>
        </is>
      </c>
      <c r="W41">
        <f>HYPERLINK("https://klasma.github.io/Logging_0319/artfynd/A 63004-2025 artfynd.xlsx", "A 63004-2025")</f>
        <v/>
      </c>
      <c r="X41">
        <f>HYPERLINK("https://klasma.github.io/Logging_0319/kartor/A 63004-2025 karta.png", "A 63004-2025")</f>
        <v/>
      </c>
      <c r="Y41">
        <f>HYPERLINK("https://klasma.github.io/Logging_0319/kartor_geotiff/A 63004-2025 georefererad karta.tif", "A 63004-2025")</f>
        <v/>
      </c>
      <c r="AA41">
        <f>HYPERLINK("https://klasma.github.io/Logging_0319/klagomål/A 63004-2025 FSC-klagomål.docx", "A 63004-2025")</f>
        <v/>
      </c>
      <c r="AB41">
        <f>HYPERLINK("https://klasma.github.io/Logging_0319/klagomålsmail/A 63004-2025 FSC-klagomål mail.docx", "A 63004-2025")</f>
        <v/>
      </c>
      <c r="AC41">
        <f>HYPERLINK("https://klasma.github.io/Logging_0319/tillsyn/A 63004-2025 tillsynsbegäran.docx", "A 63004-2025")</f>
        <v/>
      </c>
      <c r="AD41">
        <f>HYPERLINK("https://klasma.github.io/Logging_0319/tillsynsmail/A 63004-2025 tillsynsbegäran mail.docx", "A 63004-2025")</f>
        <v/>
      </c>
    </row>
    <row r="42" ht="15" customHeight="1">
      <c r="A42" t="inlineStr">
        <is>
          <t>A 7286-2023</t>
        </is>
      </c>
      <c r="B42" t="inlineStr">
        <is>
          <t>avverkningsanmälan</t>
        </is>
      </c>
      <c r="C42" t="inlineStr">
        <is>
          <t>Avverkning för annat ändamål</t>
        </is>
      </c>
      <c r="D42" s="1" t="n">
        <v>44970</v>
      </c>
      <c r="E42" s="1" t="n">
        <v>46302</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19303-2024</t>
        </is>
      </c>
      <c r="B43" t="inlineStr">
        <is>
          <t>avverkningsanmälan</t>
        </is>
      </c>
      <c r="C43" t="inlineStr">
        <is>
          <t>Föryngringsavverkning</t>
        </is>
      </c>
      <c r="D43" s="1" t="n">
        <v>45428</v>
      </c>
      <c r="E43" s="1" t="n">
        <v>46302</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46302</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46302</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19304-2024</t>
        </is>
      </c>
      <c r="B46" t="inlineStr">
        <is>
          <t>avverkningsanmälan</t>
        </is>
      </c>
      <c r="C46" t="inlineStr">
        <is>
          <t>Föryngringsavverkning</t>
        </is>
      </c>
      <c r="D46" s="1" t="n">
        <v>45428</v>
      </c>
      <c r="E46" s="1" t="n">
        <v>46302</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46302</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46302</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46302</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46302</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46302</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4134-2026</t>
        </is>
      </c>
      <c r="B52" t="inlineStr">
        <is>
          <t>avverkningsanmälan</t>
        </is>
      </c>
      <c r="C52" t="inlineStr">
        <is>
          <t>Föryngringsavverkning</t>
        </is>
      </c>
      <c r="D52" s="1" t="n">
        <v>46044</v>
      </c>
      <c r="E52" s="1" t="n">
        <v>46302</v>
      </c>
      <c r="F52" t="inlineStr">
        <is>
          <t>UPPSALA LÄN</t>
        </is>
      </c>
      <c r="G52" t="inlineStr">
        <is>
          <t>ÄLVKARLEBY</t>
        </is>
      </c>
      <c r="H52" t="inlineStr">
        <is>
          <t>Bergvik skog öst AB</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9394-2026</t>
        </is>
      </c>
      <c r="B53" t="inlineStr">
        <is>
          <t>avverkningsanmälan</t>
        </is>
      </c>
      <c r="C53" t="inlineStr">
        <is>
          <t>Föryngringsavverkning</t>
        </is>
      </c>
      <c r="D53" s="1" t="n">
        <v>46071</v>
      </c>
      <c r="E53" s="1" t="n">
        <v>46302</v>
      </c>
      <c r="F53" t="inlineStr">
        <is>
          <t>UPPSALA LÄN</t>
        </is>
      </c>
      <c r="G53" t="inlineStr">
        <is>
          <t>ÄLVKARLEBY</t>
        </is>
      </c>
      <c r="H53" t="inlineStr">
        <is>
          <t>Bergvik skog väst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11467-2026</t>
        </is>
      </c>
      <c r="B54" t="inlineStr">
        <is>
          <t>avverkningsanmälan</t>
        </is>
      </c>
      <c r="C54" t="inlineStr">
        <is>
          <t>Föryngringsavverkning</t>
        </is>
      </c>
      <c r="D54" s="1" t="n">
        <v>46083</v>
      </c>
      <c r="E54" s="1" t="n">
        <v>46302</v>
      </c>
      <c r="F54" t="inlineStr">
        <is>
          <t>UPPSALA LÄN</t>
        </is>
      </c>
      <c r="G54" t="inlineStr">
        <is>
          <t>ÄLVKARLEBY</t>
        </is>
      </c>
      <c r="H54" t="inlineStr">
        <is>
          <t>Bergvik skog väst AB</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11848-2026</t>
        </is>
      </c>
      <c r="B55" t="inlineStr">
        <is>
          <t>avverkningsanmälan</t>
        </is>
      </c>
      <c r="C55" t="inlineStr">
        <is>
          <t>Föryngringsavverkning</t>
        </is>
      </c>
      <c r="D55" s="1" t="n">
        <v>46085</v>
      </c>
      <c r="E55" s="1" t="n">
        <v>46302</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46302</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9533-2025</t>
        </is>
      </c>
      <c r="B57" t="inlineStr">
        <is>
          <t>avverkningsanmälan</t>
        </is>
      </c>
      <c r="C57" t="inlineStr">
        <is>
          <t>Föryngringsavverkning</t>
        </is>
      </c>
      <c r="D57" s="1" t="n">
        <v>45715</v>
      </c>
      <c r="E57" s="1" t="n">
        <v>46302</v>
      </c>
      <c r="F57" t="inlineStr">
        <is>
          <t>UPPSALA LÄN</t>
        </is>
      </c>
      <c r="G57" t="inlineStr">
        <is>
          <t>ÄLVKARLEBY</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46302</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32187-2025</t>
        </is>
      </c>
      <c r="B59" t="inlineStr">
        <is>
          <t>avverkningsanmälan</t>
        </is>
      </c>
      <c r="C59" t="inlineStr">
        <is>
          <t>Föryngringsavverkning</t>
        </is>
      </c>
      <c r="D59" s="1" t="n">
        <v>45835</v>
      </c>
      <c r="E59" s="1" t="n">
        <v>46302</v>
      </c>
      <c r="F59" t="inlineStr">
        <is>
          <t>UPPSALA LÄN</t>
        </is>
      </c>
      <c r="G59" t="inlineStr">
        <is>
          <t>ÄLVKARLEBY</t>
        </is>
      </c>
      <c r="H59" t="inlineStr">
        <is>
          <t>Bergvik skog väst AB</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14091-2026</t>
        </is>
      </c>
      <c r="B60" t="inlineStr">
        <is>
          <t>avverkningsanmälan</t>
        </is>
      </c>
      <c r="C60" t="inlineStr">
        <is>
          <t>Föryngringsavverkning</t>
        </is>
      </c>
      <c r="D60" s="1" t="n">
        <v>46099</v>
      </c>
      <c r="E60" s="1" t="n">
        <v>46302</v>
      </c>
      <c r="F60" t="inlineStr">
        <is>
          <t>UPPSALA LÄN</t>
        </is>
      </c>
      <c r="G60" t="inlineStr">
        <is>
          <t>ÄLVKARLEBY</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46302</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46302</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46302</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46302</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46302</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46302</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46302</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17851-2026</t>
        </is>
      </c>
      <c r="B68" t="inlineStr">
        <is>
          <t>avverkningsanmälan</t>
        </is>
      </c>
      <c r="C68" t="inlineStr">
        <is>
          <t>Föryngringsavverkning</t>
        </is>
      </c>
      <c r="D68" s="1" t="n">
        <v>46122</v>
      </c>
      <c r="E68" s="1" t="n">
        <v>46302</v>
      </c>
      <c r="F68" t="inlineStr">
        <is>
          <t>UPPSALA LÄN</t>
        </is>
      </c>
      <c r="G68" t="inlineStr">
        <is>
          <t>ÄLVKARLEBY</t>
        </is>
      </c>
      <c r="H68" t="inlineStr">
        <is>
          <t>Bergvik skog öst AB</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46302</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46302</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46302</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46302</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28670-2025</t>
        </is>
      </c>
      <c r="B73" t="inlineStr">
        <is>
          <t>avverkningsanmälan</t>
        </is>
      </c>
      <c r="C73" t="inlineStr">
        <is>
          <t>Föryngringsavverkning</t>
        </is>
      </c>
      <c r="D73" s="1" t="n">
        <v>45819</v>
      </c>
      <c r="E73" s="1" t="n">
        <v>46302</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46302</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46302</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63365-2025</t>
        </is>
      </c>
      <c r="B76" t="inlineStr">
        <is>
          <t>avverkningsanmälan</t>
        </is>
      </c>
      <c r="C76" t="inlineStr">
        <is>
          <t>Föryngringsavverkning</t>
        </is>
      </c>
      <c r="D76" s="1" t="n">
        <v>46010</v>
      </c>
      <c r="E76" s="1" t="n">
        <v>46302</v>
      </c>
      <c r="F76" t="inlineStr">
        <is>
          <t>UPPSALA LÄN</t>
        </is>
      </c>
      <c r="G76" t="inlineStr">
        <is>
          <t>ÄLVKARLEBY</t>
        </is>
      </c>
      <c r="H76" t="inlineStr">
        <is>
          <t>Bergvik skog väst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46302</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14590-2023</t>
        </is>
      </c>
      <c r="B78" t="inlineStr">
        <is>
          <t>avverkningsanmälan</t>
        </is>
      </c>
      <c r="C78" t="inlineStr">
        <is>
          <t>Föryngringsavverkning</t>
        </is>
      </c>
      <c r="D78" s="1" t="n">
        <v>45013</v>
      </c>
      <c r="E78" s="1" t="n">
        <v>46302</v>
      </c>
      <c r="F78" t="inlineStr">
        <is>
          <t>UPPSALA LÄN</t>
        </is>
      </c>
      <c r="G78" t="inlineStr">
        <is>
          <t>ÄLVKARLEBY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36216-2022</t>
        </is>
      </c>
      <c r="B79" t="inlineStr">
        <is>
          <t>avverkningsanmälan</t>
        </is>
      </c>
      <c r="C79" t="inlineStr">
        <is>
          <t>Avverkning för annat ändamål</t>
        </is>
      </c>
      <c r="D79" s="1" t="n">
        <v>44803</v>
      </c>
      <c r="E79" s="1" t="n">
        <v>46302</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46302</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35356-2026</t>
        </is>
      </c>
      <c r="B81" t="inlineStr">
        <is>
          <t>avverkningsanmälan</t>
        </is>
      </c>
      <c r="C81" t="inlineStr">
        <is>
          <t>Föryngringsavverkning</t>
        </is>
      </c>
      <c r="D81" s="1" t="n">
        <v>46261</v>
      </c>
      <c r="E81" s="1" t="n">
        <v>46302</v>
      </c>
      <c r="F81" t="inlineStr">
        <is>
          <t>UPPSALA LÄN</t>
        </is>
      </c>
      <c r="G81" t="inlineStr">
        <is>
          <t>ÄLVKARLEBY</t>
        </is>
      </c>
      <c r="H81" t="inlineStr">
        <is>
          <t>Bergvik skog öst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46302</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46302</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38636-2026</t>
        </is>
      </c>
      <c r="B84" t="inlineStr">
        <is>
          <t>avverkningsanmälan</t>
        </is>
      </c>
      <c r="C84" t="inlineStr">
        <is>
          <t>Föryngringsavverkning</t>
        </is>
      </c>
      <c r="D84" s="1" t="n">
        <v>46283</v>
      </c>
      <c r="E84" s="1" t="n">
        <v>46302</v>
      </c>
      <c r="F84" t="inlineStr">
        <is>
          <t>UPPSALA LÄN</t>
        </is>
      </c>
      <c r="G84" t="inlineStr">
        <is>
          <t>ÄLVKARLEBY</t>
        </is>
      </c>
      <c r="H84" t="inlineStr">
        <is>
          <t>Bergvik skog väst AB</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46302</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46302</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40057-2026</t>
        </is>
      </c>
      <c r="B87" t="inlineStr">
        <is>
          <t>avverkningsanmälan</t>
        </is>
      </c>
      <c r="C87" t="inlineStr">
        <is>
          <t>Föryngringsavverkning</t>
        </is>
      </c>
      <c r="D87" s="1" t="n">
        <v>46293</v>
      </c>
      <c r="E87" s="1" t="n">
        <v>46302</v>
      </c>
      <c r="F87" t="inlineStr">
        <is>
          <t>UPPSALA LÄN</t>
        </is>
      </c>
      <c r="G87" t="inlineStr">
        <is>
          <t>ÄLVKARLEBY</t>
        </is>
      </c>
      <c r="H87" t="inlineStr">
        <is>
          <t>Bergvik skog väst AB</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26815-2022</t>
        </is>
      </c>
      <c r="B88" t="inlineStr">
        <is>
          <t>avverkningsanmälan</t>
        </is>
      </c>
      <c r="C88" t="inlineStr">
        <is>
          <t>Föryngringsavverkning</t>
        </is>
      </c>
      <c r="D88" s="1" t="n">
        <v>44740</v>
      </c>
      <c r="E88" s="1" t="n">
        <v>46302</v>
      </c>
      <c r="F88" t="inlineStr">
        <is>
          <t>UPPSALA LÄN</t>
        </is>
      </c>
      <c r="G88" t="inlineStr">
        <is>
          <t>ÄLVKARLEBY</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38617-2026</t>
        </is>
      </c>
      <c r="B89" t="inlineStr">
        <is>
          <t>avverkningsanmälan</t>
        </is>
      </c>
      <c r="C89" t="inlineStr">
        <is>
          <t>Föryngringsavverkning</t>
        </is>
      </c>
      <c r="D89" s="1" t="n">
        <v>46283</v>
      </c>
      <c r="E89" s="1" t="n">
        <v>46302</v>
      </c>
      <c r="F89" t="inlineStr">
        <is>
          <t>UPPSALA LÄN</t>
        </is>
      </c>
      <c r="G89" t="inlineStr">
        <is>
          <t>ÄLVKARLEBY</t>
        </is>
      </c>
      <c r="H89" t="inlineStr">
        <is>
          <t>Bergvik skog väst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45033-2025</t>
        </is>
      </c>
      <c r="B90" t="inlineStr">
        <is>
          <t>avverkningsanmälan</t>
        </is>
      </c>
      <c r="C90" t="inlineStr">
        <is>
          <t>Föryngringsavverkning</t>
        </is>
      </c>
      <c r="D90" s="1" t="n">
        <v>45918</v>
      </c>
      <c r="E90" s="1" t="n">
        <v>46302</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46302</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34575-2026</t>
        </is>
      </c>
      <c r="B92" t="inlineStr">
        <is>
          <t>avverkningsanmälan</t>
        </is>
      </c>
      <c r="C92" t="inlineStr">
        <is>
          <t>Föryngringsavverkning</t>
        </is>
      </c>
      <c r="D92" s="1" t="n">
        <v>46255</v>
      </c>
      <c r="E92" s="1" t="n">
        <v>46302</v>
      </c>
      <c r="F92" t="inlineStr">
        <is>
          <t>UPPSALA LÄN</t>
        </is>
      </c>
      <c r="G92" t="inlineStr">
        <is>
          <t>ÄLVKARLEBY</t>
        </is>
      </c>
      <c r="H92" t="inlineStr">
        <is>
          <t>Bergvik skog öst AB</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41272-2023</t>
        </is>
      </c>
      <c r="B93" t="inlineStr">
        <is>
          <t>avverkningsanmälan</t>
        </is>
      </c>
      <c r="C93" t="inlineStr">
        <is>
          <t>Föryngringsavverkning</t>
        </is>
      </c>
      <c r="D93" s="1" t="n">
        <v>45174</v>
      </c>
      <c r="E93" s="1" t="n">
        <v>46302</v>
      </c>
      <c r="F93" t="inlineStr">
        <is>
          <t>UPPSALA LÄN</t>
        </is>
      </c>
      <c r="G93" t="inlineStr">
        <is>
          <t>ÄLVKARLEBY</t>
        </is>
      </c>
      <c r="H93" t="inlineStr">
        <is>
          <t>Bergvik skog väst AB</t>
        </is>
      </c>
      <c r="I93" t="n">
        <v>0.9</v>
      </c>
      <c r="J93" t="n">
        <v>0</v>
      </c>
      <c r="K93" t="n">
        <v>0</v>
      </c>
      <c r="L93" t="n">
        <v>0</v>
      </c>
      <c r="M93" t="n">
        <v>0</v>
      </c>
      <c r="N93" t="n">
        <v>0</v>
      </c>
      <c r="O93" t="n">
        <v>0</v>
      </c>
      <c r="P93" t="n">
        <v>0</v>
      </c>
      <c r="Q93" t="n">
        <v>0</v>
      </c>
      <c r="R93" t="n">
        <v>0</v>
      </c>
      <c r="S93" t="n">
        <v>0</v>
      </c>
      <c r="T93" t="n">
        <v>0</v>
      </c>
      <c r="U93" t="n">
        <v>0</v>
      </c>
      <c r="V93" s="2" t="inlineStr"/>
    </row>
    <row r="94">
      <c r="A94" t="inlineStr">
        <is>
          <t>A 41276-2023</t>
        </is>
      </c>
      <c r="B94" t="inlineStr">
        <is>
          <t>avverkningsanmälan</t>
        </is>
      </c>
      <c r="C94" t="inlineStr">
        <is>
          <t>Föryngringsavverkning</t>
        </is>
      </c>
      <c r="D94" s="1" t="n">
        <v>45174</v>
      </c>
      <c r="E94" s="1" t="n">
        <v>46302</v>
      </c>
      <c r="F94" t="inlineStr">
        <is>
          <t>UPPSALA LÄN</t>
        </is>
      </c>
      <c r="G94" t="inlineStr">
        <is>
          <t>ÄLVKARLEBY</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2026-10-07T02:02:18Z</dcterms:created>
  <dcterms:modified xmlns:dcterms="http://purl.org/dc/terms/" xmlns:xsi="http://www.w3.org/2001/XMLSchema-instance" xsi:type="dcterms:W3CDTF">2026-10-07T02:02:18Z</dcterms:modified>
</cp:coreProperties>
</file>