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45801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45801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45801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45801</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45801</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45801</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45801</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45801</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45801</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45801</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45801</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45801</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6832-2023</t>
        </is>
      </c>
      <c r="B14" s="1" t="n">
        <v>44967</v>
      </c>
      <c r="C14" s="1" t="n">
        <v>45801</v>
      </c>
      <c r="D14" t="inlineStr">
        <is>
          <t>UPPSALA LÄN</t>
        </is>
      </c>
      <c r="E14" t="inlineStr">
        <is>
          <t>ÄLVKARLEBY</t>
        </is>
      </c>
      <c r="F14" t="inlineStr">
        <is>
          <t>Bergvik skog väst AB</t>
        </is>
      </c>
      <c r="G14" t="n">
        <v>8.9</v>
      </c>
      <c r="H14" t="n">
        <v>1</v>
      </c>
      <c r="I14" t="n">
        <v>0</v>
      </c>
      <c r="J14" t="n">
        <v>1</v>
      </c>
      <c r="K14" t="n">
        <v>2</v>
      </c>
      <c r="L14" t="n">
        <v>0</v>
      </c>
      <c r="M14" t="n">
        <v>0</v>
      </c>
      <c r="N14" t="n">
        <v>0</v>
      </c>
      <c r="O14" t="n">
        <v>3</v>
      </c>
      <c r="P14" t="n">
        <v>2</v>
      </c>
      <c r="Q14" t="n">
        <v>3</v>
      </c>
      <c r="R14" s="2" t="inlineStr">
        <is>
          <t>Grangråticka
Koppartaggsvamp
Grönsångare</t>
        </is>
      </c>
      <c r="S14">
        <f>HYPERLINK("https://klasma.github.io/Logging_0319/artfynd/A 6832-2023 artfynd.xlsx", "A 6832-2023")</f>
        <v/>
      </c>
      <c r="T14">
        <f>HYPERLINK("https://klasma.github.io/Logging_0319/kartor/A 6832-2023 karta.png", "A 6832-2023")</f>
        <v/>
      </c>
      <c r="V14">
        <f>HYPERLINK("https://klasma.github.io/Logging_0319/klagomål/A 6832-2023 FSC-klagomål.docx", "A 6832-2023")</f>
        <v/>
      </c>
      <c r="W14">
        <f>HYPERLINK("https://klasma.github.io/Logging_0319/klagomålsmail/A 6832-2023 FSC-klagomål mail.docx", "A 6832-2023")</f>
        <v/>
      </c>
      <c r="X14">
        <f>HYPERLINK("https://klasma.github.io/Logging_0319/tillsyn/A 6832-2023 tillsynsbegäran.docx", "A 6832-2023")</f>
        <v/>
      </c>
      <c r="Y14">
        <f>HYPERLINK("https://klasma.github.io/Logging_0319/tillsynsmail/A 6832-2023 tillsynsbegäran mail.docx", "A 6832-2023")</f>
        <v/>
      </c>
      <c r="Z14">
        <f>HYPERLINK("https://klasma.github.io/Logging_0319/fåglar/A 6832-2023 prioriterade fågelarter.docx", "A 6832-2023")</f>
        <v/>
      </c>
    </row>
    <row r="15" ht="15" customHeight="1">
      <c r="A15" t="inlineStr">
        <is>
          <t>A 25724-2023</t>
        </is>
      </c>
      <c r="B15" s="1" t="n">
        <v>45090</v>
      </c>
      <c r="C15" s="1" t="n">
        <v>45801</v>
      </c>
      <c r="D15" t="inlineStr">
        <is>
          <t>UPPSALA LÄN</t>
        </is>
      </c>
      <c r="E15" t="inlineStr">
        <is>
          <t>ÄLVKARLEBY</t>
        </is>
      </c>
      <c r="F15" t="inlineStr">
        <is>
          <t>Bergvik skog väst AB</t>
        </is>
      </c>
      <c r="G15" t="n">
        <v>18.6</v>
      </c>
      <c r="H15" t="n">
        <v>1</v>
      </c>
      <c r="I15" t="n">
        <v>2</v>
      </c>
      <c r="J15" t="n">
        <v>0</v>
      </c>
      <c r="K15" t="n">
        <v>1</v>
      </c>
      <c r="L15" t="n">
        <v>0</v>
      </c>
      <c r="M15" t="n">
        <v>0</v>
      </c>
      <c r="N15" t="n">
        <v>0</v>
      </c>
      <c r="O15" t="n">
        <v>1</v>
      </c>
      <c r="P15" t="n">
        <v>1</v>
      </c>
      <c r="Q15" t="n">
        <v>3</v>
      </c>
      <c r="R15" s="2" t="inlineStr">
        <is>
          <t>Väddnätfjäril
Anisspindling
Tibast</t>
        </is>
      </c>
      <c r="S15">
        <f>HYPERLINK("https://klasma.github.io/Logging_0319/artfynd/A 25724-2023 artfynd.xlsx", "A 25724-2023")</f>
        <v/>
      </c>
      <c r="T15">
        <f>HYPERLINK("https://klasma.github.io/Logging_0319/kartor/A 25724-2023 karta.png", "A 25724-2023")</f>
        <v/>
      </c>
      <c r="V15">
        <f>HYPERLINK("https://klasma.github.io/Logging_0319/klagomål/A 25724-2023 FSC-klagomål.docx", "A 25724-2023")</f>
        <v/>
      </c>
      <c r="W15">
        <f>HYPERLINK("https://klasma.github.io/Logging_0319/klagomålsmail/A 25724-2023 FSC-klagomål mail.docx", "A 25724-2023")</f>
        <v/>
      </c>
      <c r="X15">
        <f>HYPERLINK("https://klasma.github.io/Logging_0319/tillsyn/A 25724-2023 tillsynsbegäran.docx", "A 25724-2023")</f>
        <v/>
      </c>
      <c r="Y15">
        <f>HYPERLINK("https://klasma.github.io/Logging_0319/tillsynsmail/A 25724-2023 tillsynsbegäran mail.docx", "A 25724-2023")</f>
        <v/>
      </c>
    </row>
    <row r="16" ht="15" customHeight="1">
      <c r="A16" t="inlineStr">
        <is>
          <t>A 45895-2023</t>
        </is>
      </c>
      <c r="B16" s="1" t="n">
        <v>45195</v>
      </c>
      <c r="C16" s="1" t="n">
        <v>45801</v>
      </c>
      <c r="D16" t="inlineStr">
        <is>
          <t>UPPSALA LÄN</t>
        </is>
      </c>
      <c r="E16" t="inlineStr">
        <is>
          <t>ÄLVKARLEBY</t>
        </is>
      </c>
      <c r="G16" t="n">
        <v>6.7</v>
      </c>
      <c r="H16" t="n">
        <v>0</v>
      </c>
      <c r="I16" t="n">
        <v>2</v>
      </c>
      <c r="J16" t="n">
        <v>1</v>
      </c>
      <c r="K16" t="n">
        <v>0</v>
      </c>
      <c r="L16" t="n">
        <v>0</v>
      </c>
      <c r="M16" t="n">
        <v>0</v>
      </c>
      <c r="N16" t="n">
        <v>0</v>
      </c>
      <c r="O16" t="n">
        <v>1</v>
      </c>
      <c r="P16" t="n">
        <v>0</v>
      </c>
      <c r="Q16" t="n">
        <v>3</v>
      </c>
      <c r="R16" s="2" t="inlineStr">
        <is>
          <t>Flattoppad klubbsvamp
Sårläka
Trådfräken</t>
        </is>
      </c>
      <c r="S16">
        <f>HYPERLINK("https://klasma.github.io/Logging_0319/artfynd/A 45895-2023 artfynd.xlsx", "A 45895-2023")</f>
        <v/>
      </c>
      <c r="T16">
        <f>HYPERLINK("https://klasma.github.io/Logging_0319/kartor/A 45895-2023 karta.png", "A 45895-2023")</f>
        <v/>
      </c>
      <c r="V16">
        <f>HYPERLINK("https://klasma.github.io/Logging_0319/klagomål/A 45895-2023 FSC-klagomål.docx", "A 45895-2023")</f>
        <v/>
      </c>
      <c r="W16">
        <f>HYPERLINK("https://klasma.github.io/Logging_0319/klagomålsmail/A 45895-2023 FSC-klagomål mail.docx", "A 45895-2023")</f>
        <v/>
      </c>
      <c r="X16">
        <f>HYPERLINK("https://klasma.github.io/Logging_0319/tillsyn/A 45895-2023 tillsynsbegäran.docx", "A 45895-2023")</f>
        <v/>
      </c>
      <c r="Y16">
        <f>HYPERLINK("https://klasma.github.io/Logging_0319/tillsynsmail/A 45895-2023 tillsynsbegäran mail.docx", "A 45895-2023")</f>
        <v/>
      </c>
    </row>
    <row r="17" ht="15" customHeight="1">
      <c r="A17" t="inlineStr">
        <is>
          <t>A 33803-2024</t>
        </is>
      </c>
      <c r="B17" s="1" t="n">
        <v>45520</v>
      </c>
      <c r="C17" s="1" t="n">
        <v>45801</v>
      </c>
      <c r="D17" t="inlineStr">
        <is>
          <t>UPPSALA LÄN</t>
        </is>
      </c>
      <c r="E17" t="inlineStr">
        <is>
          <t>ÄLVKARLEBY</t>
        </is>
      </c>
      <c r="F17" t="inlineStr">
        <is>
          <t>Bergvik skog väst AB</t>
        </is>
      </c>
      <c r="G17" t="n">
        <v>1.6</v>
      </c>
      <c r="H17" t="n">
        <v>0</v>
      </c>
      <c r="I17" t="n">
        <v>3</v>
      </c>
      <c r="J17" t="n">
        <v>0</v>
      </c>
      <c r="K17" t="n">
        <v>0</v>
      </c>
      <c r="L17" t="n">
        <v>0</v>
      </c>
      <c r="M17" t="n">
        <v>0</v>
      </c>
      <c r="N17" t="n">
        <v>0</v>
      </c>
      <c r="O17" t="n">
        <v>0</v>
      </c>
      <c r="P17" t="n">
        <v>0</v>
      </c>
      <c r="Q17" t="n">
        <v>3</v>
      </c>
      <c r="R17" s="2" t="inlineStr">
        <is>
          <t>Bronshjon
Thomsons trägnagare
Tibast</t>
        </is>
      </c>
      <c r="S17">
        <f>HYPERLINK("https://klasma.github.io/Logging_0319/artfynd/A 33803-2024 artfynd.xlsx", "A 33803-2024")</f>
        <v/>
      </c>
      <c r="T17">
        <f>HYPERLINK("https://klasma.github.io/Logging_0319/kartor/A 33803-2024 karta.png", "A 33803-2024")</f>
        <v/>
      </c>
      <c r="V17">
        <f>HYPERLINK("https://klasma.github.io/Logging_0319/klagomål/A 33803-2024 FSC-klagomål.docx", "A 33803-2024")</f>
        <v/>
      </c>
      <c r="W17">
        <f>HYPERLINK("https://klasma.github.io/Logging_0319/klagomålsmail/A 33803-2024 FSC-klagomål mail.docx", "A 33803-2024")</f>
        <v/>
      </c>
      <c r="X17">
        <f>HYPERLINK("https://klasma.github.io/Logging_0319/tillsyn/A 33803-2024 tillsynsbegäran.docx", "A 33803-2024")</f>
        <v/>
      </c>
      <c r="Y17">
        <f>HYPERLINK("https://klasma.github.io/Logging_0319/tillsynsmail/A 33803-2024 tillsynsbegäran mail.docx", "A 33803-2024")</f>
        <v/>
      </c>
    </row>
    <row r="18" ht="15" customHeight="1">
      <c r="A18" t="inlineStr">
        <is>
          <t>A 34798-2024</t>
        </is>
      </c>
      <c r="B18" s="1" t="n">
        <v>45526</v>
      </c>
      <c r="C18" s="1" t="n">
        <v>45801</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55547-2024</t>
        </is>
      </c>
      <c r="B19" s="1" t="n">
        <v>45622</v>
      </c>
      <c r="C19" s="1" t="n">
        <v>45801</v>
      </c>
      <c r="D19" t="inlineStr">
        <is>
          <t>UPPSALA LÄN</t>
        </is>
      </c>
      <c r="E19" t="inlineStr">
        <is>
          <t>ÄLVKARLEBY</t>
        </is>
      </c>
      <c r="F19" t="inlineStr">
        <is>
          <t>Bergvik skog väst AB</t>
        </is>
      </c>
      <c r="G19" t="n">
        <v>0.9</v>
      </c>
      <c r="H19" t="n">
        <v>2</v>
      </c>
      <c r="I19" t="n">
        <v>1</v>
      </c>
      <c r="J19" t="n">
        <v>0</v>
      </c>
      <c r="K19" t="n">
        <v>1</v>
      </c>
      <c r="L19" t="n">
        <v>0</v>
      </c>
      <c r="M19" t="n">
        <v>0</v>
      </c>
      <c r="N19" t="n">
        <v>0</v>
      </c>
      <c r="O19" t="n">
        <v>1</v>
      </c>
      <c r="P19" t="n">
        <v>1</v>
      </c>
      <c r="Q19" t="n">
        <v>3</v>
      </c>
      <c r="R19" s="2" t="inlineStr">
        <is>
          <t>Knärot
Vedticka
Sparvuggla</t>
        </is>
      </c>
      <c r="S19">
        <f>HYPERLINK("https://klasma.github.io/Logging_0319/artfynd/A 55547-2024 artfynd.xlsx", "A 55547-2024")</f>
        <v/>
      </c>
      <c r="T19">
        <f>HYPERLINK("https://klasma.github.io/Logging_0319/kartor/A 55547-2024 karta.png", "A 55547-2024")</f>
        <v/>
      </c>
      <c r="U19">
        <f>HYPERLINK("https://klasma.github.io/Logging_0319/knärot/A 55547-2024 karta knärot.png", "A 55547-2024")</f>
        <v/>
      </c>
      <c r="V19">
        <f>HYPERLINK("https://klasma.github.io/Logging_0319/klagomål/A 55547-2024 FSC-klagomål.docx", "A 55547-2024")</f>
        <v/>
      </c>
      <c r="W19">
        <f>HYPERLINK("https://klasma.github.io/Logging_0319/klagomålsmail/A 55547-2024 FSC-klagomål mail.docx", "A 55547-2024")</f>
        <v/>
      </c>
      <c r="X19">
        <f>HYPERLINK("https://klasma.github.io/Logging_0319/tillsyn/A 55547-2024 tillsynsbegäran.docx", "A 55547-2024")</f>
        <v/>
      </c>
      <c r="Y19">
        <f>HYPERLINK("https://klasma.github.io/Logging_0319/tillsynsmail/A 55547-2024 tillsynsbegäran mail.docx", "A 55547-2024")</f>
        <v/>
      </c>
      <c r="Z19">
        <f>HYPERLINK("https://klasma.github.io/Logging_0319/fåglar/A 55547-2024 prioriterade fågelarter.docx", "A 55547-2024")</f>
        <v/>
      </c>
    </row>
    <row r="20" ht="15" customHeight="1">
      <c r="A20" t="inlineStr">
        <is>
          <t>A 55555-2024</t>
        </is>
      </c>
      <c r="B20" s="1" t="n">
        <v>45622</v>
      </c>
      <c r="C20" s="1" t="n">
        <v>45801</v>
      </c>
      <c r="D20" t="inlineStr">
        <is>
          <t>UPPSALA LÄN</t>
        </is>
      </c>
      <c r="E20" t="inlineStr">
        <is>
          <t>ÄLVKARLEBY</t>
        </is>
      </c>
      <c r="F20" t="inlineStr">
        <is>
          <t>Bergvik skog väst AB</t>
        </is>
      </c>
      <c r="G20" t="n">
        <v>0.7</v>
      </c>
      <c r="H20" t="n">
        <v>1</v>
      </c>
      <c r="I20" t="n">
        <v>0</v>
      </c>
      <c r="J20" t="n">
        <v>1</v>
      </c>
      <c r="K20" t="n">
        <v>1</v>
      </c>
      <c r="L20" t="n">
        <v>1</v>
      </c>
      <c r="M20" t="n">
        <v>0</v>
      </c>
      <c r="N20" t="n">
        <v>0</v>
      </c>
      <c r="O20" t="n">
        <v>3</v>
      </c>
      <c r="P20" t="n">
        <v>2</v>
      </c>
      <c r="Q20" t="n">
        <v>3</v>
      </c>
      <c r="R20" s="2" t="inlineStr">
        <is>
          <t>Skeletocutis jelicii
Knärot
Vedtrappmossa</t>
        </is>
      </c>
      <c r="S20">
        <f>HYPERLINK("https://klasma.github.io/Logging_0319/artfynd/A 55555-2024 artfynd.xlsx", "A 55555-2024")</f>
        <v/>
      </c>
      <c r="T20">
        <f>HYPERLINK("https://klasma.github.io/Logging_0319/kartor/A 55555-2024 karta.png", "A 55555-2024")</f>
        <v/>
      </c>
      <c r="U20">
        <f>HYPERLINK("https://klasma.github.io/Logging_0319/knärot/A 55555-2024 karta knärot.png", "A 55555-2024")</f>
        <v/>
      </c>
      <c r="V20">
        <f>HYPERLINK("https://klasma.github.io/Logging_0319/klagomål/A 55555-2024 FSC-klagomål.docx", "A 55555-2024")</f>
        <v/>
      </c>
      <c r="W20">
        <f>HYPERLINK("https://klasma.github.io/Logging_0319/klagomålsmail/A 55555-2024 FSC-klagomål mail.docx", "A 55555-2024")</f>
        <v/>
      </c>
      <c r="X20">
        <f>HYPERLINK("https://klasma.github.io/Logging_0319/tillsyn/A 55555-2024 tillsynsbegäran.docx", "A 55555-2024")</f>
        <v/>
      </c>
      <c r="Y20">
        <f>HYPERLINK("https://klasma.github.io/Logging_0319/tillsynsmail/A 55555-2024 tillsynsbegäran mail.docx", "A 55555-2024")</f>
        <v/>
      </c>
    </row>
    <row r="21" ht="15" customHeight="1">
      <c r="A21" t="inlineStr">
        <is>
          <t>A 50415-2020</t>
        </is>
      </c>
      <c r="B21" s="1" t="n">
        <v>44110</v>
      </c>
      <c r="C21" s="1" t="n">
        <v>45801</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22025-2021</t>
        </is>
      </c>
      <c r="B22" s="1" t="n">
        <v>44323</v>
      </c>
      <c r="C22" s="1" t="n">
        <v>45801</v>
      </c>
      <c r="D22" t="inlineStr">
        <is>
          <t>UPPSALA LÄN</t>
        </is>
      </c>
      <c r="E22" t="inlineStr">
        <is>
          <t>ÄLVKARLEBY</t>
        </is>
      </c>
      <c r="F22" t="inlineStr">
        <is>
          <t>Bergvik skog väst AB</t>
        </is>
      </c>
      <c r="G22" t="n">
        <v>15.8</v>
      </c>
      <c r="H22" t="n">
        <v>0</v>
      </c>
      <c r="I22" t="n">
        <v>0</v>
      </c>
      <c r="J22" t="n">
        <v>2</v>
      </c>
      <c r="K22" t="n">
        <v>0</v>
      </c>
      <c r="L22" t="n">
        <v>0</v>
      </c>
      <c r="M22" t="n">
        <v>0</v>
      </c>
      <c r="N22" t="n">
        <v>0</v>
      </c>
      <c r="O22" t="n">
        <v>2</v>
      </c>
      <c r="P22" t="n">
        <v>0</v>
      </c>
      <c r="Q22" t="n">
        <v>2</v>
      </c>
      <c r="R22" s="2" t="inlineStr">
        <is>
          <t>Ekticka
Rödbrun blekspik</t>
        </is>
      </c>
      <c r="S22">
        <f>HYPERLINK("https://klasma.github.io/Logging_0319/artfynd/A 22025-2021 artfynd.xlsx", "A 22025-2021")</f>
        <v/>
      </c>
      <c r="T22">
        <f>HYPERLINK("https://klasma.github.io/Logging_0319/kartor/A 22025-2021 karta.png", "A 22025-2021")</f>
        <v/>
      </c>
      <c r="V22">
        <f>HYPERLINK("https://klasma.github.io/Logging_0319/klagomål/A 22025-2021 FSC-klagomål.docx", "A 22025-2021")</f>
        <v/>
      </c>
      <c r="W22">
        <f>HYPERLINK("https://klasma.github.io/Logging_0319/klagomålsmail/A 22025-2021 FSC-klagomål mail.docx", "A 22025-2021")</f>
        <v/>
      </c>
      <c r="X22">
        <f>HYPERLINK("https://klasma.github.io/Logging_0319/tillsyn/A 22025-2021 tillsynsbegäran.docx", "A 22025-2021")</f>
        <v/>
      </c>
      <c r="Y22">
        <f>HYPERLINK("https://klasma.github.io/Logging_0319/tillsynsmail/A 22025-2021 tillsynsbegäran mail.docx", "A 22025-2021")</f>
        <v/>
      </c>
    </row>
    <row r="23" ht="15" customHeight="1">
      <c r="A23" t="inlineStr">
        <is>
          <t>A 46363-2023</t>
        </is>
      </c>
      <c r="B23" s="1" t="n">
        <v>45197</v>
      </c>
      <c r="C23" s="1" t="n">
        <v>45801</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45801</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45801</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45801</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45801</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45801</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45801</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45801</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45801</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45801</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45801</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45801</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45801</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45801</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45801</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45801</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45801</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45801</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45801</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45801</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45801</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45801</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45801</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45801</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45801</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45801</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45801</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45801</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45801</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45801</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45801</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45801</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45801</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45801</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45801</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45801</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45801</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45801</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45801</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45801</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45801</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45801</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45801</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45801</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45801</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45801</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45801</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45801</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45801</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45801</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45801</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45801</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45801</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45801</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45801</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45801</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45801</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45801</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45801</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45801</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45801</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45801</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45801</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45801</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45801</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45801</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45801</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45801</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45801</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45801</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45801</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45801</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45801</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45801</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45801</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45801</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45801</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45801</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45801</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45801</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45801</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45801</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45801</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45801</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45801</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45801</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45801</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45801</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45801</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45801</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45801</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45801</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45801</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45801</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45801</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45801</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45801</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45801</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45801</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45801</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45801</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45801</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45801</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45801</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45801</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45801</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45801</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45801</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45801</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45801</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45801</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45801</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45801</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45801</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45801</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45801</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45801</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45801</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45801</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45801</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45801</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45801</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45801</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45801</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45801</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45801</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45801</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45801</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45801</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45801</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45801</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45801</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45801</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45801</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45801</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45801</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45801</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45801</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19697-2025</t>
        </is>
      </c>
      <c r="B161" s="1" t="n">
        <v>45771</v>
      </c>
      <c r="C161" s="1" t="n">
        <v>45801</v>
      </c>
      <c r="D161" t="inlineStr">
        <is>
          <t>UPPSALA LÄN</t>
        </is>
      </c>
      <c r="E161" t="inlineStr">
        <is>
          <t>ÄLVKARLEBY</t>
        </is>
      </c>
      <c r="F161" t="inlineStr">
        <is>
          <t>Bergvik skog väst AB</t>
        </is>
      </c>
      <c r="G161" t="n">
        <v>3.3</v>
      </c>
      <c r="H161" t="n">
        <v>0</v>
      </c>
      <c r="I161" t="n">
        <v>0</v>
      </c>
      <c r="J161" t="n">
        <v>0</v>
      </c>
      <c r="K161" t="n">
        <v>0</v>
      </c>
      <c r="L161" t="n">
        <v>0</v>
      </c>
      <c r="M161" t="n">
        <v>0</v>
      </c>
      <c r="N161" t="n">
        <v>0</v>
      </c>
      <c r="O161" t="n">
        <v>0</v>
      </c>
      <c r="P161" t="n">
        <v>0</v>
      </c>
      <c r="Q161" t="n">
        <v>0</v>
      </c>
      <c r="R161" s="2" t="inlineStr"/>
    </row>
    <row r="162" ht="15" customHeight="1">
      <c r="A162" t="inlineStr">
        <is>
          <t>A 19740-2025</t>
        </is>
      </c>
      <c r="B162" s="1" t="n">
        <v>45771</v>
      </c>
      <c r="C162" s="1" t="n">
        <v>45801</v>
      </c>
      <c r="D162" t="inlineStr">
        <is>
          <t>UPPSALA LÄN</t>
        </is>
      </c>
      <c r="E162" t="inlineStr">
        <is>
          <t>ÄLVKARLEBY</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19862-2025</t>
        </is>
      </c>
      <c r="B163" s="1" t="n">
        <v>45771</v>
      </c>
      <c r="C163" s="1" t="n">
        <v>45801</v>
      </c>
      <c r="D163" t="inlineStr">
        <is>
          <t>UPPSALA LÄN</t>
        </is>
      </c>
      <c r="E163" t="inlineStr">
        <is>
          <t>ÄLVKARLEBY</t>
        </is>
      </c>
      <c r="F163" t="inlineStr">
        <is>
          <t>Kyrkan</t>
        </is>
      </c>
      <c r="G163" t="n">
        <v>3</v>
      </c>
      <c r="H163" t="n">
        <v>0</v>
      </c>
      <c r="I163" t="n">
        <v>0</v>
      </c>
      <c r="J163" t="n">
        <v>0</v>
      </c>
      <c r="K163" t="n">
        <v>0</v>
      </c>
      <c r="L163" t="n">
        <v>0</v>
      </c>
      <c r="M163" t="n">
        <v>0</v>
      </c>
      <c r="N163" t="n">
        <v>0</v>
      </c>
      <c r="O163" t="n">
        <v>0</v>
      </c>
      <c r="P163" t="n">
        <v>0</v>
      </c>
      <c r="Q163" t="n">
        <v>0</v>
      </c>
      <c r="R163" s="2" t="inlineStr"/>
    </row>
    <row r="164" ht="15" customHeight="1">
      <c r="A164" t="inlineStr">
        <is>
          <t>A 19703-2025</t>
        </is>
      </c>
      <c r="B164" s="1" t="n">
        <v>45771</v>
      </c>
      <c r="C164" s="1" t="n">
        <v>45801</v>
      </c>
      <c r="D164" t="inlineStr">
        <is>
          <t>UPPSALA LÄN</t>
        </is>
      </c>
      <c r="E164" t="inlineStr">
        <is>
          <t>ÄLVKARLEBY</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45801</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22223-2025</t>
        </is>
      </c>
      <c r="B166" s="1" t="n">
        <v>45785</v>
      </c>
      <c r="C166" s="1" t="n">
        <v>45801</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24593-2025</t>
        </is>
      </c>
      <c r="B167" s="1" t="n">
        <v>45798</v>
      </c>
      <c r="C167" s="1" t="n">
        <v>45801</v>
      </c>
      <c r="D167" t="inlineStr">
        <is>
          <t>UPPSALA LÄN</t>
        </is>
      </c>
      <c r="E167" t="inlineStr">
        <is>
          <t>ÄLVKARLEBY</t>
        </is>
      </c>
      <c r="F167" t="inlineStr">
        <is>
          <t>Bergvik skog väst AB</t>
        </is>
      </c>
      <c r="G167" t="n">
        <v>0.6</v>
      </c>
      <c r="H167" t="n">
        <v>0</v>
      </c>
      <c r="I167" t="n">
        <v>0</v>
      </c>
      <c r="J167" t="n">
        <v>0</v>
      </c>
      <c r="K167" t="n">
        <v>0</v>
      </c>
      <c r="L167" t="n">
        <v>0</v>
      </c>
      <c r="M167" t="n">
        <v>0</v>
      </c>
      <c r="N167" t="n">
        <v>0</v>
      </c>
      <c r="O167" t="n">
        <v>0</v>
      </c>
      <c r="P167" t="n">
        <v>0</v>
      </c>
      <c r="Q167" t="n">
        <v>0</v>
      </c>
      <c r="R167" s="2" t="inlineStr"/>
    </row>
    <row r="168" ht="15" customHeight="1">
      <c r="A168" t="inlineStr">
        <is>
          <t>A 24592-2025</t>
        </is>
      </c>
      <c r="B168" s="1" t="n">
        <v>45798</v>
      </c>
      <c r="C168" s="1" t="n">
        <v>45801</v>
      </c>
      <c r="D168" t="inlineStr">
        <is>
          <t>UPPSALA LÄN</t>
        </is>
      </c>
      <c r="E168" t="inlineStr">
        <is>
          <t>ÄLVKARLEBY</t>
        </is>
      </c>
      <c r="F168" t="inlineStr">
        <is>
          <t>Bergvik skog väst AB</t>
        </is>
      </c>
      <c r="G168" t="n">
        <v>2.5</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45801</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25330-2025</t>
        </is>
      </c>
      <c r="B170" s="1" t="n">
        <v>45800</v>
      </c>
      <c r="C170" s="1" t="n">
        <v>45801</v>
      </c>
      <c r="D170" t="inlineStr">
        <is>
          <t>UPPSALA LÄN</t>
        </is>
      </c>
      <c r="E170" t="inlineStr">
        <is>
          <t>ÄLVKARLEBY</t>
        </is>
      </c>
      <c r="F170" t="inlineStr">
        <is>
          <t>Bergvik skog väst AB</t>
        </is>
      </c>
      <c r="G170" t="n">
        <v>5</v>
      </c>
      <c r="H170" t="n">
        <v>0</v>
      </c>
      <c r="I170" t="n">
        <v>0</v>
      </c>
      <c r="J170" t="n">
        <v>0</v>
      </c>
      <c r="K170" t="n">
        <v>0</v>
      </c>
      <c r="L170" t="n">
        <v>0</v>
      </c>
      <c r="M170" t="n">
        <v>0</v>
      </c>
      <c r="N170" t="n">
        <v>0</v>
      </c>
      <c r="O170" t="n">
        <v>0</v>
      </c>
      <c r="P170" t="n">
        <v>0</v>
      </c>
      <c r="Q170" t="n">
        <v>0</v>
      </c>
      <c r="R170" s="2" t="inlineStr"/>
    </row>
    <row r="171">
      <c r="A171" t="inlineStr">
        <is>
          <t>A 25264-2025</t>
        </is>
      </c>
      <c r="B171" s="1" t="n">
        <v>45800</v>
      </c>
      <c r="C171" s="1" t="n">
        <v>45801</v>
      </c>
      <c r="D171" t="inlineStr">
        <is>
          <t>UPPSALA LÄN</t>
        </is>
      </c>
      <c r="E171" t="inlineStr">
        <is>
          <t>ÄLVKARLEBY</t>
        </is>
      </c>
      <c r="F171" t="inlineStr">
        <is>
          <t>Bergvik skog väst AB</t>
        </is>
      </c>
      <c r="G171" t="n">
        <v>3.4</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2025-05-24T18:32:35Z</dcterms:created>
  <dcterms:modified xmlns:dcterms="http://purl.org/dc/terms/" xmlns:xsi="http://www.w3.org/2001/XMLSchema-instance" xsi:type="dcterms:W3CDTF">2025-05-24T18:32:35Z</dcterms:modified>
</cp:coreProperties>
</file>