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45720</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45720</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45720</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45720</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45720</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45720</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45720</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45720</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45720</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45720</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45720</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45720</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45720</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45720</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45720</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45720</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45720</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45720</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45720</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45720</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45720</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45720</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45720</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45720</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45720</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45720</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45720</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45720</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45720</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45720</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45720</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45720</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45720</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45720</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45720</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45720</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45720</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9521-2025</t>
        </is>
      </c>
      <c r="B42" s="1" t="n">
        <v>45715</v>
      </c>
      <c r="C42" s="1" t="n">
        <v>45720</v>
      </c>
      <c r="D42" t="inlineStr">
        <is>
          <t>UPPSALA LÄN</t>
        </is>
      </c>
      <c r="E42" t="inlineStr">
        <is>
          <t>ÄLVKARLEBY</t>
        </is>
      </c>
      <c r="G42" t="n">
        <v>6.3</v>
      </c>
      <c r="H42" t="n">
        <v>0</v>
      </c>
      <c r="I42" t="n">
        <v>1</v>
      </c>
      <c r="J42" t="n">
        <v>0</v>
      </c>
      <c r="K42" t="n">
        <v>0</v>
      </c>
      <c r="L42" t="n">
        <v>0</v>
      </c>
      <c r="M42" t="n">
        <v>0</v>
      </c>
      <c r="N42" t="n">
        <v>0</v>
      </c>
      <c r="O42" t="n">
        <v>0</v>
      </c>
      <c r="P42" t="n">
        <v>0</v>
      </c>
      <c r="Q42" t="n">
        <v>1</v>
      </c>
      <c r="R42" s="2" t="inlineStr">
        <is>
          <t>Rödgul trumpetsvamp</t>
        </is>
      </c>
      <c r="S42">
        <f>HYPERLINK("https://klasma.github.io/Logging_0319/artfynd/A 9521-2025 artfynd.xlsx", "A 9521-2025")</f>
        <v/>
      </c>
      <c r="T42">
        <f>HYPERLINK("https://klasma.github.io/Logging_0319/kartor/A 9521-2025 karta.png", "A 9521-2025")</f>
        <v/>
      </c>
      <c r="V42">
        <f>HYPERLINK("https://klasma.github.io/Logging_0319/klagomål/A 9521-2025 FSC-klagomål.docx", "A 9521-2025")</f>
        <v/>
      </c>
      <c r="W42">
        <f>HYPERLINK("https://klasma.github.io/Logging_0319/klagomålsmail/A 9521-2025 FSC-klagomål mail.docx", "A 9521-2025")</f>
        <v/>
      </c>
      <c r="X42">
        <f>HYPERLINK("https://klasma.github.io/Logging_0319/tillsyn/A 9521-2025 tillsynsbegäran.docx", "A 9521-2025")</f>
        <v/>
      </c>
      <c r="Y42">
        <f>HYPERLINK("https://klasma.github.io/Logging_0319/tillsynsmail/A 9521-2025 tillsynsbegäran mail.docx", "A 9521-2025")</f>
        <v/>
      </c>
    </row>
    <row r="43" ht="15" customHeight="1">
      <c r="A43" t="inlineStr">
        <is>
          <t>A 19969-2019</t>
        </is>
      </c>
      <c r="B43" s="1" t="n">
        <v>43570</v>
      </c>
      <c r="C43" s="1" t="n">
        <v>45720</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24105-2019</t>
        </is>
      </c>
      <c r="B44" s="1" t="n">
        <v>43598</v>
      </c>
      <c r="C44" s="1" t="n">
        <v>45720</v>
      </c>
      <c r="D44" t="inlineStr">
        <is>
          <t>UPPSALA LÄN</t>
        </is>
      </c>
      <c r="E44" t="inlineStr">
        <is>
          <t>ÄLVKARLEBY</t>
        </is>
      </c>
      <c r="F44" t="inlineStr">
        <is>
          <t>Kyrkan</t>
        </is>
      </c>
      <c r="G44" t="n">
        <v>0.6</v>
      </c>
      <c r="H44" t="n">
        <v>0</v>
      </c>
      <c r="I44" t="n">
        <v>0</v>
      </c>
      <c r="J44" t="n">
        <v>0</v>
      </c>
      <c r="K44" t="n">
        <v>0</v>
      </c>
      <c r="L44" t="n">
        <v>0</v>
      </c>
      <c r="M44" t="n">
        <v>0</v>
      </c>
      <c r="N44" t="n">
        <v>0</v>
      </c>
      <c r="O44" t="n">
        <v>0</v>
      </c>
      <c r="P44" t="n">
        <v>0</v>
      </c>
      <c r="Q44" t="n">
        <v>0</v>
      </c>
      <c r="R44" s="2" t="inlineStr"/>
    </row>
    <row r="45" ht="15" customHeight="1">
      <c r="A45" t="inlineStr">
        <is>
          <t>A 25340-2019</t>
        </is>
      </c>
      <c r="B45" s="1" t="n">
        <v>43606</v>
      </c>
      <c r="C45" s="1" t="n">
        <v>45720</v>
      </c>
      <c r="D45" t="inlineStr">
        <is>
          <t>UPPSALA LÄN</t>
        </is>
      </c>
      <c r="E45" t="inlineStr">
        <is>
          <t>ÄLVKARLEBY</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44457-2019</t>
        </is>
      </c>
      <c r="B46" s="1" t="n">
        <v>43711</v>
      </c>
      <c r="C46" s="1" t="n">
        <v>45720</v>
      </c>
      <c r="D46" t="inlineStr">
        <is>
          <t>UPPSALA LÄN</t>
        </is>
      </c>
      <c r="E46" t="inlineStr">
        <is>
          <t>ÄLVKARLEBY</t>
        </is>
      </c>
      <c r="F46" t="inlineStr">
        <is>
          <t>Bergvik skog väst AB</t>
        </is>
      </c>
      <c r="G46" t="n">
        <v>8.699999999999999</v>
      </c>
      <c r="H46" t="n">
        <v>0</v>
      </c>
      <c r="I46" t="n">
        <v>0</v>
      </c>
      <c r="J46" t="n">
        <v>0</v>
      </c>
      <c r="K46" t="n">
        <v>0</v>
      </c>
      <c r="L46" t="n">
        <v>0</v>
      </c>
      <c r="M46" t="n">
        <v>0</v>
      </c>
      <c r="N46" t="n">
        <v>0</v>
      </c>
      <c r="O46" t="n">
        <v>0</v>
      </c>
      <c r="P46" t="n">
        <v>0</v>
      </c>
      <c r="Q46" t="n">
        <v>0</v>
      </c>
      <c r="R46" s="2" t="inlineStr"/>
    </row>
    <row r="47" ht="15" customHeight="1">
      <c r="A47" t="inlineStr">
        <is>
          <t>A 48822-2019</t>
        </is>
      </c>
      <c r="B47" s="1" t="n">
        <v>43728</v>
      </c>
      <c r="C47" s="1" t="n">
        <v>45720</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57745-2019</t>
        </is>
      </c>
      <c r="B48" s="1" t="n">
        <v>43768</v>
      </c>
      <c r="C48" s="1" t="n">
        <v>45720</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5511-2020</t>
        </is>
      </c>
      <c r="B49" s="1" t="n">
        <v>43861</v>
      </c>
      <c r="C49" s="1" t="n">
        <v>45720</v>
      </c>
      <c r="D49" t="inlineStr">
        <is>
          <t>UPPSALA LÄN</t>
        </is>
      </c>
      <c r="E49" t="inlineStr">
        <is>
          <t>ÄLVKARLEBY</t>
        </is>
      </c>
      <c r="G49" t="n">
        <v>1.2</v>
      </c>
      <c r="H49" t="n">
        <v>0</v>
      </c>
      <c r="I49" t="n">
        <v>0</v>
      </c>
      <c r="J49" t="n">
        <v>0</v>
      </c>
      <c r="K49" t="n">
        <v>0</v>
      </c>
      <c r="L49" t="n">
        <v>0</v>
      </c>
      <c r="M49" t="n">
        <v>0</v>
      </c>
      <c r="N49" t="n">
        <v>0</v>
      </c>
      <c r="O49" t="n">
        <v>0</v>
      </c>
      <c r="P49" t="n">
        <v>0</v>
      </c>
      <c r="Q49" t="n">
        <v>0</v>
      </c>
      <c r="R49" s="2" t="inlineStr"/>
    </row>
    <row r="50" ht="15" customHeight="1">
      <c r="A50" t="inlineStr">
        <is>
          <t>A 15213-2020</t>
        </is>
      </c>
      <c r="B50" s="1" t="n">
        <v>43913</v>
      </c>
      <c r="C50" s="1" t="n">
        <v>45720</v>
      </c>
      <c r="D50" t="inlineStr">
        <is>
          <t>UPPSALA LÄN</t>
        </is>
      </c>
      <c r="E50" t="inlineStr">
        <is>
          <t>ÄLVKARLEBY</t>
        </is>
      </c>
      <c r="G50" t="n">
        <v>5</v>
      </c>
      <c r="H50" t="n">
        <v>0</v>
      </c>
      <c r="I50" t="n">
        <v>0</v>
      </c>
      <c r="J50" t="n">
        <v>0</v>
      </c>
      <c r="K50" t="n">
        <v>0</v>
      </c>
      <c r="L50" t="n">
        <v>0</v>
      </c>
      <c r="M50" t="n">
        <v>0</v>
      </c>
      <c r="N50" t="n">
        <v>0</v>
      </c>
      <c r="O50" t="n">
        <v>0</v>
      </c>
      <c r="P50" t="n">
        <v>0</v>
      </c>
      <c r="Q50" t="n">
        <v>0</v>
      </c>
      <c r="R50" s="2" t="inlineStr"/>
    </row>
    <row r="51" ht="15" customHeight="1">
      <c r="A51" t="inlineStr">
        <is>
          <t>A 32416-2020</t>
        </is>
      </c>
      <c r="B51" s="1" t="n">
        <v>44018</v>
      </c>
      <c r="C51" s="1" t="n">
        <v>45720</v>
      </c>
      <c r="D51" t="inlineStr">
        <is>
          <t>UPPSALA LÄN</t>
        </is>
      </c>
      <c r="E51" t="inlineStr">
        <is>
          <t>ÄLVKARLEBY</t>
        </is>
      </c>
      <c r="F51" t="inlineStr">
        <is>
          <t>Bergvik skog väst AB</t>
        </is>
      </c>
      <c r="G51" t="n">
        <v>1</v>
      </c>
      <c r="H51" t="n">
        <v>0</v>
      </c>
      <c r="I51" t="n">
        <v>0</v>
      </c>
      <c r="J51" t="n">
        <v>0</v>
      </c>
      <c r="K51" t="n">
        <v>0</v>
      </c>
      <c r="L51" t="n">
        <v>0</v>
      </c>
      <c r="M51" t="n">
        <v>0</v>
      </c>
      <c r="N51" t="n">
        <v>0</v>
      </c>
      <c r="O51" t="n">
        <v>0</v>
      </c>
      <c r="P51" t="n">
        <v>0</v>
      </c>
      <c r="Q51" t="n">
        <v>0</v>
      </c>
      <c r="R51" s="2" t="inlineStr"/>
    </row>
    <row r="52" ht="15" customHeight="1">
      <c r="A52" t="inlineStr">
        <is>
          <t>A 37193-2020</t>
        </is>
      </c>
      <c r="B52" s="1" t="n">
        <v>44054</v>
      </c>
      <c r="C52" s="1" t="n">
        <v>45720</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40667-2020</t>
        </is>
      </c>
      <c r="B53" s="1" t="n">
        <v>44069</v>
      </c>
      <c r="C53" s="1" t="n">
        <v>45720</v>
      </c>
      <c r="D53" t="inlineStr">
        <is>
          <t>UPPSALA LÄN</t>
        </is>
      </c>
      <c r="E53" t="inlineStr">
        <is>
          <t>ÄLVKARLEBY</t>
        </is>
      </c>
      <c r="F53" t="inlineStr">
        <is>
          <t>Bergvik skog väst AB</t>
        </is>
      </c>
      <c r="G53" t="n">
        <v>20.7</v>
      </c>
      <c r="H53" t="n">
        <v>0</v>
      </c>
      <c r="I53" t="n">
        <v>0</v>
      </c>
      <c r="J53" t="n">
        <v>0</v>
      </c>
      <c r="K53" t="n">
        <v>0</v>
      </c>
      <c r="L53" t="n">
        <v>0</v>
      </c>
      <c r="M53" t="n">
        <v>0</v>
      </c>
      <c r="N53" t="n">
        <v>0</v>
      </c>
      <c r="O53" t="n">
        <v>0</v>
      </c>
      <c r="P53" t="n">
        <v>0</v>
      </c>
      <c r="Q53" t="n">
        <v>0</v>
      </c>
      <c r="R53" s="2" t="inlineStr"/>
    </row>
    <row r="54" ht="15" customHeight="1">
      <c r="A54" t="inlineStr">
        <is>
          <t>A 50413-2020</t>
        </is>
      </c>
      <c r="B54" s="1" t="n">
        <v>44110</v>
      </c>
      <c r="C54" s="1" t="n">
        <v>45720</v>
      </c>
      <c r="D54" t="inlineStr">
        <is>
          <t>UPPSALA LÄN</t>
        </is>
      </c>
      <c r="E54" t="inlineStr">
        <is>
          <t>ÄLVKARLEBY</t>
        </is>
      </c>
      <c r="F54" t="inlineStr">
        <is>
          <t>Bergvik skog väst AB</t>
        </is>
      </c>
      <c r="G54" t="n">
        <v>2.1</v>
      </c>
      <c r="H54" t="n">
        <v>0</v>
      </c>
      <c r="I54" t="n">
        <v>0</v>
      </c>
      <c r="J54" t="n">
        <v>0</v>
      </c>
      <c r="K54" t="n">
        <v>0</v>
      </c>
      <c r="L54" t="n">
        <v>0</v>
      </c>
      <c r="M54" t="n">
        <v>0</v>
      </c>
      <c r="N54" t="n">
        <v>0</v>
      </c>
      <c r="O54" t="n">
        <v>0</v>
      </c>
      <c r="P54" t="n">
        <v>0</v>
      </c>
      <c r="Q54" t="n">
        <v>0</v>
      </c>
      <c r="R54" s="2" t="inlineStr"/>
    </row>
    <row r="55" ht="15" customHeight="1">
      <c r="A55" t="inlineStr">
        <is>
          <t>A 50416-2020</t>
        </is>
      </c>
      <c r="B55" s="1" t="n">
        <v>44110</v>
      </c>
      <c r="C55" s="1" t="n">
        <v>45720</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50409-2020</t>
        </is>
      </c>
      <c r="B56" s="1" t="n">
        <v>44110</v>
      </c>
      <c r="C56" s="1" t="n">
        <v>45720</v>
      </c>
      <c r="D56" t="inlineStr">
        <is>
          <t>UPPSALA LÄN</t>
        </is>
      </c>
      <c r="E56" t="inlineStr">
        <is>
          <t>ÄLVKARLEBY</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66278-2020</t>
        </is>
      </c>
      <c r="B57" s="1" t="n">
        <v>44176</v>
      </c>
      <c r="C57" s="1" t="n">
        <v>45720</v>
      </c>
      <c r="D57" t="inlineStr">
        <is>
          <t>UPPSALA LÄN</t>
        </is>
      </c>
      <c r="E57" t="inlineStr">
        <is>
          <t>ÄLVKARLEBY</t>
        </is>
      </c>
      <c r="F57" t="inlineStr">
        <is>
          <t>Bergvik skog väst AB</t>
        </is>
      </c>
      <c r="G57" t="n">
        <v>4.1</v>
      </c>
      <c r="H57" t="n">
        <v>0</v>
      </c>
      <c r="I57" t="n">
        <v>0</v>
      </c>
      <c r="J57" t="n">
        <v>0</v>
      </c>
      <c r="K57" t="n">
        <v>0</v>
      </c>
      <c r="L57" t="n">
        <v>0</v>
      </c>
      <c r="M57" t="n">
        <v>0</v>
      </c>
      <c r="N57" t="n">
        <v>0</v>
      </c>
      <c r="O57" t="n">
        <v>0</v>
      </c>
      <c r="P57" t="n">
        <v>0</v>
      </c>
      <c r="Q57" t="n">
        <v>0</v>
      </c>
      <c r="R57" s="2" t="inlineStr"/>
    </row>
    <row r="58" ht="15" customHeight="1">
      <c r="A58" t="inlineStr">
        <is>
          <t>A 967-2021</t>
        </is>
      </c>
      <c r="B58" s="1" t="n">
        <v>44207</v>
      </c>
      <c r="C58" s="1" t="n">
        <v>45720</v>
      </c>
      <c r="D58" t="inlineStr">
        <is>
          <t>UPPSALA LÄN</t>
        </is>
      </c>
      <c r="E58" t="inlineStr">
        <is>
          <t>ÄLVKARLEBY</t>
        </is>
      </c>
      <c r="G58" t="n">
        <v>0.7</v>
      </c>
      <c r="H58" t="n">
        <v>0</v>
      </c>
      <c r="I58" t="n">
        <v>0</v>
      </c>
      <c r="J58" t="n">
        <v>0</v>
      </c>
      <c r="K58" t="n">
        <v>0</v>
      </c>
      <c r="L58" t="n">
        <v>0</v>
      </c>
      <c r="M58" t="n">
        <v>0</v>
      </c>
      <c r="N58" t="n">
        <v>0</v>
      </c>
      <c r="O58" t="n">
        <v>0</v>
      </c>
      <c r="P58" t="n">
        <v>0</v>
      </c>
      <c r="Q58" t="n">
        <v>0</v>
      </c>
      <c r="R58" s="2" t="inlineStr"/>
    </row>
    <row r="59" ht="15" customHeight="1">
      <c r="A59" t="inlineStr">
        <is>
          <t>A 11553-2021</t>
        </is>
      </c>
      <c r="B59" s="1" t="n">
        <v>44264</v>
      </c>
      <c r="C59" s="1" t="n">
        <v>45720</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13476-2021</t>
        </is>
      </c>
      <c r="B60" s="1" t="n">
        <v>44273</v>
      </c>
      <c r="C60" s="1" t="n">
        <v>45720</v>
      </c>
      <c r="D60" t="inlineStr">
        <is>
          <t>UPPSALA LÄN</t>
        </is>
      </c>
      <c r="E60" t="inlineStr">
        <is>
          <t>ÄLVKARLEBY</t>
        </is>
      </c>
      <c r="F60" t="inlineStr">
        <is>
          <t>Bergvik skog väst AB</t>
        </is>
      </c>
      <c r="G60" t="n">
        <v>12.1</v>
      </c>
      <c r="H60" t="n">
        <v>0</v>
      </c>
      <c r="I60" t="n">
        <v>0</v>
      </c>
      <c r="J60" t="n">
        <v>0</v>
      </c>
      <c r="K60" t="n">
        <v>0</v>
      </c>
      <c r="L60" t="n">
        <v>0</v>
      </c>
      <c r="M60" t="n">
        <v>0</v>
      </c>
      <c r="N60" t="n">
        <v>0</v>
      </c>
      <c r="O60" t="n">
        <v>0</v>
      </c>
      <c r="P60" t="n">
        <v>0</v>
      </c>
      <c r="Q60" t="n">
        <v>0</v>
      </c>
      <c r="R60" s="2" t="inlineStr"/>
    </row>
    <row r="61" ht="15" customHeight="1">
      <c r="A61" t="inlineStr">
        <is>
          <t>A 39791-2021</t>
        </is>
      </c>
      <c r="B61" s="1" t="n">
        <v>44417</v>
      </c>
      <c r="C61" s="1" t="n">
        <v>45720</v>
      </c>
      <c r="D61" t="inlineStr">
        <is>
          <t>UPPSALA LÄN</t>
        </is>
      </c>
      <c r="E61" t="inlineStr">
        <is>
          <t>ÄLVKARLEBY</t>
        </is>
      </c>
      <c r="G61" t="n">
        <v>1.8</v>
      </c>
      <c r="H61" t="n">
        <v>0</v>
      </c>
      <c r="I61" t="n">
        <v>0</v>
      </c>
      <c r="J61" t="n">
        <v>0</v>
      </c>
      <c r="K61" t="n">
        <v>0</v>
      </c>
      <c r="L61" t="n">
        <v>0</v>
      </c>
      <c r="M61" t="n">
        <v>0</v>
      </c>
      <c r="N61" t="n">
        <v>0</v>
      </c>
      <c r="O61" t="n">
        <v>0</v>
      </c>
      <c r="P61" t="n">
        <v>0</v>
      </c>
      <c r="Q61" t="n">
        <v>0</v>
      </c>
      <c r="R61" s="2" t="inlineStr"/>
    </row>
    <row r="62" ht="15" customHeight="1">
      <c r="A62" t="inlineStr">
        <is>
          <t>A 47226-2021</t>
        </is>
      </c>
      <c r="B62" s="1" t="n">
        <v>44447</v>
      </c>
      <c r="C62" s="1" t="n">
        <v>45720</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16990-2022</t>
        </is>
      </c>
      <c r="B63" s="1" t="n">
        <v>44676</v>
      </c>
      <c r="C63" s="1" t="n">
        <v>45720</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22916-2022</t>
        </is>
      </c>
      <c r="B64" s="1" t="n">
        <v>44715</v>
      </c>
      <c r="C64" s="1" t="n">
        <v>45720</v>
      </c>
      <c r="D64" t="inlineStr">
        <is>
          <t>UPPSALA LÄN</t>
        </is>
      </c>
      <c r="E64" t="inlineStr">
        <is>
          <t>ÄLVKARLEBY</t>
        </is>
      </c>
      <c r="F64" t="inlineStr">
        <is>
          <t>Bergvik skog väst AB</t>
        </is>
      </c>
      <c r="G64" t="n">
        <v>9.199999999999999</v>
      </c>
      <c r="H64" t="n">
        <v>0</v>
      </c>
      <c r="I64" t="n">
        <v>0</v>
      </c>
      <c r="J64" t="n">
        <v>0</v>
      </c>
      <c r="K64" t="n">
        <v>0</v>
      </c>
      <c r="L64" t="n">
        <v>0</v>
      </c>
      <c r="M64" t="n">
        <v>0</v>
      </c>
      <c r="N64" t="n">
        <v>0</v>
      </c>
      <c r="O64" t="n">
        <v>0</v>
      </c>
      <c r="P64" t="n">
        <v>0</v>
      </c>
      <c r="Q64" t="n">
        <v>0</v>
      </c>
      <c r="R64" s="2" t="inlineStr"/>
    </row>
    <row r="65" ht="15" customHeight="1">
      <c r="A65" t="inlineStr">
        <is>
          <t>A 26815-2022</t>
        </is>
      </c>
      <c r="B65" s="1" t="n">
        <v>44740</v>
      </c>
      <c r="C65" s="1" t="n">
        <v>45720</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29116-2022</t>
        </is>
      </c>
      <c r="B66" s="1" t="n">
        <v>44750</v>
      </c>
      <c r="C66" s="1" t="n">
        <v>45720</v>
      </c>
      <c r="D66" t="inlineStr">
        <is>
          <t>UPPSALA LÄN</t>
        </is>
      </c>
      <c r="E66" t="inlineStr">
        <is>
          <t>ÄLVKARLEBY</t>
        </is>
      </c>
      <c r="F66" t="inlineStr">
        <is>
          <t>Kommuner</t>
        </is>
      </c>
      <c r="G66" t="n">
        <v>1.6</v>
      </c>
      <c r="H66" t="n">
        <v>0</v>
      </c>
      <c r="I66" t="n">
        <v>0</v>
      </c>
      <c r="J66" t="n">
        <v>0</v>
      </c>
      <c r="K66" t="n">
        <v>0</v>
      </c>
      <c r="L66" t="n">
        <v>0</v>
      </c>
      <c r="M66" t="n">
        <v>0</v>
      </c>
      <c r="N66" t="n">
        <v>0</v>
      </c>
      <c r="O66" t="n">
        <v>0</v>
      </c>
      <c r="P66" t="n">
        <v>0</v>
      </c>
      <c r="Q66" t="n">
        <v>0</v>
      </c>
      <c r="R66" s="2" t="inlineStr"/>
    </row>
    <row r="67" ht="15" customHeight="1">
      <c r="A67" t="inlineStr">
        <is>
          <t>A 29168-2022</t>
        </is>
      </c>
      <c r="B67" s="1" t="n">
        <v>44750</v>
      </c>
      <c r="C67" s="1" t="n">
        <v>45720</v>
      </c>
      <c r="D67" t="inlineStr">
        <is>
          <t>UPPSALA LÄN</t>
        </is>
      </c>
      <c r="E67" t="inlineStr">
        <is>
          <t>ÄLVKARLEBY</t>
        </is>
      </c>
      <c r="F67" t="inlineStr">
        <is>
          <t>Kommuner</t>
        </is>
      </c>
      <c r="G67" t="n">
        <v>5.1</v>
      </c>
      <c r="H67" t="n">
        <v>0</v>
      </c>
      <c r="I67" t="n">
        <v>0</v>
      </c>
      <c r="J67" t="n">
        <v>0</v>
      </c>
      <c r="K67" t="n">
        <v>0</v>
      </c>
      <c r="L67" t="n">
        <v>0</v>
      </c>
      <c r="M67" t="n">
        <v>0</v>
      </c>
      <c r="N67" t="n">
        <v>0</v>
      </c>
      <c r="O67" t="n">
        <v>0</v>
      </c>
      <c r="P67" t="n">
        <v>0</v>
      </c>
      <c r="Q67" t="n">
        <v>0</v>
      </c>
      <c r="R67" s="2" t="inlineStr"/>
    </row>
    <row r="68" ht="15" customHeight="1">
      <c r="A68" t="inlineStr">
        <is>
          <t>A 36216-2022</t>
        </is>
      </c>
      <c r="B68" s="1" t="n">
        <v>44803</v>
      </c>
      <c r="C68" s="1" t="n">
        <v>45720</v>
      </c>
      <c r="D68" t="inlineStr">
        <is>
          <t>UPPSALA LÄN</t>
        </is>
      </c>
      <c r="E68" t="inlineStr">
        <is>
          <t>ÄLVKARLEBY</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36217-2022</t>
        </is>
      </c>
      <c r="B69" s="1" t="n">
        <v>44803</v>
      </c>
      <c r="C69" s="1" t="n">
        <v>45720</v>
      </c>
      <c r="D69" t="inlineStr">
        <is>
          <t>UPPSALA LÄN</t>
        </is>
      </c>
      <c r="E69" t="inlineStr">
        <is>
          <t>ÄLVKARLEBY</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36282-2022</t>
        </is>
      </c>
      <c r="B70" s="1" t="n">
        <v>44803</v>
      </c>
      <c r="C70" s="1" t="n">
        <v>45720</v>
      </c>
      <c r="D70" t="inlineStr">
        <is>
          <t>UPPSALA LÄN</t>
        </is>
      </c>
      <c r="E70" t="inlineStr">
        <is>
          <t>ÄLVKARLEBY</t>
        </is>
      </c>
      <c r="G70" t="n">
        <v>0.1</v>
      </c>
      <c r="H70" t="n">
        <v>0</v>
      </c>
      <c r="I70" t="n">
        <v>0</v>
      </c>
      <c r="J70" t="n">
        <v>0</v>
      </c>
      <c r="K70" t="n">
        <v>0</v>
      </c>
      <c r="L70" t="n">
        <v>0</v>
      </c>
      <c r="M70" t="n">
        <v>0</v>
      </c>
      <c r="N70" t="n">
        <v>0</v>
      </c>
      <c r="O70" t="n">
        <v>0</v>
      </c>
      <c r="P70" t="n">
        <v>0</v>
      </c>
      <c r="Q70" t="n">
        <v>0</v>
      </c>
      <c r="R70" s="2" t="inlineStr"/>
    </row>
    <row r="71" ht="15" customHeight="1">
      <c r="A71" t="inlineStr">
        <is>
          <t>A 41757-2022</t>
        </is>
      </c>
      <c r="B71" s="1" t="n">
        <v>44827</v>
      </c>
      <c r="C71" s="1" t="n">
        <v>45720</v>
      </c>
      <c r="D71" t="inlineStr">
        <is>
          <t>UPPSALA LÄN</t>
        </is>
      </c>
      <c r="E71" t="inlineStr">
        <is>
          <t>ÄLVKARLEBY</t>
        </is>
      </c>
      <c r="F71" t="inlineStr">
        <is>
          <t>Bergvik skog väst AB</t>
        </is>
      </c>
      <c r="G71" t="n">
        <v>12.7</v>
      </c>
      <c r="H71" t="n">
        <v>0</v>
      </c>
      <c r="I71" t="n">
        <v>0</v>
      </c>
      <c r="J71" t="n">
        <v>0</v>
      </c>
      <c r="K71" t="n">
        <v>0</v>
      </c>
      <c r="L71" t="n">
        <v>0</v>
      </c>
      <c r="M71" t="n">
        <v>0</v>
      </c>
      <c r="N71" t="n">
        <v>0</v>
      </c>
      <c r="O71" t="n">
        <v>0</v>
      </c>
      <c r="P71" t="n">
        <v>0</v>
      </c>
      <c r="Q71" t="n">
        <v>0</v>
      </c>
      <c r="R71" s="2" t="inlineStr"/>
    </row>
    <row r="72" ht="15" customHeight="1">
      <c r="A72" t="inlineStr">
        <is>
          <t>A 60837-2022</t>
        </is>
      </c>
      <c r="B72" s="1" t="n">
        <v>44914</v>
      </c>
      <c r="C72" s="1" t="n">
        <v>45720</v>
      </c>
      <c r="D72" t="inlineStr">
        <is>
          <t>UPPSALA LÄN</t>
        </is>
      </c>
      <c r="E72" t="inlineStr">
        <is>
          <t>ÄLVKARLEBY</t>
        </is>
      </c>
      <c r="F72" t="inlineStr">
        <is>
          <t>Bergvik skog väst AB</t>
        </is>
      </c>
      <c r="G72" t="n">
        <v>3.1</v>
      </c>
      <c r="H72" t="n">
        <v>0</v>
      </c>
      <c r="I72" t="n">
        <v>0</v>
      </c>
      <c r="J72" t="n">
        <v>0</v>
      </c>
      <c r="K72" t="n">
        <v>0</v>
      </c>
      <c r="L72" t="n">
        <v>0</v>
      </c>
      <c r="M72" t="n">
        <v>0</v>
      </c>
      <c r="N72" t="n">
        <v>0</v>
      </c>
      <c r="O72" t="n">
        <v>0</v>
      </c>
      <c r="P72" t="n">
        <v>0</v>
      </c>
      <c r="Q72" t="n">
        <v>0</v>
      </c>
      <c r="R72" s="2" t="inlineStr"/>
    </row>
    <row r="73" ht="15" customHeight="1">
      <c r="A73" t="inlineStr">
        <is>
          <t>A 6839-2023</t>
        </is>
      </c>
      <c r="B73" s="1" t="n">
        <v>44967</v>
      </c>
      <c r="C73" s="1" t="n">
        <v>45720</v>
      </c>
      <c r="D73" t="inlineStr">
        <is>
          <t>UPPSALA LÄN</t>
        </is>
      </c>
      <c r="E73" t="inlineStr">
        <is>
          <t>ÄLVKARLEBY</t>
        </is>
      </c>
      <c r="F73" t="inlineStr">
        <is>
          <t>Bergvik skog väst AB</t>
        </is>
      </c>
      <c r="G73" t="n">
        <v>2.2</v>
      </c>
      <c r="H73" t="n">
        <v>0</v>
      </c>
      <c r="I73" t="n">
        <v>0</v>
      </c>
      <c r="J73" t="n">
        <v>0</v>
      </c>
      <c r="K73" t="n">
        <v>0</v>
      </c>
      <c r="L73" t="n">
        <v>0</v>
      </c>
      <c r="M73" t="n">
        <v>0</v>
      </c>
      <c r="N73" t="n">
        <v>0</v>
      </c>
      <c r="O73" t="n">
        <v>0</v>
      </c>
      <c r="P73" t="n">
        <v>0</v>
      </c>
      <c r="Q73" t="n">
        <v>0</v>
      </c>
      <c r="R73" s="2" t="inlineStr"/>
    </row>
    <row r="74" ht="15" customHeight="1">
      <c r="A74" t="inlineStr">
        <is>
          <t>A 6834-2023</t>
        </is>
      </c>
      <c r="B74" s="1" t="n">
        <v>44967</v>
      </c>
      <c r="C74" s="1" t="n">
        <v>45720</v>
      </c>
      <c r="D74" t="inlineStr">
        <is>
          <t>UPPSALA LÄN</t>
        </is>
      </c>
      <c r="E74" t="inlineStr">
        <is>
          <t>ÄLVKARLEBY</t>
        </is>
      </c>
      <c r="F74" t="inlineStr">
        <is>
          <t>Bergvik skog väst AB</t>
        </is>
      </c>
      <c r="G74" t="n">
        <v>8.1</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45720</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14590-2023</t>
        </is>
      </c>
      <c r="B76" s="1" t="n">
        <v>45013</v>
      </c>
      <c r="C76" s="1" t="n">
        <v>45720</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21520-2023</t>
        </is>
      </c>
      <c r="B77" s="1" t="n">
        <v>45063</v>
      </c>
      <c r="C77" s="1" t="n">
        <v>45720</v>
      </c>
      <c r="D77" t="inlineStr">
        <is>
          <t>UPPSALA LÄN</t>
        </is>
      </c>
      <c r="E77" t="inlineStr">
        <is>
          <t>ÄLVKARLEBY</t>
        </is>
      </c>
      <c r="F77" t="inlineStr">
        <is>
          <t>Bergvik skog väst AB</t>
        </is>
      </c>
      <c r="G77" t="n">
        <v>3.8</v>
      </c>
      <c r="H77" t="n">
        <v>0</v>
      </c>
      <c r="I77" t="n">
        <v>0</v>
      </c>
      <c r="J77" t="n">
        <v>0</v>
      </c>
      <c r="K77" t="n">
        <v>0</v>
      </c>
      <c r="L77" t="n">
        <v>0</v>
      </c>
      <c r="M77" t="n">
        <v>0</v>
      </c>
      <c r="N77" t="n">
        <v>0</v>
      </c>
      <c r="O77" t="n">
        <v>0</v>
      </c>
      <c r="P77" t="n">
        <v>0</v>
      </c>
      <c r="Q77" t="n">
        <v>0</v>
      </c>
      <c r="R77" s="2" t="inlineStr"/>
    </row>
    <row r="78" ht="15" customHeight="1">
      <c r="A78" t="inlineStr">
        <is>
          <t>A 26983-2023</t>
        </is>
      </c>
      <c r="B78" s="1" t="n">
        <v>45093</v>
      </c>
      <c r="C78" s="1" t="n">
        <v>45720</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38306-2023</t>
        </is>
      </c>
      <c r="B79" s="1" t="n">
        <v>45161</v>
      </c>
      <c r="C79" s="1" t="n">
        <v>45720</v>
      </c>
      <c r="D79" t="inlineStr">
        <is>
          <t>UPPSALA LÄN</t>
        </is>
      </c>
      <c r="E79" t="inlineStr">
        <is>
          <t>ÄLVKARLEBY</t>
        </is>
      </c>
      <c r="F79" t="inlineStr">
        <is>
          <t>Bergvik skog väst AB</t>
        </is>
      </c>
      <c r="G79" t="n">
        <v>18.6</v>
      </c>
      <c r="H79" t="n">
        <v>0</v>
      </c>
      <c r="I79" t="n">
        <v>0</v>
      </c>
      <c r="J79" t="n">
        <v>0</v>
      </c>
      <c r="K79" t="n">
        <v>0</v>
      </c>
      <c r="L79" t="n">
        <v>0</v>
      </c>
      <c r="M79" t="n">
        <v>0</v>
      </c>
      <c r="N79" t="n">
        <v>0</v>
      </c>
      <c r="O79" t="n">
        <v>0</v>
      </c>
      <c r="P79" t="n">
        <v>0</v>
      </c>
      <c r="Q79" t="n">
        <v>0</v>
      </c>
      <c r="R79" s="2" t="inlineStr"/>
    </row>
    <row r="80" ht="15" customHeight="1">
      <c r="A80" t="inlineStr">
        <is>
          <t>A 38226-2023</t>
        </is>
      </c>
      <c r="B80" s="1" t="n">
        <v>45161</v>
      </c>
      <c r="C80" s="1" t="n">
        <v>45720</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38454-2023</t>
        </is>
      </c>
      <c r="B81" s="1" t="n">
        <v>45162</v>
      </c>
      <c r="C81" s="1" t="n">
        <v>45720</v>
      </c>
      <c r="D81" t="inlineStr">
        <is>
          <t>UPPSALA LÄN</t>
        </is>
      </c>
      <c r="E81" t="inlineStr">
        <is>
          <t>ÄLVKARLEBY</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38453-2023</t>
        </is>
      </c>
      <c r="B82" s="1" t="n">
        <v>45162</v>
      </c>
      <c r="C82" s="1" t="n">
        <v>45720</v>
      </c>
      <c r="D82" t="inlineStr">
        <is>
          <t>UPPSALA LÄN</t>
        </is>
      </c>
      <c r="E82" t="inlineStr">
        <is>
          <t>ÄLVKARLEBY</t>
        </is>
      </c>
      <c r="F82" t="inlineStr">
        <is>
          <t>Bergvik skog väst AB</t>
        </is>
      </c>
      <c r="G82" t="n">
        <v>3.7</v>
      </c>
      <c r="H82" t="n">
        <v>0</v>
      </c>
      <c r="I82" t="n">
        <v>0</v>
      </c>
      <c r="J82" t="n">
        <v>0</v>
      </c>
      <c r="K82" t="n">
        <v>0</v>
      </c>
      <c r="L82" t="n">
        <v>0</v>
      </c>
      <c r="M82" t="n">
        <v>0</v>
      </c>
      <c r="N82" t="n">
        <v>0</v>
      </c>
      <c r="O82" t="n">
        <v>0</v>
      </c>
      <c r="P82" t="n">
        <v>0</v>
      </c>
      <c r="Q82" t="n">
        <v>0</v>
      </c>
      <c r="R82" s="2" t="inlineStr"/>
    </row>
    <row r="83" ht="15" customHeight="1">
      <c r="A83" t="inlineStr">
        <is>
          <t>A 38461-2023</t>
        </is>
      </c>
      <c r="B83" s="1" t="n">
        <v>45162</v>
      </c>
      <c r="C83" s="1" t="n">
        <v>45720</v>
      </c>
      <c r="D83" t="inlineStr">
        <is>
          <t>UPPSALA LÄN</t>
        </is>
      </c>
      <c r="E83" t="inlineStr">
        <is>
          <t>ÄLVKARLEBY</t>
        </is>
      </c>
      <c r="F83" t="inlineStr">
        <is>
          <t>Bergvik skog väst AB</t>
        </is>
      </c>
      <c r="G83" t="n">
        <v>17.8</v>
      </c>
      <c r="H83" t="n">
        <v>0</v>
      </c>
      <c r="I83" t="n">
        <v>0</v>
      </c>
      <c r="J83" t="n">
        <v>0</v>
      </c>
      <c r="K83" t="n">
        <v>0</v>
      </c>
      <c r="L83" t="n">
        <v>0</v>
      </c>
      <c r="M83" t="n">
        <v>0</v>
      </c>
      <c r="N83" t="n">
        <v>0</v>
      </c>
      <c r="O83" t="n">
        <v>0</v>
      </c>
      <c r="P83" t="n">
        <v>0</v>
      </c>
      <c r="Q83" t="n">
        <v>0</v>
      </c>
      <c r="R83" s="2" t="inlineStr"/>
    </row>
    <row r="84" ht="15" customHeight="1">
      <c r="A84" t="inlineStr">
        <is>
          <t>A 41000-2023</t>
        </is>
      </c>
      <c r="B84" s="1" t="n">
        <v>45173</v>
      </c>
      <c r="C84" s="1" t="n">
        <v>45720</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41263-2023</t>
        </is>
      </c>
      <c r="B85" s="1" t="n">
        <v>45174</v>
      </c>
      <c r="C85" s="1" t="n">
        <v>45720</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41272-2023</t>
        </is>
      </c>
      <c r="B86" s="1" t="n">
        <v>45174</v>
      </c>
      <c r="C86" s="1" t="n">
        <v>45720</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45720</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42600-2023</t>
        </is>
      </c>
      <c r="B88" s="1" t="n">
        <v>45181</v>
      </c>
      <c r="C88" s="1" t="n">
        <v>45720</v>
      </c>
      <c r="D88" t="inlineStr">
        <is>
          <t>UPPSALA LÄN</t>
        </is>
      </c>
      <c r="E88" t="inlineStr">
        <is>
          <t>ÄLVKARLEBY</t>
        </is>
      </c>
      <c r="G88" t="n">
        <v>1.7</v>
      </c>
      <c r="H88" t="n">
        <v>0</v>
      </c>
      <c r="I88" t="n">
        <v>0</v>
      </c>
      <c r="J88" t="n">
        <v>0</v>
      </c>
      <c r="K88" t="n">
        <v>0</v>
      </c>
      <c r="L88" t="n">
        <v>0</v>
      </c>
      <c r="M88" t="n">
        <v>0</v>
      </c>
      <c r="N88" t="n">
        <v>0</v>
      </c>
      <c r="O88" t="n">
        <v>0</v>
      </c>
      <c r="P88" t="n">
        <v>0</v>
      </c>
      <c r="Q88" t="n">
        <v>0</v>
      </c>
      <c r="R88" s="2" t="inlineStr"/>
      <c r="U88">
        <f>HYPERLINK("https://klasma.github.io/Logging_0319/knärot/A 42600-2023 karta knärot.png", "A 42600-2023")</f>
        <v/>
      </c>
      <c r="V88">
        <f>HYPERLINK("https://klasma.github.io/Logging_0319/klagomål/A 42600-2023 FSC-klagomål.docx", "A 42600-2023")</f>
        <v/>
      </c>
      <c r="W88">
        <f>HYPERLINK("https://klasma.github.io/Logging_0319/klagomålsmail/A 42600-2023 FSC-klagomål mail.docx", "A 42600-2023")</f>
        <v/>
      </c>
      <c r="X88">
        <f>HYPERLINK("https://klasma.github.io/Logging_0319/tillsyn/A 42600-2023 tillsynsbegäran.docx", "A 42600-2023")</f>
        <v/>
      </c>
      <c r="Y88">
        <f>HYPERLINK("https://klasma.github.io/Logging_0319/tillsynsmail/A 42600-2023 tillsynsbegäran mail.docx", "A 42600-2023")</f>
        <v/>
      </c>
    </row>
    <row r="89" ht="15" customHeight="1">
      <c r="A89" t="inlineStr">
        <is>
          <t>A 43285-2023</t>
        </is>
      </c>
      <c r="B89" s="1" t="n">
        <v>45183</v>
      </c>
      <c r="C89" s="1" t="n">
        <v>45720</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43288-2023</t>
        </is>
      </c>
      <c r="B90" s="1" t="n">
        <v>45183</v>
      </c>
      <c r="C90" s="1" t="n">
        <v>45720</v>
      </c>
      <c r="D90" t="inlineStr">
        <is>
          <t>UPPSALA LÄN</t>
        </is>
      </c>
      <c r="E90" t="inlineStr">
        <is>
          <t>ÄLVKARLEBY</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45527-2023</t>
        </is>
      </c>
      <c r="B91" s="1" t="n">
        <v>45194</v>
      </c>
      <c r="C91" s="1" t="n">
        <v>45720</v>
      </c>
      <c r="D91" t="inlineStr">
        <is>
          <t>UPPSALA LÄN</t>
        </is>
      </c>
      <c r="E91" t="inlineStr">
        <is>
          <t>ÄLVKARLEBY</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45529-2023</t>
        </is>
      </c>
      <c r="B92" s="1" t="n">
        <v>45194</v>
      </c>
      <c r="C92" s="1" t="n">
        <v>45720</v>
      </c>
      <c r="D92" t="inlineStr">
        <is>
          <t>UPPSALA LÄN</t>
        </is>
      </c>
      <c r="E92" t="inlineStr">
        <is>
          <t>ÄLVKARLEBY</t>
        </is>
      </c>
      <c r="F92" t="inlineStr">
        <is>
          <t>Bergvik skog väst AB</t>
        </is>
      </c>
      <c r="G92" t="n">
        <v>2.6</v>
      </c>
      <c r="H92" t="n">
        <v>0</v>
      </c>
      <c r="I92" t="n">
        <v>0</v>
      </c>
      <c r="J92" t="n">
        <v>0</v>
      </c>
      <c r="K92" t="n">
        <v>0</v>
      </c>
      <c r="L92" t="n">
        <v>0</v>
      </c>
      <c r="M92" t="n">
        <v>0</v>
      </c>
      <c r="N92" t="n">
        <v>0</v>
      </c>
      <c r="O92" t="n">
        <v>0</v>
      </c>
      <c r="P92" t="n">
        <v>0</v>
      </c>
      <c r="Q92" t="n">
        <v>0</v>
      </c>
      <c r="R92" s="2" t="inlineStr"/>
    </row>
    <row r="93" ht="15" customHeight="1">
      <c r="A93" t="inlineStr">
        <is>
          <t>A 45528-2023</t>
        </is>
      </c>
      <c r="B93" s="1" t="n">
        <v>45194</v>
      </c>
      <c r="C93" s="1" t="n">
        <v>45720</v>
      </c>
      <c r="D93" t="inlineStr">
        <is>
          <t>UPPSALA LÄN</t>
        </is>
      </c>
      <c r="E93" t="inlineStr">
        <is>
          <t>ÄLVKARLEBY</t>
        </is>
      </c>
      <c r="F93" t="inlineStr">
        <is>
          <t>Bergvik skog väst AB</t>
        </is>
      </c>
      <c r="G93" t="n">
        <v>1.6</v>
      </c>
      <c r="H93" t="n">
        <v>0</v>
      </c>
      <c r="I93" t="n">
        <v>0</v>
      </c>
      <c r="J93" t="n">
        <v>0</v>
      </c>
      <c r="K93" t="n">
        <v>0</v>
      </c>
      <c r="L93" t="n">
        <v>0</v>
      </c>
      <c r="M93" t="n">
        <v>0</v>
      </c>
      <c r="N93" t="n">
        <v>0</v>
      </c>
      <c r="O93" t="n">
        <v>0</v>
      </c>
      <c r="P93" t="n">
        <v>0</v>
      </c>
      <c r="Q93" t="n">
        <v>0</v>
      </c>
      <c r="R93" s="2" t="inlineStr"/>
    </row>
    <row r="94" ht="15" customHeight="1">
      <c r="A94" t="inlineStr">
        <is>
          <t>A 45871-2023</t>
        </is>
      </c>
      <c r="B94" s="1" t="n">
        <v>45195</v>
      </c>
      <c r="C94" s="1" t="n">
        <v>45720</v>
      </c>
      <c r="D94" t="inlineStr">
        <is>
          <t>UPPSALA LÄN</t>
        </is>
      </c>
      <c r="E94" t="inlineStr">
        <is>
          <t>ÄLVKARLEBY</t>
        </is>
      </c>
      <c r="G94" t="n">
        <v>3.7</v>
      </c>
      <c r="H94" t="n">
        <v>0</v>
      </c>
      <c r="I94" t="n">
        <v>0</v>
      </c>
      <c r="J94" t="n">
        <v>0</v>
      </c>
      <c r="K94" t="n">
        <v>0</v>
      </c>
      <c r="L94" t="n">
        <v>0</v>
      </c>
      <c r="M94" t="n">
        <v>0</v>
      </c>
      <c r="N94" t="n">
        <v>0</v>
      </c>
      <c r="O94" t="n">
        <v>0</v>
      </c>
      <c r="P94" t="n">
        <v>0</v>
      </c>
      <c r="Q94" t="n">
        <v>0</v>
      </c>
      <c r="R94" s="2" t="inlineStr"/>
    </row>
    <row r="95" ht="15" customHeight="1">
      <c r="A95" t="inlineStr">
        <is>
          <t>A 46113-2023</t>
        </is>
      </c>
      <c r="B95" s="1" t="n">
        <v>45196</v>
      </c>
      <c r="C95" s="1" t="n">
        <v>45720</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46106-2023</t>
        </is>
      </c>
      <c r="B96" s="1" t="n">
        <v>45196</v>
      </c>
      <c r="C96" s="1" t="n">
        <v>45720</v>
      </c>
      <c r="D96" t="inlineStr">
        <is>
          <t>UPPSALA LÄN</t>
        </is>
      </c>
      <c r="E96" t="inlineStr">
        <is>
          <t>ÄLVKARLEBY</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46429-2023</t>
        </is>
      </c>
      <c r="B97" s="1" t="n">
        <v>45197</v>
      </c>
      <c r="C97" s="1" t="n">
        <v>45720</v>
      </c>
      <c r="D97" t="inlineStr">
        <is>
          <t>UPPSALA LÄN</t>
        </is>
      </c>
      <c r="E97" t="inlineStr">
        <is>
          <t>ÄLVKARLEBY</t>
        </is>
      </c>
      <c r="G97" t="n">
        <v>1.7</v>
      </c>
      <c r="H97" t="n">
        <v>0</v>
      </c>
      <c r="I97" t="n">
        <v>0</v>
      </c>
      <c r="J97" t="n">
        <v>0</v>
      </c>
      <c r="K97" t="n">
        <v>0</v>
      </c>
      <c r="L97" t="n">
        <v>0</v>
      </c>
      <c r="M97" t="n">
        <v>0</v>
      </c>
      <c r="N97" t="n">
        <v>0</v>
      </c>
      <c r="O97" t="n">
        <v>0</v>
      </c>
      <c r="P97" t="n">
        <v>0</v>
      </c>
      <c r="Q97" t="n">
        <v>0</v>
      </c>
      <c r="R97" s="2" t="inlineStr"/>
    </row>
    <row r="98" ht="15" customHeight="1">
      <c r="A98" t="inlineStr">
        <is>
          <t>A 46436-2023</t>
        </is>
      </c>
      <c r="B98" s="1" t="n">
        <v>45197</v>
      </c>
      <c r="C98" s="1" t="n">
        <v>45720</v>
      </c>
      <c r="D98" t="inlineStr">
        <is>
          <t>UPPSALA LÄN</t>
        </is>
      </c>
      <c r="E98" t="inlineStr">
        <is>
          <t>ÄLVKARLEBY</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46477-2023</t>
        </is>
      </c>
      <c r="B99" s="1" t="n">
        <v>45197</v>
      </c>
      <c r="C99" s="1" t="n">
        <v>45720</v>
      </c>
      <c r="D99" t="inlineStr">
        <is>
          <t>UPPSALA LÄN</t>
        </is>
      </c>
      <c r="E99" t="inlineStr">
        <is>
          <t>ÄLVKARLEBY</t>
        </is>
      </c>
      <c r="G99" t="n">
        <v>3.6</v>
      </c>
      <c r="H99" t="n">
        <v>0</v>
      </c>
      <c r="I99" t="n">
        <v>0</v>
      </c>
      <c r="J99" t="n">
        <v>0</v>
      </c>
      <c r="K99" t="n">
        <v>0</v>
      </c>
      <c r="L99" t="n">
        <v>0</v>
      </c>
      <c r="M99" t="n">
        <v>0</v>
      </c>
      <c r="N99" t="n">
        <v>0</v>
      </c>
      <c r="O99" t="n">
        <v>0</v>
      </c>
      <c r="P99" t="n">
        <v>0</v>
      </c>
      <c r="Q99" t="n">
        <v>0</v>
      </c>
      <c r="R99" s="2" t="inlineStr"/>
    </row>
    <row r="100" ht="15" customHeight="1">
      <c r="A100" t="inlineStr">
        <is>
          <t>A 47548-2023</t>
        </is>
      </c>
      <c r="B100" s="1" t="n">
        <v>45203</v>
      </c>
      <c r="C100" s="1" t="n">
        <v>45720</v>
      </c>
      <c r="D100" t="inlineStr">
        <is>
          <t>UPPSALA LÄN</t>
        </is>
      </c>
      <c r="E100" t="inlineStr">
        <is>
          <t>ÄLVKARLEBY</t>
        </is>
      </c>
      <c r="F100" t="inlineStr">
        <is>
          <t>Bergvik skog väst AB</t>
        </is>
      </c>
      <c r="G100" t="n">
        <v>4</v>
      </c>
      <c r="H100" t="n">
        <v>0</v>
      </c>
      <c r="I100" t="n">
        <v>0</v>
      </c>
      <c r="J100" t="n">
        <v>0</v>
      </c>
      <c r="K100" t="n">
        <v>0</v>
      </c>
      <c r="L100" t="n">
        <v>0</v>
      </c>
      <c r="M100" t="n">
        <v>0</v>
      </c>
      <c r="N100" t="n">
        <v>0</v>
      </c>
      <c r="O100" t="n">
        <v>0</v>
      </c>
      <c r="P100" t="n">
        <v>0</v>
      </c>
      <c r="Q100" t="n">
        <v>0</v>
      </c>
      <c r="R100" s="2" t="inlineStr"/>
    </row>
    <row r="101" ht="15" customHeight="1">
      <c r="A101" t="inlineStr">
        <is>
          <t>A 47570-2023</t>
        </is>
      </c>
      <c r="B101" s="1" t="n">
        <v>45203</v>
      </c>
      <c r="C101" s="1" t="n">
        <v>45720</v>
      </c>
      <c r="D101" t="inlineStr">
        <is>
          <t>UPPSALA LÄN</t>
        </is>
      </c>
      <c r="E101" t="inlineStr">
        <is>
          <t>ÄLVKARLEBY</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47554-2023</t>
        </is>
      </c>
      <c r="B102" s="1" t="n">
        <v>45203</v>
      </c>
      <c r="C102" s="1" t="n">
        <v>45720</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47559-2023</t>
        </is>
      </c>
      <c r="B103" s="1" t="n">
        <v>45203</v>
      </c>
      <c r="C103" s="1" t="n">
        <v>45720</v>
      </c>
      <c r="D103" t="inlineStr">
        <is>
          <t>UPPSALA LÄN</t>
        </is>
      </c>
      <c r="E103" t="inlineStr">
        <is>
          <t>ÄLVKARLEBY</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48614-2023</t>
        </is>
      </c>
      <c r="B104" s="1" t="n">
        <v>45208</v>
      </c>
      <c r="C104" s="1" t="n">
        <v>45720</v>
      </c>
      <c r="D104" t="inlineStr">
        <is>
          <t>UPPSALA LÄN</t>
        </is>
      </c>
      <c r="E104" t="inlineStr">
        <is>
          <t>ÄLVKARLEBY</t>
        </is>
      </c>
      <c r="F104" t="inlineStr">
        <is>
          <t>Bergvik skog öst AB</t>
        </is>
      </c>
      <c r="G104" t="n">
        <v>5.4</v>
      </c>
      <c r="H104" t="n">
        <v>0</v>
      </c>
      <c r="I104" t="n">
        <v>0</v>
      </c>
      <c r="J104" t="n">
        <v>0</v>
      </c>
      <c r="K104" t="n">
        <v>0</v>
      </c>
      <c r="L104" t="n">
        <v>0</v>
      </c>
      <c r="M104" t="n">
        <v>0</v>
      </c>
      <c r="N104" t="n">
        <v>0</v>
      </c>
      <c r="O104" t="n">
        <v>0</v>
      </c>
      <c r="P104" t="n">
        <v>0</v>
      </c>
      <c r="Q104" t="n">
        <v>0</v>
      </c>
      <c r="R104" s="2" t="inlineStr"/>
    </row>
    <row r="105" ht="15" customHeight="1">
      <c r="A105" t="inlineStr">
        <is>
          <t>A 48620-2023</t>
        </is>
      </c>
      <c r="B105" s="1" t="n">
        <v>45208</v>
      </c>
      <c r="C105" s="1" t="n">
        <v>45720</v>
      </c>
      <c r="D105" t="inlineStr">
        <is>
          <t>UPPSALA LÄN</t>
        </is>
      </c>
      <c r="E105" t="inlineStr">
        <is>
          <t>ÄLVKARLEBY</t>
        </is>
      </c>
      <c r="F105" t="inlineStr">
        <is>
          <t>Bergvik skog öst AB</t>
        </is>
      </c>
      <c r="G105" t="n">
        <v>2</v>
      </c>
      <c r="H105" t="n">
        <v>0</v>
      </c>
      <c r="I105" t="n">
        <v>0</v>
      </c>
      <c r="J105" t="n">
        <v>0</v>
      </c>
      <c r="K105" t="n">
        <v>0</v>
      </c>
      <c r="L105" t="n">
        <v>0</v>
      </c>
      <c r="M105" t="n">
        <v>0</v>
      </c>
      <c r="N105" t="n">
        <v>0</v>
      </c>
      <c r="O105" t="n">
        <v>0</v>
      </c>
      <c r="P105" t="n">
        <v>0</v>
      </c>
      <c r="Q105" t="n">
        <v>0</v>
      </c>
      <c r="R105" s="2" t="inlineStr"/>
    </row>
    <row r="106" ht="15" customHeight="1">
      <c r="A106" t="inlineStr">
        <is>
          <t>A 48674-2023</t>
        </is>
      </c>
      <c r="B106" s="1" t="n">
        <v>45208</v>
      </c>
      <c r="C106" s="1" t="n">
        <v>45720</v>
      </c>
      <c r="D106" t="inlineStr">
        <is>
          <t>UPPSALA LÄN</t>
        </is>
      </c>
      <c r="E106" t="inlineStr">
        <is>
          <t>ÄLVKARLEBY</t>
        </is>
      </c>
      <c r="F106" t="inlineStr">
        <is>
          <t>Bergvik skog öst AB</t>
        </is>
      </c>
      <c r="G106" t="n">
        <v>15.5</v>
      </c>
      <c r="H106" t="n">
        <v>0</v>
      </c>
      <c r="I106" t="n">
        <v>0</v>
      </c>
      <c r="J106" t="n">
        <v>0</v>
      </c>
      <c r="K106" t="n">
        <v>0</v>
      </c>
      <c r="L106" t="n">
        <v>0</v>
      </c>
      <c r="M106" t="n">
        <v>0</v>
      </c>
      <c r="N106" t="n">
        <v>0</v>
      </c>
      <c r="O106" t="n">
        <v>0</v>
      </c>
      <c r="P106" t="n">
        <v>0</v>
      </c>
      <c r="Q106" t="n">
        <v>0</v>
      </c>
      <c r="R106" s="2" t="inlineStr"/>
    </row>
    <row r="107" ht="15" customHeight="1">
      <c r="A107" t="inlineStr">
        <is>
          <t>A 49432-2023</t>
        </is>
      </c>
      <c r="B107" s="1" t="n">
        <v>45211</v>
      </c>
      <c r="C107" s="1" t="n">
        <v>45720</v>
      </c>
      <c r="D107" t="inlineStr">
        <is>
          <t>UPPSALA LÄN</t>
        </is>
      </c>
      <c r="E107" t="inlineStr">
        <is>
          <t>ÄLVKARLEBY</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50048-2023</t>
        </is>
      </c>
      <c r="B108" s="1" t="n">
        <v>45215</v>
      </c>
      <c r="C108" s="1" t="n">
        <v>45720</v>
      </c>
      <c r="D108" t="inlineStr">
        <is>
          <t>UPPSALA LÄN</t>
        </is>
      </c>
      <c r="E108" t="inlineStr">
        <is>
          <t>ÄLVKARLEBY</t>
        </is>
      </c>
      <c r="F108" t="inlineStr">
        <is>
          <t>Bergvik skog väst AB</t>
        </is>
      </c>
      <c r="G108" t="n">
        <v>5.8</v>
      </c>
      <c r="H108" t="n">
        <v>0</v>
      </c>
      <c r="I108" t="n">
        <v>0</v>
      </c>
      <c r="J108" t="n">
        <v>0</v>
      </c>
      <c r="K108" t="n">
        <v>0</v>
      </c>
      <c r="L108" t="n">
        <v>0</v>
      </c>
      <c r="M108" t="n">
        <v>0</v>
      </c>
      <c r="N108" t="n">
        <v>0</v>
      </c>
      <c r="O108" t="n">
        <v>0</v>
      </c>
      <c r="P108" t="n">
        <v>0</v>
      </c>
      <c r="Q108" t="n">
        <v>0</v>
      </c>
      <c r="R108" s="2" t="inlineStr"/>
    </row>
    <row r="109" ht="15" customHeight="1">
      <c r="A109" t="inlineStr">
        <is>
          <t>A 54858-2023</t>
        </is>
      </c>
      <c r="B109" s="1" t="n">
        <v>45236</v>
      </c>
      <c r="C109" s="1" t="n">
        <v>45720</v>
      </c>
      <c r="D109" t="inlineStr">
        <is>
          <t>UPPSALA LÄN</t>
        </is>
      </c>
      <c r="E109" t="inlineStr">
        <is>
          <t>ÄLVKARLEBY</t>
        </is>
      </c>
      <c r="F109" t="inlineStr">
        <is>
          <t>Bergvik skog öst AB</t>
        </is>
      </c>
      <c r="G109" t="n">
        <v>13.3</v>
      </c>
      <c r="H109" t="n">
        <v>0</v>
      </c>
      <c r="I109" t="n">
        <v>0</v>
      </c>
      <c r="J109" t="n">
        <v>0</v>
      </c>
      <c r="K109" t="n">
        <v>0</v>
      </c>
      <c r="L109" t="n">
        <v>0</v>
      </c>
      <c r="M109" t="n">
        <v>0</v>
      </c>
      <c r="N109" t="n">
        <v>0</v>
      </c>
      <c r="O109" t="n">
        <v>0</v>
      </c>
      <c r="P109" t="n">
        <v>0</v>
      </c>
      <c r="Q109" t="n">
        <v>0</v>
      </c>
      <c r="R109" s="2" t="inlineStr"/>
    </row>
    <row r="110" ht="15" customHeight="1">
      <c r="A110" t="inlineStr">
        <is>
          <t>A 59004-2023</t>
        </is>
      </c>
      <c r="B110" s="1" t="n">
        <v>45252</v>
      </c>
      <c r="C110" s="1" t="n">
        <v>45720</v>
      </c>
      <c r="D110" t="inlineStr">
        <is>
          <t>UPPSALA LÄN</t>
        </is>
      </c>
      <c r="E110" t="inlineStr">
        <is>
          <t>ÄLVKARLEBY</t>
        </is>
      </c>
      <c r="F110" t="inlineStr">
        <is>
          <t>Bergvik skog öst AB</t>
        </is>
      </c>
      <c r="G110" t="n">
        <v>1.7</v>
      </c>
      <c r="H110" t="n">
        <v>0</v>
      </c>
      <c r="I110" t="n">
        <v>0</v>
      </c>
      <c r="J110" t="n">
        <v>0</v>
      </c>
      <c r="K110" t="n">
        <v>0</v>
      </c>
      <c r="L110" t="n">
        <v>0</v>
      </c>
      <c r="M110" t="n">
        <v>0</v>
      </c>
      <c r="N110" t="n">
        <v>0</v>
      </c>
      <c r="O110" t="n">
        <v>0</v>
      </c>
      <c r="P110" t="n">
        <v>0</v>
      </c>
      <c r="Q110" t="n">
        <v>0</v>
      </c>
      <c r="R110" s="2" t="inlineStr"/>
    </row>
    <row r="111" ht="15" customHeight="1">
      <c r="A111" t="inlineStr">
        <is>
          <t>A 60151-2023</t>
        </is>
      </c>
      <c r="B111" s="1" t="n">
        <v>45258</v>
      </c>
      <c r="C111" s="1" t="n">
        <v>45720</v>
      </c>
      <c r="D111" t="inlineStr">
        <is>
          <t>UPPSALA LÄN</t>
        </is>
      </c>
      <c r="E111" t="inlineStr">
        <is>
          <t>ÄLVKARLEBY</t>
        </is>
      </c>
      <c r="F111" t="inlineStr">
        <is>
          <t>Bergvik skog väst AB</t>
        </is>
      </c>
      <c r="G111" t="n">
        <v>32.2</v>
      </c>
      <c r="H111" t="n">
        <v>0</v>
      </c>
      <c r="I111" t="n">
        <v>0</v>
      </c>
      <c r="J111" t="n">
        <v>0</v>
      </c>
      <c r="K111" t="n">
        <v>0</v>
      </c>
      <c r="L111" t="n">
        <v>0</v>
      </c>
      <c r="M111" t="n">
        <v>0</v>
      </c>
      <c r="N111" t="n">
        <v>0</v>
      </c>
      <c r="O111" t="n">
        <v>0</v>
      </c>
      <c r="P111" t="n">
        <v>0</v>
      </c>
      <c r="Q111" t="n">
        <v>0</v>
      </c>
      <c r="R111" s="2" t="inlineStr"/>
    </row>
    <row r="112" ht="15" customHeight="1">
      <c r="A112" t="inlineStr">
        <is>
          <t>A 60455-2023</t>
        </is>
      </c>
      <c r="B112" s="1" t="n">
        <v>45259</v>
      </c>
      <c r="C112" s="1" t="n">
        <v>45720</v>
      </c>
      <c r="D112" t="inlineStr">
        <is>
          <t>UPPSALA LÄN</t>
        </is>
      </c>
      <c r="E112" t="inlineStr">
        <is>
          <t>ÄLVKARLEBY</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895-2024</t>
        </is>
      </c>
      <c r="B113" s="1" t="n">
        <v>45301</v>
      </c>
      <c r="C113" s="1" t="n">
        <v>45720</v>
      </c>
      <c r="D113" t="inlineStr">
        <is>
          <t>UPPSALA LÄN</t>
        </is>
      </c>
      <c r="E113" t="inlineStr">
        <is>
          <t>ÄLVKARLEBY</t>
        </is>
      </c>
      <c r="G113" t="n">
        <v>1.7</v>
      </c>
      <c r="H113" t="n">
        <v>0</v>
      </c>
      <c r="I113" t="n">
        <v>0</v>
      </c>
      <c r="J113" t="n">
        <v>0</v>
      </c>
      <c r="K113" t="n">
        <v>0</v>
      </c>
      <c r="L113" t="n">
        <v>0</v>
      </c>
      <c r="M113" t="n">
        <v>0</v>
      </c>
      <c r="N113" t="n">
        <v>0</v>
      </c>
      <c r="O113" t="n">
        <v>0</v>
      </c>
      <c r="P113" t="n">
        <v>0</v>
      </c>
      <c r="Q113" t="n">
        <v>0</v>
      </c>
      <c r="R113" s="2" t="inlineStr"/>
    </row>
    <row r="114" ht="15" customHeight="1">
      <c r="A114" t="inlineStr">
        <is>
          <t>A 996-2024</t>
        </is>
      </c>
      <c r="B114" s="1" t="n">
        <v>45301</v>
      </c>
      <c r="C114" s="1" t="n">
        <v>45720</v>
      </c>
      <c r="D114" t="inlineStr">
        <is>
          <t>UPPSALA LÄN</t>
        </is>
      </c>
      <c r="E114" t="inlineStr">
        <is>
          <t>ÄLVKARLEBY</t>
        </is>
      </c>
      <c r="F114" t="inlineStr">
        <is>
          <t>Bergvik skog väst AB</t>
        </is>
      </c>
      <c r="G114" t="n">
        <v>5.6</v>
      </c>
      <c r="H114" t="n">
        <v>0</v>
      </c>
      <c r="I114" t="n">
        <v>0</v>
      </c>
      <c r="J114" t="n">
        <v>0</v>
      </c>
      <c r="K114" t="n">
        <v>0</v>
      </c>
      <c r="L114" t="n">
        <v>0</v>
      </c>
      <c r="M114" t="n">
        <v>0</v>
      </c>
      <c r="N114" t="n">
        <v>0</v>
      </c>
      <c r="O114" t="n">
        <v>0</v>
      </c>
      <c r="P114" t="n">
        <v>0</v>
      </c>
      <c r="Q114" t="n">
        <v>0</v>
      </c>
      <c r="R114" s="2" t="inlineStr"/>
    </row>
    <row r="115" ht="15" customHeight="1">
      <c r="A115" t="inlineStr">
        <is>
          <t>A 2183-2024</t>
        </is>
      </c>
      <c r="B115" s="1" t="n">
        <v>45309</v>
      </c>
      <c r="C115" s="1" t="n">
        <v>45720</v>
      </c>
      <c r="D115" t="inlineStr">
        <is>
          <t>UPPSALA LÄN</t>
        </is>
      </c>
      <c r="E115" t="inlineStr">
        <is>
          <t>ÄLVKARLEBY</t>
        </is>
      </c>
      <c r="G115" t="n">
        <v>0.5</v>
      </c>
      <c r="H115" t="n">
        <v>0</v>
      </c>
      <c r="I115" t="n">
        <v>0</v>
      </c>
      <c r="J115" t="n">
        <v>0</v>
      </c>
      <c r="K115" t="n">
        <v>0</v>
      </c>
      <c r="L115" t="n">
        <v>0</v>
      </c>
      <c r="M115" t="n">
        <v>0</v>
      </c>
      <c r="N115" t="n">
        <v>0</v>
      </c>
      <c r="O115" t="n">
        <v>0</v>
      </c>
      <c r="P115" t="n">
        <v>0</v>
      </c>
      <c r="Q115" t="n">
        <v>0</v>
      </c>
      <c r="R115" s="2" t="inlineStr"/>
    </row>
    <row r="116" ht="15" customHeight="1">
      <c r="A116" t="inlineStr">
        <is>
          <t>A 2184-2024</t>
        </is>
      </c>
      <c r="B116" s="1" t="n">
        <v>45309</v>
      </c>
      <c r="C116" s="1" t="n">
        <v>45720</v>
      </c>
      <c r="D116" t="inlineStr">
        <is>
          <t>UPPSALA LÄN</t>
        </is>
      </c>
      <c r="E116" t="inlineStr">
        <is>
          <t>ÄLVKARLEBY</t>
        </is>
      </c>
      <c r="G116" t="n">
        <v>0.6</v>
      </c>
      <c r="H116" t="n">
        <v>0</v>
      </c>
      <c r="I116" t="n">
        <v>0</v>
      </c>
      <c r="J116" t="n">
        <v>0</v>
      </c>
      <c r="K116" t="n">
        <v>0</v>
      </c>
      <c r="L116" t="n">
        <v>0</v>
      </c>
      <c r="M116" t="n">
        <v>0</v>
      </c>
      <c r="N116" t="n">
        <v>0</v>
      </c>
      <c r="O116" t="n">
        <v>0</v>
      </c>
      <c r="P116" t="n">
        <v>0</v>
      </c>
      <c r="Q116" t="n">
        <v>0</v>
      </c>
      <c r="R116" s="2" t="inlineStr"/>
    </row>
    <row r="117" ht="15" customHeight="1">
      <c r="A117" t="inlineStr">
        <is>
          <t>A 19304-2024</t>
        </is>
      </c>
      <c r="B117" s="1" t="n">
        <v>45428</v>
      </c>
      <c r="C117" s="1" t="n">
        <v>45720</v>
      </c>
      <c r="D117" t="inlineStr">
        <is>
          <t>UPPSALA LÄN</t>
        </is>
      </c>
      <c r="E117" t="inlineStr">
        <is>
          <t>ÄLVKARLEBY</t>
        </is>
      </c>
      <c r="G117" t="n">
        <v>0.2</v>
      </c>
      <c r="H117" t="n">
        <v>0</v>
      </c>
      <c r="I117" t="n">
        <v>0</v>
      </c>
      <c r="J117" t="n">
        <v>0</v>
      </c>
      <c r="K117" t="n">
        <v>0</v>
      </c>
      <c r="L117" t="n">
        <v>0</v>
      </c>
      <c r="M117" t="n">
        <v>0</v>
      </c>
      <c r="N117" t="n">
        <v>0</v>
      </c>
      <c r="O117" t="n">
        <v>0</v>
      </c>
      <c r="P117" t="n">
        <v>0</v>
      </c>
      <c r="Q117" t="n">
        <v>0</v>
      </c>
      <c r="R117" s="2" t="inlineStr"/>
    </row>
    <row r="118" ht="15" customHeight="1">
      <c r="A118" t="inlineStr">
        <is>
          <t>A 19303-2024</t>
        </is>
      </c>
      <c r="B118" s="1" t="n">
        <v>45428</v>
      </c>
      <c r="C118" s="1" t="n">
        <v>45720</v>
      </c>
      <c r="D118" t="inlineStr">
        <is>
          <t>UPPSALA LÄN</t>
        </is>
      </c>
      <c r="E118" t="inlineStr">
        <is>
          <t>ÄLVKARLEBY</t>
        </is>
      </c>
      <c r="G118" t="n">
        <v>0.4</v>
      </c>
      <c r="H118" t="n">
        <v>0</v>
      </c>
      <c r="I118" t="n">
        <v>0</v>
      </c>
      <c r="J118" t="n">
        <v>0</v>
      </c>
      <c r="K118" t="n">
        <v>0</v>
      </c>
      <c r="L118" t="n">
        <v>0</v>
      </c>
      <c r="M118" t="n">
        <v>0</v>
      </c>
      <c r="N118" t="n">
        <v>0</v>
      </c>
      <c r="O118" t="n">
        <v>0</v>
      </c>
      <c r="P118" t="n">
        <v>0</v>
      </c>
      <c r="Q118" t="n">
        <v>0</v>
      </c>
      <c r="R118" s="2" t="inlineStr"/>
    </row>
    <row r="119" ht="15" customHeight="1">
      <c r="A119" t="inlineStr">
        <is>
          <t>A 19298-2024</t>
        </is>
      </c>
      <c r="B119" s="1" t="n">
        <v>45428</v>
      </c>
      <c r="C119" s="1" t="n">
        <v>45720</v>
      </c>
      <c r="D119" t="inlineStr">
        <is>
          <t>UPPSALA LÄN</t>
        </is>
      </c>
      <c r="E119" t="inlineStr">
        <is>
          <t>ÄLVKARLEBY</t>
        </is>
      </c>
      <c r="G119" t="n">
        <v>1.2</v>
      </c>
      <c r="H119" t="n">
        <v>0</v>
      </c>
      <c r="I119" t="n">
        <v>0</v>
      </c>
      <c r="J119" t="n">
        <v>0</v>
      </c>
      <c r="K119" t="n">
        <v>0</v>
      </c>
      <c r="L119" t="n">
        <v>0</v>
      </c>
      <c r="M119" t="n">
        <v>0</v>
      </c>
      <c r="N119" t="n">
        <v>0</v>
      </c>
      <c r="O119" t="n">
        <v>0</v>
      </c>
      <c r="P119" t="n">
        <v>0</v>
      </c>
      <c r="Q119" t="n">
        <v>0</v>
      </c>
      <c r="R119" s="2" t="inlineStr"/>
    </row>
    <row r="120" ht="15" customHeight="1">
      <c r="A120" t="inlineStr">
        <is>
          <t>A 29899-2024</t>
        </is>
      </c>
      <c r="B120" s="1" t="n">
        <v>45487</v>
      </c>
      <c r="C120" s="1" t="n">
        <v>45720</v>
      </c>
      <c r="D120" t="inlineStr">
        <is>
          <t>UPPSALA LÄN</t>
        </is>
      </c>
      <c r="E120" t="inlineStr">
        <is>
          <t>ÄLVKARLEBY</t>
        </is>
      </c>
      <c r="F120" t="inlineStr">
        <is>
          <t>Bergvik skog väst AB</t>
        </is>
      </c>
      <c r="G120" t="n">
        <v>7.1</v>
      </c>
      <c r="H120" t="n">
        <v>0</v>
      </c>
      <c r="I120" t="n">
        <v>0</v>
      </c>
      <c r="J120" t="n">
        <v>0</v>
      </c>
      <c r="K120" t="n">
        <v>0</v>
      </c>
      <c r="L120" t="n">
        <v>0</v>
      </c>
      <c r="M120" t="n">
        <v>0</v>
      </c>
      <c r="N120" t="n">
        <v>0</v>
      </c>
      <c r="O120" t="n">
        <v>0</v>
      </c>
      <c r="P120" t="n">
        <v>0</v>
      </c>
      <c r="Q120" t="n">
        <v>0</v>
      </c>
      <c r="R120" s="2" t="inlineStr"/>
    </row>
    <row r="121" ht="15" customHeight="1">
      <c r="A121" t="inlineStr">
        <is>
          <t>A 33781-2024</t>
        </is>
      </c>
      <c r="B121" s="1" t="n">
        <v>45520</v>
      </c>
      <c r="C121" s="1" t="n">
        <v>45720</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34963-2024</t>
        </is>
      </c>
      <c r="B122" s="1" t="n">
        <v>45527</v>
      </c>
      <c r="C122" s="1" t="n">
        <v>45720</v>
      </c>
      <c r="D122" t="inlineStr">
        <is>
          <t>UPPSALA LÄN</t>
        </is>
      </c>
      <c r="E122" t="inlineStr">
        <is>
          <t>ÄLVKARLEBY</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35832-2024</t>
        </is>
      </c>
      <c r="B123" s="1" t="n">
        <v>45532</v>
      </c>
      <c r="C123" s="1" t="n">
        <v>45720</v>
      </c>
      <c r="D123" t="inlineStr">
        <is>
          <t>UPPSALA LÄN</t>
        </is>
      </c>
      <c r="E123" t="inlineStr">
        <is>
          <t>ÄLVKARLEBY</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38195-2024</t>
        </is>
      </c>
      <c r="B124" s="1" t="n">
        <v>45545</v>
      </c>
      <c r="C124" s="1" t="n">
        <v>45720</v>
      </c>
      <c r="D124" t="inlineStr">
        <is>
          <t>UPPSALA LÄN</t>
        </is>
      </c>
      <c r="E124" t="inlineStr">
        <is>
          <t>ÄLVKARLEBY</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38199-2024</t>
        </is>
      </c>
      <c r="B125" s="1" t="n">
        <v>45545</v>
      </c>
      <c r="C125" s="1" t="n">
        <v>45720</v>
      </c>
      <c r="D125" t="inlineStr">
        <is>
          <t>UPPSALA LÄN</t>
        </is>
      </c>
      <c r="E125" t="inlineStr">
        <is>
          <t>ÄLVKARLEBY</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38217-2024</t>
        </is>
      </c>
      <c r="B126" s="1" t="n">
        <v>45545</v>
      </c>
      <c r="C126" s="1" t="n">
        <v>45720</v>
      </c>
      <c r="D126" t="inlineStr">
        <is>
          <t>UPPSALA LÄN</t>
        </is>
      </c>
      <c r="E126" t="inlineStr">
        <is>
          <t>ÄLVKARLEBY</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41121-2024</t>
        </is>
      </c>
      <c r="B127" s="1" t="n">
        <v>45559</v>
      </c>
      <c r="C127" s="1" t="n">
        <v>45720</v>
      </c>
      <c r="D127" t="inlineStr">
        <is>
          <t>UPPSALA LÄN</t>
        </is>
      </c>
      <c r="E127" t="inlineStr">
        <is>
          <t>ÄLVKARLEBY</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41929-2024</t>
        </is>
      </c>
      <c r="B128" s="1" t="n">
        <v>45561</v>
      </c>
      <c r="C128" s="1" t="n">
        <v>45720</v>
      </c>
      <c r="D128" t="inlineStr">
        <is>
          <t>UPPSALA LÄN</t>
        </is>
      </c>
      <c r="E128" t="inlineStr">
        <is>
          <t>ÄLVKARLEBY</t>
        </is>
      </c>
      <c r="F128" t="inlineStr">
        <is>
          <t>Bergvik skog väst AB</t>
        </is>
      </c>
      <c r="G128" t="n">
        <v>4.9</v>
      </c>
      <c r="H128" t="n">
        <v>0</v>
      </c>
      <c r="I128" t="n">
        <v>0</v>
      </c>
      <c r="J128" t="n">
        <v>0</v>
      </c>
      <c r="K128" t="n">
        <v>0</v>
      </c>
      <c r="L128" t="n">
        <v>0</v>
      </c>
      <c r="M128" t="n">
        <v>0</v>
      </c>
      <c r="N128" t="n">
        <v>0</v>
      </c>
      <c r="O128" t="n">
        <v>0</v>
      </c>
      <c r="P128" t="n">
        <v>0</v>
      </c>
      <c r="Q128" t="n">
        <v>0</v>
      </c>
      <c r="R128" s="2" t="inlineStr"/>
    </row>
    <row r="129" ht="15" customHeight="1">
      <c r="A129" t="inlineStr">
        <is>
          <t>A 41979-2024</t>
        </is>
      </c>
      <c r="B129" s="1" t="n">
        <v>45561</v>
      </c>
      <c r="C129" s="1" t="n">
        <v>45720</v>
      </c>
      <c r="D129" t="inlineStr">
        <is>
          <t>UPPSALA LÄN</t>
        </is>
      </c>
      <c r="E129" t="inlineStr">
        <is>
          <t>ÄLVKARLEBY</t>
        </is>
      </c>
      <c r="F129" t="inlineStr">
        <is>
          <t>Bergvik skog väst AB</t>
        </is>
      </c>
      <c r="G129" t="n">
        <v>2.8</v>
      </c>
      <c r="H129" t="n">
        <v>0</v>
      </c>
      <c r="I129" t="n">
        <v>0</v>
      </c>
      <c r="J129" t="n">
        <v>0</v>
      </c>
      <c r="K129" t="n">
        <v>0</v>
      </c>
      <c r="L129" t="n">
        <v>0</v>
      </c>
      <c r="M129" t="n">
        <v>0</v>
      </c>
      <c r="N129" t="n">
        <v>0</v>
      </c>
      <c r="O129" t="n">
        <v>0</v>
      </c>
      <c r="P129" t="n">
        <v>0</v>
      </c>
      <c r="Q129" t="n">
        <v>0</v>
      </c>
      <c r="R129" s="2" t="inlineStr"/>
    </row>
    <row r="130" ht="15" customHeight="1">
      <c r="A130" t="inlineStr">
        <is>
          <t>A 41894-2024</t>
        </is>
      </c>
      <c r="B130" s="1" t="n">
        <v>45561</v>
      </c>
      <c r="C130" s="1" t="n">
        <v>45720</v>
      </c>
      <c r="D130" t="inlineStr">
        <is>
          <t>UPPSALA LÄN</t>
        </is>
      </c>
      <c r="E130" t="inlineStr">
        <is>
          <t>ÄLVKARLEBY</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41898-2024</t>
        </is>
      </c>
      <c r="B131" s="1" t="n">
        <v>45561</v>
      </c>
      <c r="C131" s="1" t="n">
        <v>45720</v>
      </c>
      <c r="D131" t="inlineStr">
        <is>
          <t>UPPSALA LÄN</t>
        </is>
      </c>
      <c r="E131" t="inlineStr">
        <is>
          <t>ÄLVKARLEBY</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45039-2024</t>
        </is>
      </c>
      <c r="B132" s="1" t="n">
        <v>45575</v>
      </c>
      <c r="C132" s="1" t="n">
        <v>45720</v>
      </c>
      <c r="D132" t="inlineStr">
        <is>
          <t>UPPSALA LÄN</t>
        </is>
      </c>
      <c r="E132" t="inlineStr">
        <is>
          <t>ÄLVKARLEBY</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45040-2024</t>
        </is>
      </c>
      <c r="B133" s="1" t="n">
        <v>45575</v>
      </c>
      <c r="C133" s="1" t="n">
        <v>45720</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45371-2024</t>
        </is>
      </c>
      <c r="B134" s="1" t="n">
        <v>45576</v>
      </c>
      <c r="C134" s="1" t="n">
        <v>45720</v>
      </c>
      <c r="D134" t="inlineStr">
        <is>
          <t>UPPSALA LÄN</t>
        </is>
      </c>
      <c r="E134" t="inlineStr">
        <is>
          <t>ÄLVKARLEBY</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45372-2024</t>
        </is>
      </c>
      <c r="B135" s="1" t="n">
        <v>45576</v>
      </c>
      <c r="C135" s="1" t="n">
        <v>45720</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47754-2024</t>
        </is>
      </c>
      <c r="B136" s="1" t="n">
        <v>45588</v>
      </c>
      <c r="C136" s="1" t="n">
        <v>45720</v>
      </c>
      <c r="D136" t="inlineStr">
        <is>
          <t>UPPSALA LÄN</t>
        </is>
      </c>
      <c r="E136" t="inlineStr">
        <is>
          <t>ÄLVKARLEBY</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47798-2024</t>
        </is>
      </c>
      <c r="B137" s="1" t="n">
        <v>45588</v>
      </c>
      <c r="C137" s="1" t="n">
        <v>45720</v>
      </c>
      <c r="D137" t="inlineStr">
        <is>
          <t>UPPSALA LÄN</t>
        </is>
      </c>
      <c r="E137" t="inlineStr">
        <is>
          <t>ÄLVKARLEBY</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47799-2024</t>
        </is>
      </c>
      <c r="B138" s="1" t="n">
        <v>45588</v>
      </c>
      <c r="C138" s="1" t="n">
        <v>45720</v>
      </c>
      <c r="D138" t="inlineStr">
        <is>
          <t>UPPSALA LÄN</t>
        </is>
      </c>
      <c r="E138" t="inlineStr">
        <is>
          <t>ÄLVKARLEBY</t>
        </is>
      </c>
      <c r="F138" t="inlineStr">
        <is>
          <t>Bergvik skog väst AB</t>
        </is>
      </c>
      <c r="G138" t="n">
        <v>5.9</v>
      </c>
      <c r="H138" t="n">
        <v>0</v>
      </c>
      <c r="I138" t="n">
        <v>0</v>
      </c>
      <c r="J138" t="n">
        <v>0</v>
      </c>
      <c r="K138" t="n">
        <v>0</v>
      </c>
      <c r="L138" t="n">
        <v>0</v>
      </c>
      <c r="M138" t="n">
        <v>0</v>
      </c>
      <c r="N138" t="n">
        <v>0</v>
      </c>
      <c r="O138" t="n">
        <v>0</v>
      </c>
      <c r="P138" t="n">
        <v>0</v>
      </c>
      <c r="Q138" t="n">
        <v>0</v>
      </c>
      <c r="R138" s="2" t="inlineStr"/>
    </row>
    <row r="139" ht="15" customHeight="1">
      <c r="A139" t="inlineStr">
        <is>
          <t>A 47796-2024</t>
        </is>
      </c>
      <c r="B139" s="1" t="n">
        <v>45588</v>
      </c>
      <c r="C139" s="1" t="n">
        <v>45720</v>
      </c>
      <c r="D139" t="inlineStr">
        <is>
          <t>UPPSALA LÄN</t>
        </is>
      </c>
      <c r="E139" t="inlineStr">
        <is>
          <t>ÄLVKARLEBY</t>
        </is>
      </c>
      <c r="F139" t="inlineStr">
        <is>
          <t>Bergvik skog väst AB</t>
        </is>
      </c>
      <c r="G139" t="n">
        <v>4.1</v>
      </c>
      <c r="H139" t="n">
        <v>0</v>
      </c>
      <c r="I139" t="n">
        <v>0</v>
      </c>
      <c r="J139" t="n">
        <v>0</v>
      </c>
      <c r="K139" t="n">
        <v>0</v>
      </c>
      <c r="L139" t="n">
        <v>0</v>
      </c>
      <c r="M139" t="n">
        <v>0</v>
      </c>
      <c r="N139" t="n">
        <v>0</v>
      </c>
      <c r="O139" t="n">
        <v>0</v>
      </c>
      <c r="P139" t="n">
        <v>0</v>
      </c>
      <c r="Q139" t="n">
        <v>0</v>
      </c>
      <c r="R139" s="2" t="inlineStr"/>
    </row>
    <row r="140" ht="15" customHeight="1">
      <c r="A140" t="inlineStr">
        <is>
          <t>A 49628-2024</t>
        </is>
      </c>
      <c r="B140" s="1" t="n">
        <v>45596</v>
      </c>
      <c r="C140" s="1" t="n">
        <v>45720</v>
      </c>
      <c r="D140" t="inlineStr">
        <is>
          <t>UPPSALA LÄN</t>
        </is>
      </c>
      <c r="E140" t="inlineStr">
        <is>
          <t>ÄLVKARLEBY</t>
        </is>
      </c>
      <c r="F140" t="inlineStr">
        <is>
          <t>Bergvik skog väst AB</t>
        </is>
      </c>
      <c r="G140" t="n">
        <v>18.2</v>
      </c>
      <c r="H140" t="n">
        <v>0</v>
      </c>
      <c r="I140" t="n">
        <v>0</v>
      </c>
      <c r="J140" t="n">
        <v>0</v>
      </c>
      <c r="K140" t="n">
        <v>0</v>
      </c>
      <c r="L140" t="n">
        <v>0</v>
      </c>
      <c r="M140" t="n">
        <v>0</v>
      </c>
      <c r="N140" t="n">
        <v>0</v>
      </c>
      <c r="O140" t="n">
        <v>0</v>
      </c>
      <c r="P140" t="n">
        <v>0</v>
      </c>
      <c r="Q140" t="n">
        <v>0</v>
      </c>
      <c r="R140" s="2" t="inlineStr"/>
    </row>
    <row r="141" ht="15" customHeight="1">
      <c r="A141" t="inlineStr">
        <is>
          <t>A 51507-2024</t>
        </is>
      </c>
      <c r="B141" s="1" t="n">
        <v>45604</v>
      </c>
      <c r="C141" s="1" t="n">
        <v>45720</v>
      </c>
      <c r="D141" t="inlineStr">
        <is>
          <t>UPPSALA LÄN</t>
        </is>
      </c>
      <c r="E141" t="inlineStr">
        <is>
          <t>ÄLVKARLEBY</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51509-2024</t>
        </is>
      </c>
      <c r="B142" s="1" t="n">
        <v>45604</v>
      </c>
      <c r="C142" s="1" t="n">
        <v>45720</v>
      </c>
      <c r="D142" t="inlineStr">
        <is>
          <t>UPPSALA LÄN</t>
        </is>
      </c>
      <c r="E142" t="inlineStr">
        <is>
          <t>ÄLVKARLEBY</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54204-2024</t>
        </is>
      </c>
      <c r="B143" s="1" t="n">
        <v>45616</v>
      </c>
      <c r="C143" s="1" t="n">
        <v>45720</v>
      </c>
      <c r="D143" t="inlineStr">
        <is>
          <t>UPPSALA LÄN</t>
        </is>
      </c>
      <c r="E143" t="inlineStr">
        <is>
          <t>ÄLVKARLEBY</t>
        </is>
      </c>
      <c r="G143" t="n">
        <v>2</v>
      </c>
      <c r="H143" t="n">
        <v>0</v>
      </c>
      <c r="I143" t="n">
        <v>0</v>
      </c>
      <c r="J143" t="n">
        <v>0</v>
      </c>
      <c r="K143" t="n">
        <v>0</v>
      </c>
      <c r="L143" t="n">
        <v>0</v>
      </c>
      <c r="M143" t="n">
        <v>0</v>
      </c>
      <c r="N143" t="n">
        <v>0</v>
      </c>
      <c r="O143" t="n">
        <v>0</v>
      </c>
      <c r="P143" t="n">
        <v>0</v>
      </c>
      <c r="Q143" t="n">
        <v>0</v>
      </c>
      <c r="R143" s="2" t="inlineStr"/>
    </row>
    <row r="144" ht="15" customHeight="1">
      <c r="A144" t="inlineStr">
        <is>
          <t>A 55139-2024</t>
        </is>
      </c>
      <c r="B144" s="1" t="n">
        <v>45621</v>
      </c>
      <c r="C144" s="1" t="n">
        <v>45720</v>
      </c>
      <c r="D144" t="inlineStr">
        <is>
          <t>UPPSALA LÄN</t>
        </is>
      </c>
      <c r="E144" t="inlineStr">
        <is>
          <t>ÄLVKARLEBY</t>
        </is>
      </c>
      <c r="F144" t="inlineStr">
        <is>
          <t>Bergvik skog väst AB</t>
        </is>
      </c>
      <c r="G144" t="n">
        <v>10.4</v>
      </c>
      <c r="H144" t="n">
        <v>0</v>
      </c>
      <c r="I144" t="n">
        <v>0</v>
      </c>
      <c r="J144" t="n">
        <v>0</v>
      </c>
      <c r="K144" t="n">
        <v>0</v>
      </c>
      <c r="L144" t="n">
        <v>0</v>
      </c>
      <c r="M144" t="n">
        <v>0</v>
      </c>
      <c r="N144" t="n">
        <v>0</v>
      </c>
      <c r="O144" t="n">
        <v>0</v>
      </c>
      <c r="P144" t="n">
        <v>0</v>
      </c>
      <c r="Q144" t="n">
        <v>0</v>
      </c>
      <c r="R144" s="2" t="inlineStr"/>
    </row>
    <row r="145" ht="15" customHeight="1">
      <c r="A145" t="inlineStr">
        <is>
          <t>A 55555-2024</t>
        </is>
      </c>
      <c r="B145" s="1" t="n">
        <v>45622</v>
      </c>
      <c r="C145" s="1" t="n">
        <v>45720</v>
      </c>
      <c r="D145" t="inlineStr">
        <is>
          <t>UPPSALA LÄN</t>
        </is>
      </c>
      <c r="E145" t="inlineStr">
        <is>
          <t>ÄLVKARLEBY</t>
        </is>
      </c>
      <c r="F145" t="inlineStr">
        <is>
          <t>Bergvik skog väst AB</t>
        </is>
      </c>
      <c r="G145" t="n">
        <v>0.7</v>
      </c>
      <c r="H145" t="n">
        <v>0</v>
      </c>
      <c r="I145" t="n">
        <v>0</v>
      </c>
      <c r="J145" t="n">
        <v>0</v>
      </c>
      <c r="K145" t="n">
        <v>0</v>
      </c>
      <c r="L145" t="n">
        <v>0</v>
      </c>
      <c r="M145" t="n">
        <v>0</v>
      </c>
      <c r="N145" t="n">
        <v>0</v>
      </c>
      <c r="O145" t="n">
        <v>0</v>
      </c>
      <c r="P145" t="n">
        <v>0</v>
      </c>
      <c r="Q145" t="n">
        <v>0</v>
      </c>
      <c r="R145" s="2" t="inlineStr"/>
      <c r="U145">
        <f>HYPERLINK("https://klasma.github.io/Logging_0319/knärot/A 55555-2024 karta knärot.png", "A 55555-2024")</f>
        <v/>
      </c>
      <c r="V145">
        <f>HYPERLINK("https://klasma.github.io/Logging_0319/klagomål/A 55555-2024 FSC-klagomål.docx", "A 55555-2024")</f>
        <v/>
      </c>
      <c r="W145">
        <f>HYPERLINK("https://klasma.github.io/Logging_0319/klagomålsmail/A 55555-2024 FSC-klagomål mail.docx", "A 55555-2024")</f>
        <v/>
      </c>
      <c r="X145">
        <f>HYPERLINK("https://klasma.github.io/Logging_0319/tillsyn/A 55555-2024 tillsynsbegäran.docx", "A 55555-2024")</f>
        <v/>
      </c>
      <c r="Y145">
        <f>HYPERLINK("https://klasma.github.io/Logging_0319/tillsynsmail/A 55555-2024 tillsynsbegäran mail.docx", "A 55555-2024")</f>
        <v/>
      </c>
    </row>
    <row r="146" ht="15" customHeight="1">
      <c r="A146" t="inlineStr">
        <is>
          <t>A 55560-2024</t>
        </is>
      </c>
      <c r="B146" s="1" t="n">
        <v>45622</v>
      </c>
      <c r="C146" s="1" t="n">
        <v>45720</v>
      </c>
      <c r="D146" t="inlineStr">
        <is>
          <t>UPPSALA LÄN</t>
        </is>
      </c>
      <c r="E146" t="inlineStr">
        <is>
          <t>ÄLVKARLEBY</t>
        </is>
      </c>
      <c r="F146" t="inlineStr">
        <is>
          <t>Bergvik skog väst AB</t>
        </is>
      </c>
      <c r="G146" t="n">
        <v>1</v>
      </c>
      <c r="H146" t="n">
        <v>0</v>
      </c>
      <c r="I146" t="n">
        <v>0</v>
      </c>
      <c r="J146" t="n">
        <v>0</v>
      </c>
      <c r="K146" t="n">
        <v>0</v>
      </c>
      <c r="L146" t="n">
        <v>0</v>
      </c>
      <c r="M146" t="n">
        <v>0</v>
      </c>
      <c r="N146" t="n">
        <v>0</v>
      </c>
      <c r="O146" t="n">
        <v>0</v>
      </c>
      <c r="P146" t="n">
        <v>0</v>
      </c>
      <c r="Q146" t="n">
        <v>0</v>
      </c>
      <c r="R146" s="2" t="inlineStr"/>
      <c r="U146">
        <f>HYPERLINK("https://klasma.github.io/Logging_0319/knärot/A 55560-2024 karta knärot.png", "A 55560-2024")</f>
        <v/>
      </c>
      <c r="V146">
        <f>HYPERLINK("https://klasma.github.io/Logging_0319/klagomål/A 55560-2024 FSC-klagomål.docx", "A 55560-2024")</f>
        <v/>
      </c>
      <c r="W146">
        <f>HYPERLINK("https://klasma.github.io/Logging_0319/klagomålsmail/A 55560-2024 FSC-klagomål mail.docx", "A 55560-2024")</f>
        <v/>
      </c>
      <c r="X146">
        <f>HYPERLINK("https://klasma.github.io/Logging_0319/tillsyn/A 55560-2024 tillsynsbegäran.docx", "A 55560-2024")</f>
        <v/>
      </c>
      <c r="Y146">
        <f>HYPERLINK("https://klasma.github.io/Logging_0319/tillsynsmail/A 55560-2024 tillsynsbegäran mail.docx", "A 55560-2024")</f>
        <v/>
      </c>
    </row>
    <row r="147" ht="15" customHeight="1">
      <c r="A147" t="inlineStr">
        <is>
          <t>A 55578-2024</t>
        </is>
      </c>
      <c r="B147" s="1" t="n">
        <v>45622</v>
      </c>
      <c r="C147" s="1" t="n">
        <v>45720</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45720</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45720</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8031-2025</t>
        </is>
      </c>
      <c r="B150" s="1" t="n">
        <v>45707</v>
      </c>
      <c r="C150" s="1" t="n">
        <v>45720</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45720</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45720</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45720</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45720</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2025-03-04T17:15:15Z</dcterms:created>
  <dcterms:modified xmlns:dcterms="http://purl.org/dc/terms/" xmlns:xsi="http://www.w3.org/2001/XMLSchema-instance" xsi:type="dcterms:W3CDTF">2025-03-04T17:15:15Z</dcterms:modified>
</cp:coreProperties>
</file>