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46300</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46300</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46300</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46300</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46300</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46300</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46300</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46300</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46300</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46300</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46300</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46300</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46300</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46300</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46300</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46300</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46300</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40038-2026</t>
        </is>
      </c>
      <c r="B22" t="inlineStr">
        <is>
          <t>avverkningsanmälan</t>
        </is>
      </c>
      <c r="C22" t="inlineStr">
        <is>
          <t>Föryngringsavverkning</t>
        </is>
      </c>
      <c r="D22" s="1" t="n">
        <v>46293</v>
      </c>
      <c r="E22" s="1" t="n">
        <v>46300</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46300</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46300</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46300</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46300</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4132-2026</t>
        </is>
      </c>
      <c r="B27" t="inlineStr">
        <is>
          <t>avverkningsanmälan</t>
        </is>
      </c>
      <c r="C27" t="inlineStr">
        <is>
          <t>Föryngringsavverkning</t>
        </is>
      </c>
      <c r="D27" s="1" t="n">
        <v>46044</v>
      </c>
      <c r="E27" s="1" t="n">
        <v>46300</v>
      </c>
      <c r="F27" t="inlineStr">
        <is>
          <t>UPPSALA LÄN</t>
        </is>
      </c>
      <c r="G27" t="inlineStr">
        <is>
          <t>ÄLVKARLEBY</t>
        </is>
      </c>
      <c r="H27" t="inlineStr">
        <is>
          <t>Bergvik skog öst AB</t>
        </is>
      </c>
      <c r="I27" t="n">
        <v>12.2</v>
      </c>
      <c r="J27" t="n">
        <v>2</v>
      </c>
      <c r="K27" t="n">
        <v>1</v>
      </c>
      <c r="L27" t="n">
        <v>0</v>
      </c>
      <c r="M27" t="n">
        <v>1</v>
      </c>
      <c r="N27" t="n">
        <v>0</v>
      </c>
      <c r="O27" t="n">
        <v>0</v>
      </c>
      <c r="P27" t="n">
        <v>0</v>
      </c>
      <c r="Q27" t="n">
        <v>1</v>
      </c>
      <c r="R27" t="n">
        <v>1</v>
      </c>
      <c r="S27" t="n">
        <v>2</v>
      </c>
      <c r="T27" t="n">
        <v>2</v>
      </c>
      <c r="U27" t="n">
        <v>0</v>
      </c>
      <c r="V27" s="2" t="inlineStr">
        <is>
          <t>Bredgentiana
Nästrot</t>
        </is>
      </c>
      <c r="W27">
        <f>HYPERLINK("https://klasma.github.io/Logging_0319/artfynd/A 4132-2026 artfynd.xlsx", "A 4132-2026")</f>
        <v/>
      </c>
      <c r="X27">
        <f>HYPERLINK("https://klasma.github.io/Logging_0319/kartor/A 4132-2026 karta.png", "A 4132-2026")</f>
        <v/>
      </c>
      <c r="Y27">
        <f>HYPERLINK("https://klasma.github.io/Logging_0319/kartor_geotiff/A 4132-2026 georefererad karta.tif", "A 4132-2026")</f>
        <v/>
      </c>
      <c r="AA27">
        <f>HYPERLINK("https://klasma.github.io/Logging_0319/klagomål/A 4132-2026 FSC-klagomål.docx", "A 4132-2026")</f>
        <v/>
      </c>
      <c r="AB27">
        <f>HYPERLINK("https://klasma.github.io/Logging_0319/klagomålsmail/A 4132-2026 FSC-klagomål mail.docx", "A 4132-2026")</f>
        <v/>
      </c>
      <c r="AC27">
        <f>HYPERLINK("https://klasma.github.io/Logging_0319/tillsyn/A 4132-2026 tillsynsbegäran.docx", "A 4132-2026")</f>
        <v/>
      </c>
      <c r="AD27">
        <f>HYPERLINK("https://klasma.github.io/Logging_0319/tillsynsmail/A 4132-2026 tillsynsbegäran mail.docx", "A 4132-2026")</f>
        <v/>
      </c>
    </row>
    <row r="28" ht="15" customHeight="1">
      <c r="A28" t="inlineStr">
        <is>
          <t>A 4133-2026</t>
        </is>
      </c>
      <c r="B28" t="inlineStr">
        <is>
          <t>avverkningsanmälan</t>
        </is>
      </c>
      <c r="C28" t="inlineStr">
        <is>
          <t>Föryngringsavverkning</t>
        </is>
      </c>
      <c r="D28" s="1" t="n">
        <v>46044</v>
      </c>
      <c r="E28" s="1" t="n">
        <v>46300</v>
      </c>
      <c r="F28" t="inlineStr">
        <is>
          <t>UPPSALA LÄN</t>
        </is>
      </c>
      <c r="G28" t="inlineStr">
        <is>
          <t>ÄLVKARLEBY</t>
        </is>
      </c>
      <c r="H28" t="inlineStr">
        <is>
          <t>Bergvik skog öst AB</t>
        </is>
      </c>
      <c r="I28" t="n">
        <v>4.1</v>
      </c>
      <c r="J28" t="n">
        <v>2</v>
      </c>
      <c r="K28" t="n">
        <v>1</v>
      </c>
      <c r="L28" t="n">
        <v>0</v>
      </c>
      <c r="M28" t="n">
        <v>0</v>
      </c>
      <c r="N28" t="n">
        <v>0</v>
      </c>
      <c r="O28" t="n">
        <v>0</v>
      </c>
      <c r="P28" t="n">
        <v>0</v>
      </c>
      <c r="Q28" t="n">
        <v>0</v>
      </c>
      <c r="R28" t="n">
        <v>0</v>
      </c>
      <c r="S28" t="n">
        <v>2</v>
      </c>
      <c r="T28" t="n">
        <v>2</v>
      </c>
      <c r="U28" t="n">
        <v>2</v>
      </c>
      <c r="V28" s="2" t="inlineStr">
        <is>
          <t>Tvåblad
Nattviol</t>
        </is>
      </c>
      <c r="W28">
        <f>HYPERLINK("https://klasma.github.io/Logging_0319/artfynd/A 4133-2026 artfynd.xlsx", "A 4133-2026")</f>
        <v/>
      </c>
      <c r="X28">
        <f>HYPERLINK("https://klasma.github.io/Logging_0319/kartor/A 4133-2026 karta.png", "A 4133-2026")</f>
        <v/>
      </c>
      <c r="Y28">
        <f>HYPERLINK("https://klasma.github.io/Logging_0319/kartor_geotiff/A 4133-2026 georefererad karta.tif", "A 4133-2026")</f>
        <v/>
      </c>
      <c r="AA28">
        <f>HYPERLINK("https://klasma.github.io/Logging_0319/klagomål/A 4133-2026 FSC-klagomål.docx", "A 4133-2026")</f>
        <v/>
      </c>
      <c r="AB28">
        <f>HYPERLINK("https://klasma.github.io/Logging_0319/klagomålsmail/A 4133-2026 FSC-klagomål mail.docx", "A 4133-2026")</f>
        <v/>
      </c>
      <c r="AC28">
        <f>HYPERLINK("https://klasma.github.io/Logging_0319/tillsyn/A 4133-2026 tillsynsbegäran.docx", "A 4133-2026")</f>
        <v/>
      </c>
      <c r="AD28">
        <f>HYPERLINK("https://klasma.github.io/Logging_0319/tillsynsmail/A 4133-2026 tillsynsbegäran mail.docx", "A 4133-2026")</f>
        <v/>
      </c>
    </row>
    <row r="29" ht="15" customHeight="1">
      <c r="A29" t="inlineStr">
        <is>
          <t>A 15739-2025</t>
        </is>
      </c>
      <c r="B29" t="inlineStr">
        <is>
          <t>avverkningsanmälan</t>
        </is>
      </c>
      <c r="C29" t="inlineStr">
        <is>
          <t>Föryngringsavverkning</t>
        </is>
      </c>
      <c r="D29" s="1" t="n">
        <v>45748</v>
      </c>
      <c r="E29" s="1" t="n">
        <v>46300</v>
      </c>
      <c r="F29" t="inlineStr">
        <is>
          <t>UPPSALA LÄN</t>
        </is>
      </c>
      <c r="G29" t="inlineStr">
        <is>
          <t>ÄLVKARLEBY</t>
        </is>
      </c>
      <c r="H29" t="inlineStr">
        <is>
          <t>Kyrkan</t>
        </is>
      </c>
      <c r="I29" t="n">
        <v>2.4</v>
      </c>
      <c r="J29" t="n">
        <v>0</v>
      </c>
      <c r="K29" t="n">
        <v>0</v>
      </c>
      <c r="L29" t="n">
        <v>2</v>
      </c>
      <c r="M29" t="n">
        <v>0</v>
      </c>
      <c r="N29" t="n">
        <v>0</v>
      </c>
      <c r="O29" t="n">
        <v>0</v>
      </c>
      <c r="P29" t="n">
        <v>0</v>
      </c>
      <c r="Q29" t="n">
        <v>2</v>
      </c>
      <c r="R29" t="n">
        <v>0</v>
      </c>
      <c r="S29" t="n">
        <v>2</v>
      </c>
      <c r="T29" t="n">
        <v>7</v>
      </c>
      <c r="U29" t="n">
        <v>0</v>
      </c>
      <c r="V29" s="2" t="inlineStr">
        <is>
          <t>Brunklöver
Slåtterfibbla</t>
        </is>
      </c>
      <c r="W29">
        <f>HYPERLINK("https://klasma.github.io/Logging_0319/artfynd/A 15739-2025 artfynd.xlsx", "A 15739-2025")</f>
        <v/>
      </c>
      <c r="X29">
        <f>HYPERLINK("https://klasma.github.io/Logging_0319/kartor/A 15739-2025 karta.png", "A 15739-2025")</f>
        <v/>
      </c>
      <c r="Y29">
        <f>HYPERLINK("https://klasma.github.io/Logging_0319/kartor_geotiff/A 15739-2025 georefererad karta.tif", "A 15739-2025")</f>
        <v/>
      </c>
      <c r="AA29">
        <f>HYPERLINK("https://klasma.github.io/Logging_0319/klagomål/A 15739-2025 FSC-klagomål.docx", "A 15739-2025")</f>
        <v/>
      </c>
      <c r="AB29">
        <f>HYPERLINK("https://klasma.github.io/Logging_0319/klagomålsmail/A 15739-2025 FSC-klagomål mail.docx", "A 15739-2025")</f>
        <v/>
      </c>
      <c r="AC29">
        <f>HYPERLINK("https://klasma.github.io/Logging_0319/tillsyn/A 15739-2025 tillsynsbegäran.docx", "A 15739-2025")</f>
        <v/>
      </c>
      <c r="AD29">
        <f>HYPERLINK("https://klasma.github.io/Logging_0319/tillsynsmail/A 15739-2025 tillsynsbegäran mail.docx", "A 15739-2025")</f>
        <v/>
      </c>
    </row>
    <row r="30" ht="15" customHeight="1">
      <c r="A30" t="inlineStr">
        <is>
          <t>A 58485-2025</t>
        </is>
      </c>
      <c r="B30" t="inlineStr">
        <is>
          <t>avverkningsanmälan</t>
        </is>
      </c>
      <c r="C30" t="inlineStr">
        <is>
          <t>Föryngringsavverkning</t>
        </is>
      </c>
      <c r="D30" s="1" t="n">
        <v>45985</v>
      </c>
      <c r="E30" s="1" t="n">
        <v>46300</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40478-2026</t>
        </is>
      </c>
      <c r="B31" t="inlineStr">
        <is>
          <t>avverkningsanmälan</t>
        </is>
      </c>
      <c r="C31" t="inlineStr">
        <is>
          <t>Föryngringsavverkning</t>
        </is>
      </c>
      <c r="D31" s="1" t="n">
        <v>46295</v>
      </c>
      <c r="E31" s="1" t="n">
        <v>46300</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S 780-2024</t>
        </is>
      </c>
      <c r="B32" t="inlineStr">
        <is>
          <t>samrådsanmälan</t>
        </is>
      </c>
      <c r="C32" t="inlineStr">
        <is>
          <t>Annan skogsbruksåtgärd</t>
        </is>
      </c>
      <c r="D32" s="1" t="n">
        <v>45369</v>
      </c>
      <c r="E32" s="1" t="n">
        <v>46300</v>
      </c>
      <c r="F32" t="inlineStr">
        <is>
          <t>UPPSALA LÄN</t>
        </is>
      </c>
      <c r="G32" t="inlineStr">
        <is>
          <t>ÄLVKARLEBY</t>
        </is>
      </c>
      <c r="H32" t="inlineStr">
        <is>
          <t>Bergvik skog väst AB</t>
        </is>
      </c>
      <c r="I32" t="n">
        <v>0.2</v>
      </c>
      <c r="J32" t="n">
        <v>1</v>
      </c>
      <c r="K32" t="n">
        <v>0</v>
      </c>
      <c r="L32" t="n">
        <v>1</v>
      </c>
      <c r="M32" t="n">
        <v>0</v>
      </c>
      <c r="N32" t="n">
        <v>1</v>
      </c>
      <c r="O32" t="n">
        <v>0</v>
      </c>
      <c r="P32" t="n">
        <v>0</v>
      </c>
      <c r="Q32" t="n">
        <v>2</v>
      </c>
      <c r="R32" t="n">
        <v>1</v>
      </c>
      <c r="S32" t="n">
        <v>2</v>
      </c>
      <c r="T32" t="n">
        <v>10</v>
      </c>
      <c r="U32" t="n">
        <v>2</v>
      </c>
      <c r="V32" s="2" t="inlineStr">
        <is>
          <t>Mosippa
Motaggsvamp</t>
        </is>
      </c>
      <c r="W32">
        <f>HYPERLINK("https://klasma.github.io/Logging_0319/artfynd/S 780-2024 artfynd.xlsx", "S 780-2024")</f>
        <v/>
      </c>
      <c r="X32">
        <f>HYPERLINK("https://klasma.github.io/Logging_0319/kartor/S 780-2024 karta.png", "S 780-2024")</f>
        <v/>
      </c>
      <c r="Y32">
        <f>HYPERLINK("https://klasma.github.io/Logging_0319/kartor_geotiff/S 780-2024 georefererad karta.tif", "S 780-2024")</f>
        <v/>
      </c>
      <c r="AA32">
        <f>HYPERLINK("https://klasma.github.io/Logging_0319/klagomål/S 780-2024 FSC-klagomål.docx", "S 780-2024")</f>
        <v/>
      </c>
      <c r="AB32">
        <f>HYPERLINK("https://klasma.github.io/Logging_0319/klagomålsmail/S 780-2024 FSC-klagomål mail.docx", "S 780-2024")</f>
        <v/>
      </c>
      <c r="AC32">
        <f>HYPERLINK("https://klasma.github.io/Logging_0319/tillsyn/S 780-2024 tillsynsbegäran.docx", "S 780-2024")</f>
        <v/>
      </c>
      <c r="AD32">
        <f>HYPERLINK("https://klasma.github.io/Logging_0319/tillsynsmail/S 780-2024 tillsynsbegäran mail.docx", "S 780-2024")</f>
        <v/>
      </c>
    </row>
    <row r="33" ht="15" customHeight="1">
      <c r="A33" t="inlineStr">
        <is>
          <t>A 10455-2022</t>
        </is>
      </c>
      <c r="B33" t="inlineStr">
        <is>
          <t>avverkningsanmälan</t>
        </is>
      </c>
      <c r="C33" t="inlineStr">
        <is>
          <t>Föryngringsavverkning</t>
        </is>
      </c>
      <c r="D33" s="1" t="n">
        <v>44623</v>
      </c>
      <c r="E33" s="1" t="n">
        <v>46300</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63004-2025</t>
        </is>
      </c>
      <c r="B34" t="inlineStr">
        <is>
          <t>avverkningsanmälan</t>
        </is>
      </c>
      <c r="C34" t="inlineStr">
        <is>
          <t>Föryngringsavverkning</t>
        </is>
      </c>
      <c r="D34" s="1" t="n">
        <v>46009</v>
      </c>
      <c r="E34" s="1" t="n">
        <v>46300</v>
      </c>
      <c r="F34" t="inlineStr">
        <is>
          <t>UPPSALA LÄN</t>
        </is>
      </c>
      <c r="G34" t="inlineStr">
        <is>
          <t>ÄLVKARLEBY</t>
        </is>
      </c>
      <c r="H34" t="inlineStr">
        <is>
          <t>Bergvik skog väst AB</t>
        </is>
      </c>
      <c r="I34" t="n">
        <v>2.2</v>
      </c>
      <c r="J34" t="n">
        <v>1</v>
      </c>
      <c r="K34" t="n">
        <v>1</v>
      </c>
      <c r="L34" t="n">
        <v>0</v>
      </c>
      <c r="M34" t="n">
        <v>0</v>
      </c>
      <c r="N34" t="n">
        <v>0</v>
      </c>
      <c r="O34" t="n">
        <v>0</v>
      </c>
      <c r="P34" t="n">
        <v>0</v>
      </c>
      <c r="Q34" t="n">
        <v>0</v>
      </c>
      <c r="R34" t="n">
        <v>0</v>
      </c>
      <c r="S34" t="n">
        <v>1</v>
      </c>
      <c r="T34" t="n">
        <v>4</v>
      </c>
      <c r="U34" t="n">
        <v>0</v>
      </c>
      <c r="V34" s="2" t="inlineStr">
        <is>
          <t>Skogsknipprot</t>
        </is>
      </c>
      <c r="W34">
        <f>HYPERLINK("https://klasma.github.io/Logging_0319/artfynd/A 63004-2025 artfynd.xlsx", "A 63004-2025")</f>
        <v/>
      </c>
      <c r="X34">
        <f>HYPERLINK("https://klasma.github.io/Logging_0319/kartor/A 63004-2025 karta.png", "A 63004-2025")</f>
        <v/>
      </c>
      <c r="Y34">
        <f>HYPERLINK("https://klasma.github.io/Logging_0319/kartor_geotiff/A 63004-2025 georefererad karta.tif", "A 63004-2025")</f>
        <v/>
      </c>
      <c r="AA34">
        <f>HYPERLINK("https://klasma.github.io/Logging_0319/klagomål/A 63004-2025 FSC-klagomål.docx", "A 63004-2025")</f>
        <v/>
      </c>
      <c r="AB34">
        <f>HYPERLINK("https://klasma.github.io/Logging_0319/klagomålsmail/A 63004-2025 FSC-klagomål mail.docx", "A 63004-2025")</f>
        <v/>
      </c>
      <c r="AC34">
        <f>HYPERLINK("https://klasma.github.io/Logging_0319/tillsyn/A 63004-2025 tillsynsbegäran.docx", "A 63004-2025")</f>
        <v/>
      </c>
      <c r="AD34">
        <f>HYPERLINK("https://klasma.github.io/Logging_0319/tillsynsmail/A 63004-2025 tillsynsbegäran mail.docx", "A 63004-2025")</f>
        <v/>
      </c>
    </row>
    <row r="35" ht="15" customHeight="1">
      <c r="A35" t="inlineStr">
        <is>
          <t>A 1673-2026</t>
        </is>
      </c>
      <c r="B35" t="inlineStr">
        <is>
          <t>avverkningsanmälan</t>
        </is>
      </c>
      <c r="C35" t="inlineStr">
        <is>
          <t>Föryngringsavverkning</t>
        </is>
      </c>
      <c r="D35" s="1" t="n">
        <v>46034</v>
      </c>
      <c r="E35" s="1" t="n">
        <v>46300</v>
      </c>
      <c r="F35" t="inlineStr">
        <is>
          <t>UPPSALA LÄN</t>
        </is>
      </c>
      <c r="G35" t="inlineStr">
        <is>
          <t>ÄLVKARLEBY</t>
        </is>
      </c>
      <c r="H35" t="inlineStr">
        <is>
          <t>Bergvik skog väst AB</t>
        </is>
      </c>
      <c r="I35" t="n">
        <v>1.9</v>
      </c>
      <c r="J35" t="n">
        <v>0</v>
      </c>
      <c r="K35" t="n">
        <v>1</v>
      </c>
      <c r="L35" t="n">
        <v>0</v>
      </c>
      <c r="M35" t="n">
        <v>0</v>
      </c>
      <c r="N35" t="n">
        <v>0</v>
      </c>
      <c r="O35" t="n">
        <v>0</v>
      </c>
      <c r="P35" t="n">
        <v>0</v>
      </c>
      <c r="Q35" t="n">
        <v>0</v>
      </c>
      <c r="R35" t="n">
        <v>0</v>
      </c>
      <c r="S35" t="n">
        <v>1</v>
      </c>
      <c r="T35" t="n">
        <v>1</v>
      </c>
      <c r="U35" t="n">
        <v>0</v>
      </c>
      <c r="V35" s="2" t="inlineStr">
        <is>
          <t>Tibast</t>
        </is>
      </c>
      <c r="W35">
        <f>HYPERLINK("https://klasma.github.io/Logging_0319/artfynd/A 1673-2026 artfynd.xlsx", "A 1673-2026")</f>
        <v/>
      </c>
      <c r="X35">
        <f>HYPERLINK("https://klasma.github.io/Logging_0319/kartor/A 1673-2026 karta.png", "A 1673-2026")</f>
        <v/>
      </c>
      <c r="Y35">
        <f>HYPERLINK("https://klasma.github.io/Logging_0319/kartor_geotiff/A 1673-2026 georefererad karta.tif", "A 1673-2026")</f>
        <v/>
      </c>
      <c r="AA35">
        <f>HYPERLINK("https://klasma.github.io/Logging_0319/klagomål/A 1673-2026 FSC-klagomål.docx", "A 1673-2026")</f>
        <v/>
      </c>
      <c r="AB35">
        <f>HYPERLINK("https://klasma.github.io/Logging_0319/klagomålsmail/A 1673-2026 FSC-klagomål mail.docx", "A 1673-2026")</f>
        <v/>
      </c>
      <c r="AC35">
        <f>HYPERLINK("https://klasma.github.io/Logging_0319/tillsyn/A 1673-2026 tillsynsbegäran.docx", "A 1673-2026")</f>
        <v/>
      </c>
      <c r="AD35">
        <f>HYPERLINK("https://klasma.github.io/Logging_0319/tillsynsmail/A 1673-2026 tillsynsbegäran mail.docx", "A 1673-2026")</f>
        <v/>
      </c>
    </row>
    <row r="36" ht="15" customHeight="1">
      <c r="A36" t="inlineStr">
        <is>
          <t>A 4131-2026</t>
        </is>
      </c>
      <c r="B36" t="inlineStr">
        <is>
          <t>avverkningsanmälan</t>
        </is>
      </c>
      <c r="C36" t="inlineStr">
        <is>
          <t>Föryngringsavverkning</t>
        </is>
      </c>
      <c r="D36" s="1" t="n">
        <v>46044</v>
      </c>
      <c r="E36" s="1" t="n">
        <v>46300</v>
      </c>
      <c r="F36" t="inlineStr">
        <is>
          <t>UPPSALA LÄN</t>
        </is>
      </c>
      <c r="G36" t="inlineStr">
        <is>
          <t>ÄLVKARLEBY</t>
        </is>
      </c>
      <c r="H36" t="inlineStr">
        <is>
          <t>Bergvik skog öst AB</t>
        </is>
      </c>
      <c r="I36" t="n">
        <v>2.4</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HYPERLINK("https://klasma.github.io/Logging_0319/artfynd/A 4131-2026 artfynd.xlsx", "A 4131-2026")</f>
        <v/>
      </c>
      <c r="X36">
        <f>HYPERLINK("https://klasma.github.io/Logging_0319/kartor/A 4131-2026 karta.png", "A 4131-2026")</f>
        <v/>
      </c>
      <c r="Y36">
        <f>HYPERLINK("https://klasma.github.io/Logging_0319/kartor_geotiff/A 4131-2026 georefererad karta.tif", "A 4131-2026")</f>
        <v/>
      </c>
      <c r="AA36">
        <f>HYPERLINK("https://klasma.github.io/Logging_0319/klagomål/A 4131-2026 FSC-klagomål.docx", "A 4131-2026")</f>
        <v/>
      </c>
      <c r="AB36">
        <f>HYPERLINK("https://klasma.github.io/Logging_0319/klagomålsmail/A 4131-2026 FSC-klagomål mail.docx", "A 4131-2026")</f>
        <v/>
      </c>
      <c r="AC36">
        <f>HYPERLINK("https://klasma.github.io/Logging_0319/tillsyn/A 4131-2026 tillsynsbegäran.docx", "A 4131-2026")</f>
        <v/>
      </c>
      <c r="AD36">
        <f>HYPERLINK("https://klasma.github.io/Logging_0319/tillsynsmail/A 4131-2026 tillsynsbegäran mail.docx", "A 4131-2026")</f>
        <v/>
      </c>
    </row>
    <row r="37" ht="15" customHeight="1">
      <c r="A37" t="inlineStr">
        <is>
          <t>A 51238-2025</t>
        </is>
      </c>
      <c r="B37" t="inlineStr">
        <is>
          <t>avverkningsanmälan</t>
        </is>
      </c>
      <c r="C37" t="inlineStr">
        <is>
          <t>Föryngringsavverkning</t>
        </is>
      </c>
      <c r="D37" s="1" t="n">
        <v>45947</v>
      </c>
      <c r="E37" s="1" t="n">
        <v>46300</v>
      </c>
      <c r="F37" t="inlineStr">
        <is>
          <t>UPPSALA LÄN</t>
        </is>
      </c>
      <c r="G37" t="inlineStr">
        <is>
          <t>ÄLVKARLEBY</t>
        </is>
      </c>
      <c r="H37" t="inlineStr">
        <is>
          <t>Bergvik skog väst AB</t>
        </is>
      </c>
      <c r="I37" t="n">
        <v>6</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HYPERLINK("https://klasma.github.io/Logging_0319/artfynd/A 51238-2025 artfynd.xlsx", "A 51238-2025")</f>
        <v/>
      </c>
      <c r="X37">
        <f>HYPERLINK("https://klasma.github.io/Logging_0319/kartor/A 51238-2025 karta.png", "A 51238-2025")</f>
        <v/>
      </c>
      <c r="Y37">
        <f>HYPERLINK("https://klasma.github.io/Logging_0319/kartor_geotiff/A 51238-2025 georefererad karta.tif", "A 51238-2025")</f>
        <v/>
      </c>
      <c r="AA37">
        <f>HYPERLINK("https://klasma.github.io/Logging_0319/klagomål/A 51238-2025 FSC-klagomål.docx", "A 51238-2025")</f>
        <v/>
      </c>
      <c r="AB37">
        <f>HYPERLINK("https://klasma.github.io/Logging_0319/klagomålsmail/A 51238-2025 FSC-klagomål mail.docx", "A 51238-2025")</f>
        <v/>
      </c>
      <c r="AC37">
        <f>HYPERLINK("https://klasma.github.io/Logging_0319/tillsyn/A 51238-2025 tillsynsbegäran.docx", "A 51238-2025")</f>
        <v/>
      </c>
      <c r="AD37">
        <f>HYPERLINK("https://klasma.github.io/Logging_0319/tillsynsmail/A 51238-2025 tillsynsbegäran mail.docx", "A 51238-2025")</f>
        <v/>
      </c>
    </row>
    <row r="38" ht="15" customHeight="1">
      <c r="A38" t="inlineStr">
        <is>
          <t>A 43285-2023</t>
        </is>
      </c>
      <c r="B38" t="inlineStr">
        <is>
          <t>avverkningsanmälan</t>
        </is>
      </c>
      <c r="C38" t="inlineStr">
        <is>
          <t>Föryngringsavverkning</t>
        </is>
      </c>
      <c r="D38" s="1" t="n">
        <v>45183</v>
      </c>
      <c r="E38" s="1" t="n">
        <v>46300</v>
      </c>
      <c r="F38" t="inlineStr">
        <is>
          <t>UPPSALA LÄN</t>
        </is>
      </c>
      <c r="G38" t="inlineStr">
        <is>
          <t>ÄLVKARLEBY</t>
        </is>
      </c>
      <c r="H38" t="inlineStr">
        <is>
          <t>Bergvik skog väst AB</t>
        </is>
      </c>
      <c r="I38" t="n">
        <v>1.3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HYPERLINK("https://klasma.github.io/Logging_0319/artfynd/A 43285-2023 artfynd.xlsx", "A 43285-2023")</f>
        <v/>
      </c>
      <c r="X38">
        <f>HYPERLINK("https://klasma.github.io/Logging_0319/kartor/A 43285-2023 karta.png", "A 43285-2023")</f>
        <v/>
      </c>
      <c r="Y38">
        <f>HYPERLINK("https://klasma.github.io/Logging_0319/kartor_geotiff/A 43285-2023 georefererad karta.tif", "A 43285-2023")</f>
        <v/>
      </c>
      <c r="AA38">
        <f>HYPERLINK("https://klasma.github.io/Logging_0319/klagomål/A 43285-2023 FSC-klagomål.docx", "A 43285-2023")</f>
        <v/>
      </c>
      <c r="AB38">
        <f>HYPERLINK("https://klasma.github.io/Logging_0319/klagomålsmail/A 43285-2023 FSC-klagomål mail.docx", "A 43285-2023")</f>
        <v/>
      </c>
      <c r="AC38">
        <f>HYPERLINK("https://klasma.github.io/Logging_0319/tillsyn/A 43285-2023 tillsynsbegäran.docx", "A 43285-2023")</f>
        <v/>
      </c>
      <c r="AD38">
        <f>HYPERLINK("https://klasma.github.io/Logging_0319/tillsynsmail/A 43285-2023 tillsynsbegäran mail.docx", "A 43285-2023")</f>
        <v/>
      </c>
    </row>
    <row r="39" ht="15" customHeight="1">
      <c r="A39" t="inlineStr">
        <is>
          <t>A 14127-2026</t>
        </is>
      </c>
      <c r="B39" t="inlineStr">
        <is>
          <t>avverkningsanmälan</t>
        </is>
      </c>
      <c r="C39" t="inlineStr">
        <is>
          <t>Föryngringsavverkning</t>
        </is>
      </c>
      <c r="D39" s="1" t="n">
        <v>46099</v>
      </c>
      <c r="E39" s="1" t="n">
        <v>46300</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70017-2021</t>
        </is>
      </c>
      <c r="B40" t="inlineStr">
        <is>
          <t>avverkningsanmälan</t>
        </is>
      </c>
      <c r="C40" t="inlineStr">
        <is>
          <t>Föryngringsavverkning</t>
        </is>
      </c>
      <c r="D40" s="1" t="n">
        <v>44533</v>
      </c>
      <c r="E40" s="1" t="n">
        <v>46300</v>
      </c>
      <c r="F40" t="inlineStr">
        <is>
          <t>UPPSALA LÄN</t>
        </is>
      </c>
      <c r="G40" t="inlineStr">
        <is>
          <t>ÄLVKARLEBY</t>
        </is>
      </c>
      <c r="I40" t="n">
        <v>2.1</v>
      </c>
      <c r="J40" t="n">
        <v>1</v>
      </c>
      <c r="K40" t="n">
        <v>0</v>
      </c>
      <c r="L40" t="n">
        <v>0</v>
      </c>
      <c r="M40" t="n">
        <v>0</v>
      </c>
      <c r="N40" t="n">
        <v>0</v>
      </c>
      <c r="O40" t="n">
        <v>0</v>
      </c>
      <c r="P40" t="n">
        <v>0</v>
      </c>
      <c r="Q40" t="n">
        <v>0</v>
      </c>
      <c r="R40" t="n">
        <v>0</v>
      </c>
      <c r="S40" t="n">
        <v>1</v>
      </c>
      <c r="T40" t="n">
        <v>1</v>
      </c>
      <c r="U40" t="n">
        <v>1</v>
      </c>
      <c r="V40" s="2" t="inlineStr">
        <is>
          <t>Trana</t>
        </is>
      </c>
      <c r="W40">
        <f>HYPERLINK("https://klasma.github.io/Logging_0319/artfynd/A 70017-2021 artfynd.xlsx", "A 70017-2021")</f>
        <v/>
      </c>
      <c r="X40">
        <f>HYPERLINK("https://klasma.github.io/Logging_0319/kartor/A 70017-2021 karta.png", "A 70017-2021")</f>
        <v/>
      </c>
      <c r="Y40">
        <f>HYPERLINK("https://klasma.github.io/Logging_0319/kartor_geotiff/A 70017-2021 georefererad karta.tif", "A 70017-2021")</f>
        <v/>
      </c>
      <c r="AA40">
        <f>HYPERLINK("https://klasma.github.io/Logging_0319/klagomål/A 70017-2021 FSC-klagomål.docx", "A 70017-2021")</f>
        <v/>
      </c>
      <c r="AB40">
        <f>HYPERLINK("https://klasma.github.io/Logging_0319/klagomålsmail/A 70017-2021 FSC-klagomål mail.docx", "A 70017-2021")</f>
        <v/>
      </c>
      <c r="AC40">
        <f>HYPERLINK("https://klasma.github.io/Logging_0319/tillsyn/A 70017-2021 tillsynsbegäran.docx", "A 70017-2021")</f>
        <v/>
      </c>
      <c r="AD40">
        <f>HYPERLINK("https://klasma.github.io/Logging_0319/tillsynsmail/A 70017-2021 tillsynsbegäran mail.docx", "A 70017-2021")</f>
        <v/>
      </c>
      <c r="AE40">
        <f>HYPERLINK("https://klasma.github.io/Logging_0319/fåglar/A 70017-2021 prioriterade fågelarter.docx", "A 70017-2021")</f>
        <v/>
      </c>
    </row>
    <row r="41" ht="15" customHeight="1">
      <c r="A41" t="inlineStr">
        <is>
          <t>A 57734-2025</t>
        </is>
      </c>
      <c r="B41" t="inlineStr">
        <is>
          <t>avverkningsanmälan</t>
        </is>
      </c>
      <c r="C41" t="inlineStr">
        <is>
          <t>Föryngringsavverkning</t>
        </is>
      </c>
      <c r="D41" s="1" t="n">
        <v>45981</v>
      </c>
      <c r="E41" s="1" t="n">
        <v>46300</v>
      </c>
      <c r="F41" t="inlineStr">
        <is>
          <t>UPPSALA LÄN</t>
        </is>
      </c>
      <c r="G41" t="inlineStr">
        <is>
          <t>ÄLVKARLEBY</t>
        </is>
      </c>
      <c r="H41" t="inlineStr">
        <is>
          <t>Bergvik skog väst AB</t>
        </is>
      </c>
      <c r="I41" t="n">
        <v>1.3</v>
      </c>
      <c r="J41" t="n">
        <v>1</v>
      </c>
      <c r="K41" t="n">
        <v>0</v>
      </c>
      <c r="L41" t="n">
        <v>0</v>
      </c>
      <c r="M41" t="n">
        <v>1</v>
      </c>
      <c r="N41" t="n">
        <v>0</v>
      </c>
      <c r="O41" t="n">
        <v>0</v>
      </c>
      <c r="P41" t="n">
        <v>0</v>
      </c>
      <c r="Q41" t="n">
        <v>1</v>
      </c>
      <c r="R41" t="n">
        <v>1</v>
      </c>
      <c r="S41" t="n">
        <v>1</v>
      </c>
      <c r="T41" t="n">
        <v>1</v>
      </c>
      <c r="U41" t="n">
        <v>0</v>
      </c>
      <c r="V41" s="2" t="inlineStr">
        <is>
          <t>Gölgroda</t>
        </is>
      </c>
      <c r="W41">
        <f>HYPERLINK("https://klasma.github.io/Logging_0319/artfynd/A 57734-2025 artfynd.xlsx", "A 57734-2025")</f>
        <v/>
      </c>
      <c r="X41">
        <f>HYPERLINK("https://klasma.github.io/Logging_0319/kartor/A 57734-2025 karta.png", "A 57734-2025")</f>
        <v/>
      </c>
      <c r="Y41">
        <f>HYPERLINK("https://klasma.github.io/Logging_0319/kartor_geotiff/A 57734-2025 georefererad karta.tif", "A 57734-2025")</f>
        <v/>
      </c>
      <c r="AA41">
        <f>HYPERLINK("https://klasma.github.io/Logging_0319/klagomål/A 57734-2025 FSC-klagomål.docx", "A 57734-2025")</f>
        <v/>
      </c>
      <c r="AB41">
        <f>HYPERLINK("https://klasma.github.io/Logging_0319/klagomålsmail/A 57734-2025 FSC-klagomål mail.docx", "A 57734-2025")</f>
        <v/>
      </c>
      <c r="AC41">
        <f>HYPERLINK("https://klasma.github.io/Logging_0319/tillsyn/A 57734-2025 tillsynsbegäran.docx", "A 57734-2025")</f>
        <v/>
      </c>
      <c r="AD41">
        <f>HYPERLINK("https://klasma.github.io/Logging_0319/tillsynsmail/A 57734-2025 tillsynsbegäran mail.docx", "A 57734-2025")</f>
        <v/>
      </c>
    </row>
    <row r="42" ht="15" customHeight="1">
      <c r="A42" t="inlineStr">
        <is>
          <t>A 7286-2023</t>
        </is>
      </c>
      <c r="B42" t="inlineStr">
        <is>
          <t>avverkningsanmälan</t>
        </is>
      </c>
      <c r="C42" t="inlineStr">
        <is>
          <t>Avverkning för annat ändamål</t>
        </is>
      </c>
      <c r="D42" s="1" t="n">
        <v>44970</v>
      </c>
      <c r="E42" s="1" t="n">
        <v>46300</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30233-2026</t>
        </is>
      </c>
      <c r="B43" t="inlineStr">
        <is>
          <t>avverkningsanmälan</t>
        </is>
      </c>
      <c r="C43" t="inlineStr">
        <is>
          <t>Föryngringsavverkning</t>
        </is>
      </c>
      <c r="D43" s="1" t="n">
        <v>46206</v>
      </c>
      <c r="E43" s="1" t="n">
        <v>46300</v>
      </c>
      <c r="F43" t="inlineStr">
        <is>
          <t>UPPSALA LÄN</t>
        </is>
      </c>
      <c r="G43" t="inlineStr">
        <is>
          <t>ÄLVKARLEBY</t>
        </is>
      </c>
      <c r="H43" t="inlineStr">
        <is>
          <t>Bergvik skog öst AB</t>
        </is>
      </c>
      <c r="I43" t="n">
        <v>6.8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30233-2026 artfynd.xlsx", "A 30233-2026")</f>
        <v/>
      </c>
      <c r="X43">
        <f>HYPERLINK("https://klasma.github.io/Logging_0319/kartor/A 30233-2026 karta.png", "A 30233-2026")</f>
        <v/>
      </c>
      <c r="Y43">
        <f>HYPERLINK("https://klasma.github.io/Logging_0319/kartor_geotiff/A 30233-2026 georefererad karta.tif", "A 30233-2026")</f>
        <v/>
      </c>
      <c r="AA43">
        <f>HYPERLINK("https://klasma.github.io/Logging_0319/klagomål/A 30233-2026 FSC-klagomål.docx", "A 30233-2026")</f>
        <v/>
      </c>
      <c r="AB43">
        <f>HYPERLINK("https://klasma.github.io/Logging_0319/klagomålsmail/A 30233-2026 FSC-klagomål mail.docx", "A 30233-2026")</f>
        <v/>
      </c>
      <c r="AC43">
        <f>HYPERLINK("https://klasma.github.io/Logging_0319/tillsyn/A 30233-2026 tillsynsbegäran.docx", "A 30233-2026")</f>
        <v/>
      </c>
      <c r="AD43">
        <f>HYPERLINK("https://klasma.github.io/Logging_0319/tillsynsmail/A 30233-2026 tillsynsbegäran mail.docx", "A 30233-2026")</f>
        <v/>
      </c>
    </row>
    <row r="44" ht="15" customHeight="1">
      <c r="A44" t="inlineStr">
        <is>
          <t>A 30236-2026</t>
        </is>
      </c>
      <c r="B44" t="inlineStr">
        <is>
          <t>avverkningsanmälan</t>
        </is>
      </c>
      <c r="C44" t="inlineStr">
        <is>
          <t>Föryngringsavverkning</t>
        </is>
      </c>
      <c r="D44" s="1" t="n">
        <v>46206</v>
      </c>
      <c r="E44" s="1" t="n">
        <v>46300</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19303-2024</t>
        </is>
      </c>
      <c r="B45" t="inlineStr">
        <is>
          <t>avverkningsanmälan</t>
        </is>
      </c>
      <c r="C45" t="inlineStr">
        <is>
          <t>Föryngringsavverkning</t>
        </is>
      </c>
      <c r="D45" s="1" t="n">
        <v>45428</v>
      </c>
      <c r="E45" s="1" t="n">
        <v>46300</v>
      </c>
      <c r="F45" t="inlineStr">
        <is>
          <t>UPPSALA LÄN</t>
        </is>
      </c>
      <c r="G45" t="inlineStr">
        <is>
          <t>ÄLVKARLEBY</t>
        </is>
      </c>
      <c r="I45" t="n">
        <v>0.4</v>
      </c>
      <c r="J45" t="n">
        <v>1</v>
      </c>
      <c r="K45" t="n">
        <v>0</v>
      </c>
      <c r="L45" t="n">
        <v>0</v>
      </c>
      <c r="M45" t="n">
        <v>1</v>
      </c>
      <c r="N45" t="n">
        <v>0</v>
      </c>
      <c r="O45" t="n">
        <v>0</v>
      </c>
      <c r="P45" t="n">
        <v>0</v>
      </c>
      <c r="Q45" t="n">
        <v>1</v>
      </c>
      <c r="R45" t="n">
        <v>1</v>
      </c>
      <c r="S45" t="n">
        <v>1</v>
      </c>
      <c r="T45" t="n">
        <v>1</v>
      </c>
      <c r="U45" t="n">
        <v>1</v>
      </c>
      <c r="V45" s="2" t="inlineStr">
        <is>
          <t>Gölgroda</t>
        </is>
      </c>
      <c r="W45">
        <f>HYPERLINK("https://klasma.github.io/Logging_0319/artfynd/A 19303-2024 artfynd.xlsx", "A 19303-2024")</f>
        <v/>
      </c>
      <c r="X45">
        <f>HYPERLINK("https://klasma.github.io/Logging_0319/kartor/A 19303-2024 karta.png", "A 19303-2024")</f>
        <v/>
      </c>
      <c r="Y45">
        <f>HYPERLINK("https://klasma.github.io/Logging_0319/kartor_geotiff/A 19303-2024 georefererad karta.tif", "A 19303-2024")</f>
        <v/>
      </c>
      <c r="AA45">
        <f>HYPERLINK("https://klasma.github.io/Logging_0319/klagomål/A 19303-2024 FSC-klagomål.docx", "A 19303-2024")</f>
        <v/>
      </c>
      <c r="AB45">
        <f>HYPERLINK("https://klasma.github.io/Logging_0319/klagomålsmail/A 19303-2024 FSC-klagomål mail.docx", "A 19303-2024")</f>
        <v/>
      </c>
      <c r="AC45">
        <f>HYPERLINK("https://klasma.github.io/Logging_0319/tillsyn/A 19303-2024 tillsynsbegäran.docx", "A 19303-2024")</f>
        <v/>
      </c>
      <c r="AD45">
        <f>HYPERLINK("https://klasma.github.io/Logging_0319/tillsynsmail/A 19303-2024 tillsynsbegäran mail.docx", "A 19303-2024")</f>
        <v/>
      </c>
    </row>
    <row r="46" ht="15" customHeight="1">
      <c r="A46" t="inlineStr">
        <is>
          <t>A 3950-2025</t>
        </is>
      </c>
      <c r="B46" t="inlineStr">
        <is>
          <t>avverkningsanmälan</t>
        </is>
      </c>
      <c r="C46" t="inlineStr">
        <is>
          <t>Avverkning för annat ändamål</t>
        </is>
      </c>
      <c r="D46" s="1" t="n">
        <v>45684</v>
      </c>
      <c r="E46" s="1" t="n">
        <v>46300</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19300-2024</t>
        </is>
      </c>
      <c r="B47" t="inlineStr">
        <is>
          <t>avverkningsanmälan</t>
        </is>
      </c>
      <c r="C47" t="inlineStr">
        <is>
          <t>Föryngringsavverkning</t>
        </is>
      </c>
      <c r="D47" s="1" t="n">
        <v>45428</v>
      </c>
      <c r="E47" s="1" t="n">
        <v>46300</v>
      </c>
      <c r="F47" t="inlineStr">
        <is>
          <t>UPPSALA LÄN</t>
        </is>
      </c>
      <c r="G47" t="inlineStr">
        <is>
          <t>ÄLVKARLEBY</t>
        </is>
      </c>
      <c r="I47" t="n">
        <v>0.9</v>
      </c>
      <c r="J47" t="n">
        <v>1</v>
      </c>
      <c r="K47" t="n">
        <v>0</v>
      </c>
      <c r="L47" t="n">
        <v>1</v>
      </c>
      <c r="M47" t="n">
        <v>0</v>
      </c>
      <c r="N47" t="n">
        <v>0</v>
      </c>
      <c r="O47" t="n">
        <v>0</v>
      </c>
      <c r="P47" t="n">
        <v>0</v>
      </c>
      <c r="Q47" t="n">
        <v>1</v>
      </c>
      <c r="R47" t="n">
        <v>0</v>
      </c>
      <c r="S47" t="n">
        <v>1</v>
      </c>
      <c r="T47" t="n">
        <v>1</v>
      </c>
      <c r="U47" t="n">
        <v>1</v>
      </c>
      <c r="V47" s="2" t="inlineStr">
        <is>
          <t>Kricka</t>
        </is>
      </c>
      <c r="W47">
        <f>HYPERLINK("https://klasma.github.io/Logging_0319/artfynd/A 19300-2024 artfynd.xlsx", "A 19300-2024")</f>
        <v/>
      </c>
      <c r="X47">
        <f>HYPERLINK("https://klasma.github.io/Logging_0319/kartor/A 19300-2024 karta.png", "A 19300-2024")</f>
        <v/>
      </c>
      <c r="Y47">
        <f>HYPERLINK("https://klasma.github.io/Logging_0319/kartor_geotiff/A 19300-2024 georefererad karta.tif", "A 19300-2024")</f>
        <v/>
      </c>
      <c r="AA47">
        <f>HYPERLINK("https://klasma.github.io/Logging_0319/klagomål/A 19300-2024 FSC-klagomål.docx", "A 19300-2024")</f>
        <v/>
      </c>
      <c r="AB47">
        <f>HYPERLINK("https://klasma.github.io/Logging_0319/klagomålsmail/A 19300-2024 FSC-klagomål mail.docx", "A 19300-2024")</f>
        <v/>
      </c>
      <c r="AC47">
        <f>HYPERLINK("https://klasma.github.io/Logging_0319/tillsyn/A 19300-2024 tillsynsbegäran.docx", "A 19300-2024")</f>
        <v/>
      </c>
      <c r="AD47">
        <f>HYPERLINK("https://klasma.github.io/Logging_0319/tillsynsmail/A 19300-2024 tillsynsbegäran mail.docx", "A 19300-2024")</f>
        <v/>
      </c>
      <c r="AE47">
        <f>HYPERLINK("https://klasma.github.io/Logging_0319/fåglar/A 19300-2024 prioriterade fågelarter.docx", "A 19300-2024")</f>
        <v/>
      </c>
    </row>
    <row r="48" ht="15" customHeight="1">
      <c r="A48" t="inlineStr">
        <is>
          <t>A 19304-2024</t>
        </is>
      </c>
      <c r="B48" t="inlineStr">
        <is>
          <t>avverkningsanmälan</t>
        </is>
      </c>
      <c r="C48" t="inlineStr">
        <is>
          <t>Föryngringsavverkning</t>
        </is>
      </c>
      <c r="D48" s="1" t="n">
        <v>45428</v>
      </c>
      <c r="E48" s="1" t="n">
        <v>46300</v>
      </c>
      <c r="F48" t="inlineStr">
        <is>
          <t>UPPSALA LÄN</t>
        </is>
      </c>
      <c r="G48" t="inlineStr">
        <is>
          <t>ÄLVKARLEBY</t>
        </is>
      </c>
      <c r="I48" t="n">
        <v>0.2</v>
      </c>
      <c r="J48" t="n">
        <v>0</v>
      </c>
      <c r="K48" t="n">
        <v>0</v>
      </c>
      <c r="L48" t="n">
        <v>0</v>
      </c>
      <c r="M48" t="n">
        <v>1</v>
      </c>
      <c r="N48" t="n">
        <v>0</v>
      </c>
      <c r="O48" t="n">
        <v>0</v>
      </c>
      <c r="P48" t="n">
        <v>0</v>
      </c>
      <c r="Q48" t="n">
        <v>1</v>
      </c>
      <c r="R48" t="n">
        <v>1</v>
      </c>
      <c r="S48" t="n">
        <v>1</v>
      </c>
      <c r="T48" t="n">
        <v>1</v>
      </c>
      <c r="U48" t="n">
        <v>0</v>
      </c>
      <c r="V48" s="2" t="inlineStr">
        <is>
          <t>Mindre bastardsvärmare</t>
        </is>
      </c>
      <c r="W48">
        <f>HYPERLINK("https://klasma.github.io/Logging_0319/artfynd/A 19304-2024 artfynd.xlsx", "A 19304-2024")</f>
        <v/>
      </c>
      <c r="X48">
        <f>HYPERLINK("https://klasma.github.io/Logging_0319/kartor/A 19304-2024 karta.png", "A 19304-2024")</f>
        <v/>
      </c>
      <c r="Y48">
        <f>HYPERLINK("https://klasma.github.io/Logging_0319/kartor_geotiff/A 19304-2024 georefererad karta.tif", "A 19304-2024")</f>
        <v/>
      </c>
      <c r="AA48">
        <f>HYPERLINK("https://klasma.github.io/Logging_0319/klagomål/A 19304-2024 FSC-klagomål.docx", "A 19304-2024")</f>
        <v/>
      </c>
      <c r="AB48">
        <f>HYPERLINK("https://klasma.github.io/Logging_0319/klagomålsmail/A 19304-2024 FSC-klagomål mail.docx", "A 19304-2024")</f>
        <v/>
      </c>
      <c r="AC48">
        <f>HYPERLINK("https://klasma.github.io/Logging_0319/tillsyn/A 19304-2024 tillsynsbegäran.docx", "A 19304-2024")</f>
        <v/>
      </c>
      <c r="AD48">
        <f>HYPERLINK("https://klasma.github.io/Logging_0319/tillsynsmail/A 19304-2024 tillsynsbegäran mail.docx", "A 19304-2024")</f>
        <v/>
      </c>
    </row>
    <row r="49" ht="15" customHeight="1">
      <c r="A49" t="inlineStr">
        <is>
          <t>A 36217-2022</t>
        </is>
      </c>
      <c r="B49" t="inlineStr">
        <is>
          <t>avverkningsanmälan</t>
        </is>
      </c>
      <c r="C49" t="inlineStr">
        <is>
          <t>Avverkning för annat ändamål</t>
        </is>
      </c>
      <c r="D49" s="1" t="n">
        <v>44803</v>
      </c>
      <c r="E49" s="1" t="n">
        <v>46300</v>
      </c>
      <c r="F49" t="inlineStr">
        <is>
          <t>UPPSALA LÄN</t>
        </is>
      </c>
      <c r="G49" t="inlineStr">
        <is>
          <t>ÄLVKARLEBY</t>
        </is>
      </c>
      <c r="H49" t="inlineStr">
        <is>
          <t>Bergvik skog väst AB</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36282-2022</t>
        </is>
      </c>
      <c r="B50" t="inlineStr">
        <is>
          <t>avverkningsanmälan</t>
        </is>
      </c>
      <c r="C50" t="inlineStr">
        <is>
          <t>Avverkning för annat ändamål</t>
        </is>
      </c>
      <c r="D50" s="1" t="n">
        <v>44803</v>
      </c>
      <c r="E50" s="1" t="n">
        <v>46300</v>
      </c>
      <c r="F50" t="inlineStr">
        <is>
          <t>UPPSALA LÄN</t>
        </is>
      </c>
      <c r="G50" t="inlineStr">
        <is>
          <t>ÄLVKARLEBY</t>
        </is>
      </c>
      <c r="I50" t="n">
        <v>0.1</v>
      </c>
      <c r="J50" t="n">
        <v>0</v>
      </c>
      <c r="K50" t="n">
        <v>0</v>
      </c>
      <c r="L50" t="n">
        <v>0</v>
      </c>
      <c r="M50" t="n">
        <v>0</v>
      </c>
      <c r="N50" t="n">
        <v>0</v>
      </c>
      <c r="O50" t="n">
        <v>0</v>
      </c>
      <c r="P50" t="n">
        <v>0</v>
      </c>
      <c r="Q50" t="n">
        <v>0</v>
      </c>
      <c r="R50" t="n">
        <v>0</v>
      </c>
      <c r="S50" t="n">
        <v>0</v>
      </c>
      <c r="T50" t="n">
        <v>0</v>
      </c>
      <c r="U50" t="n">
        <v>0</v>
      </c>
      <c r="V50" s="2" t="inlineStr"/>
    </row>
    <row r="51" ht="15" customHeight="1">
      <c r="A51" t="inlineStr">
        <is>
          <t>A 46113-2023</t>
        </is>
      </c>
      <c r="B51" t="inlineStr">
        <is>
          <t>avverkningsanmälan</t>
        </is>
      </c>
      <c r="C51" t="inlineStr">
        <is>
          <t>Föryngringsavverkning</t>
        </is>
      </c>
      <c r="D51" s="1" t="n">
        <v>45196</v>
      </c>
      <c r="E51" s="1" t="n">
        <v>46300</v>
      </c>
      <c r="F51" t="inlineStr">
        <is>
          <t>UPPSALA LÄN</t>
        </is>
      </c>
      <c r="G51" t="inlineStr">
        <is>
          <t>ÄLVKARLEBY</t>
        </is>
      </c>
      <c r="H51" t="inlineStr">
        <is>
          <t>Bergvik skog väst AB</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61694-2025</t>
        </is>
      </c>
      <c r="B52" t="inlineStr">
        <is>
          <t>avverkningsanmälan</t>
        </is>
      </c>
      <c r="C52" t="inlineStr">
        <is>
          <t>Föryngringsavverkning</t>
        </is>
      </c>
      <c r="D52" s="1" t="n">
        <v>46002</v>
      </c>
      <c r="E52" s="1" t="n">
        <v>46300</v>
      </c>
      <c r="F52" t="inlineStr">
        <is>
          <t>UPPSALA LÄN</t>
        </is>
      </c>
      <c r="G52" t="inlineStr">
        <is>
          <t>ÄLVKARLEBY</t>
        </is>
      </c>
      <c r="H52" t="inlineStr">
        <is>
          <t>Bergvik skog öst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61691-2025</t>
        </is>
      </c>
      <c r="B53" t="inlineStr">
        <is>
          <t>avverkningsanmälan</t>
        </is>
      </c>
      <c r="C53" t="inlineStr">
        <is>
          <t>Föryngringsavverkning</t>
        </is>
      </c>
      <c r="D53" s="1" t="n">
        <v>46002</v>
      </c>
      <c r="E53" s="1" t="n">
        <v>46300</v>
      </c>
      <c r="F53" t="inlineStr">
        <is>
          <t>UPPSALA LÄN</t>
        </is>
      </c>
      <c r="G53" t="inlineStr">
        <is>
          <t>ÄLVKARLEBY</t>
        </is>
      </c>
      <c r="H53" t="inlineStr">
        <is>
          <t>Bergvik skog öst AB</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63365-2025</t>
        </is>
      </c>
      <c r="B54" t="inlineStr">
        <is>
          <t>avverkningsanmälan</t>
        </is>
      </c>
      <c r="C54" t="inlineStr">
        <is>
          <t>Föryngringsavverkning</t>
        </is>
      </c>
      <c r="D54" s="1" t="n">
        <v>46010</v>
      </c>
      <c r="E54" s="1" t="n">
        <v>46300</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2183-2024</t>
        </is>
      </c>
      <c r="B55" t="inlineStr">
        <is>
          <t>avverkningsanmälan</t>
        </is>
      </c>
      <c r="C55" t="inlineStr">
        <is>
          <t>Föryngringsavverkning</t>
        </is>
      </c>
      <c r="D55" s="1" t="n">
        <v>45309</v>
      </c>
      <c r="E55" s="1" t="n">
        <v>46300</v>
      </c>
      <c r="F55" t="inlineStr">
        <is>
          <t>UPPSALA LÄN</t>
        </is>
      </c>
      <c r="G55" t="inlineStr">
        <is>
          <t>ÄLVKARLEBY</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61839-2025</t>
        </is>
      </c>
      <c r="B56" t="inlineStr">
        <is>
          <t>avverkningsanmälan</t>
        </is>
      </c>
      <c r="C56" t="inlineStr">
        <is>
          <t>Föryngringsavverkning</t>
        </is>
      </c>
      <c r="D56" s="1" t="n">
        <v>46003</v>
      </c>
      <c r="E56" s="1" t="n">
        <v>46300</v>
      </c>
      <c r="F56" t="inlineStr">
        <is>
          <t>UPPSALA LÄN</t>
        </is>
      </c>
      <c r="G56" t="inlineStr">
        <is>
          <t>ÄLVKARLEBY</t>
        </is>
      </c>
      <c r="H56" t="inlineStr">
        <is>
          <t>Bergvik skog väst AB</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4134-2026</t>
        </is>
      </c>
      <c r="B57" t="inlineStr">
        <is>
          <t>avverkningsanmälan</t>
        </is>
      </c>
      <c r="C57" t="inlineStr">
        <is>
          <t>Föryngringsavverkning</t>
        </is>
      </c>
      <c r="D57" s="1" t="n">
        <v>46044</v>
      </c>
      <c r="E57" s="1" t="n">
        <v>46300</v>
      </c>
      <c r="F57" t="inlineStr">
        <is>
          <t>UPPSALA LÄN</t>
        </is>
      </c>
      <c r="G57" t="inlineStr">
        <is>
          <t>ÄLVKARLEBY</t>
        </is>
      </c>
      <c r="H57" t="inlineStr">
        <is>
          <t>Bergvik skog öst AB</t>
        </is>
      </c>
      <c r="I57" t="n">
        <v>5.1</v>
      </c>
      <c r="J57" t="n">
        <v>0</v>
      </c>
      <c r="K57" t="n">
        <v>0</v>
      </c>
      <c r="L57" t="n">
        <v>0</v>
      </c>
      <c r="M57" t="n">
        <v>0</v>
      </c>
      <c r="N57" t="n">
        <v>0</v>
      </c>
      <c r="O57" t="n">
        <v>0</v>
      </c>
      <c r="P57" t="n">
        <v>0</v>
      </c>
      <c r="Q57" t="n">
        <v>0</v>
      </c>
      <c r="R57" t="n">
        <v>0</v>
      </c>
      <c r="S57" t="n">
        <v>0</v>
      </c>
      <c r="T57" t="n">
        <v>0</v>
      </c>
      <c r="U57" t="n">
        <v>0</v>
      </c>
      <c r="V57" s="2" t="inlineStr"/>
    </row>
    <row r="58" ht="15" customHeight="1">
      <c r="A58" t="inlineStr">
        <is>
          <t>A 25330-2025</t>
        </is>
      </c>
      <c r="B58" t="inlineStr">
        <is>
          <t>avverkningsanmälan</t>
        </is>
      </c>
      <c r="C58" t="inlineStr">
        <is>
          <t>Föryngringsavverkning</t>
        </is>
      </c>
      <c r="D58" s="1" t="n">
        <v>45800</v>
      </c>
      <c r="E58" s="1" t="n">
        <v>46300</v>
      </c>
      <c r="F58" t="inlineStr">
        <is>
          <t>UPPSALA LÄN</t>
        </is>
      </c>
      <c r="G58" t="inlineStr">
        <is>
          <t>ÄLVKARLEBY</t>
        </is>
      </c>
      <c r="H58" t="inlineStr">
        <is>
          <t>Bergvik skog väst AB</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46510-2025</t>
        </is>
      </c>
      <c r="B59" t="inlineStr">
        <is>
          <t>avverkningsanmälan</t>
        </is>
      </c>
      <c r="C59" t="inlineStr">
        <is>
          <t>Föryngringsavverkning</t>
        </is>
      </c>
      <c r="D59" s="1" t="n">
        <v>45925</v>
      </c>
      <c r="E59" s="1" t="n">
        <v>46300</v>
      </c>
      <c r="F59" t="inlineStr">
        <is>
          <t>UPPSALA LÄN</t>
        </is>
      </c>
      <c r="G59" t="inlineStr">
        <is>
          <t>ÄLVKARLEBY</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9394-2026</t>
        </is>
      </c>
      <c r="B60" t="inlineStr">
        <is>
          <t>avverkningsanmälan</t>
        </is>
      </c>
      <c r="C60" t="inlineStr">
        <is>
          <t>Föryngringsavverkning</t>
        </is>
      </c>
      <c r="D60" s="1" t="n">
        <v>46071</v>
      </c>
      <c r="E60" s="1" t="n">
        <v>46300</v>
      </c>
      <c r="F60" t="inlineStr">
        <is>
          <t>UPPSALA LÄN</t>
        </is>
      </c>
      <c r="G60" t="inlineStr">
        <is>
          <t>ÄLVKARLEBY</t>
        </is>
      </c>
      <c r="H60" t="inlineStr">
        <is>
          <t>Bergvik skog väst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46300</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46300</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46300</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11467-2026</t>
        </is>
      </c>
      <c r="B64" t="inlineStr">
        <is>
          <t>avverkningsanmälan</t>
        </is>
      </c>
      <c r="C64" t="inlineStr">
        <is>
          <t>Föryngringsavverkning</t>
        </is>
      </c>
      <c r="D64" s="1" t="n">
        <v>46083</v>
      </c>
      <c r="E64" s="1" t="n">
        <v>46300</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46300</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11848-2026</t>
        </is>
      </c>
      <c r="B66" t="inlineStr">
        <is>
          <t>avverkningsanmälan</t>
        </is>
      </c>
      <c r="C66" t="inlineStr">
        <is>
          <t>Föryngringsavverkning</t>
        </is>
      </c>
      <c r="D66" s="1" t="n">
        <v>46085</v>
      </c>
      <c r="E66" s="1" t="n">
        <v>46300</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46300</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46300</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46300</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9533-2025</t>
        </is>
      </c>
      <c r="B70" t="inlineStr">
        <is>
          <t>avverkningsanmälan</t>
        </is>
      </c>
      <c r="C70" t="inlineStr">
        <is>
          <t>Föryngringsavverkning</t>
        </is>
      </c>
      <c r="D70" s="1" t="n">
        <v>45715</v>
      </c>
      <c r="E70" s="1" t="n">
        <v>46300</v>
      </c>
      <c r="F70" t="inlineStr">
        <is>
          <t>UPPSALA LÄN</t>
        </is>
      </c>
      <c r="G70" t="inlineStr">
        <is>
          <t>ÄLVKARLEBY</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2184-2024</t>
        </is>
      </c>
      <c r="B71" t="inlineStr">
        <is>
          <t>avverkningsanmälan</t>
        </is>
      </c>
      <c r="C71" t="inlineStr">
        <is>
          <t>Föryngringsavverkning</t>
        </is>
      </c>
      <c r="D71" s="1" t="n">
        <v>45309</v>
      </c>
      <c r="E71" s="1" t="n">
        <v>46300</v>
      </c>
      <c r="F71" t="inlineStr">
        <is>
          <t>UPPSALA LÄN</t>
        </is>
      </c>
      <c r="G71" t="inlineStr">
        <is>
          <t>ÄLVKARLEBY</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14091-2026</t>
        </is>
      </c>
      <c r="B72" t="inlineStr">
        <is>
          <t>avverkningsanmälan</t>
        </is>
      </c>
      <c r="C72" t="inlineStr">
        <is>
          <t>Föryngringsavverkning</t>
        </is>
      </c>
      <c r="D72" s="1" t="n">
        <v>46099</v>
      </c>
      <c r="E72" s="1" t="n">
        <v>46300</v>
      </c>
      <c r="F72" t="inlineStr">
        <is>
          <t>UPPSALA LÄN</t>
        </is>
      </c>
      <c r="G72" t="inlineStr">
        <is>
          <t>ÄLVKARLEBY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56861-2025</t>
        </is>
      </c>
      <c r="B73" t="inlineStr">
        <is>
          <t>avverkningsanmälan</t>
        </is>
      </c>
      <c r="C73" t="inlineStr">
        <is>
          <t>Avverkning för att bevara och utveckla /försöksver</t>
        </is>
      </c>
      <c r="D73" s="1" t="n">
        <v>45978</v>
      </c>
      <c r="E73" s="1" t="n">
        <v>46300</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58168-2025</t>
        </is>
      </c>
      <c r="B74" t="inlineStr">
        <is>
          <t>avverkningsanmälan</t>
        </is>
      </c>
      <c r="C74" t="inlineStr">
        <is>
          <t>Föryngringsavverkning</t>
        </is>
      </c>
      <c r="D74" s="1" t="n">
        <v>45982</v>
      </c>
      <c r="E74" s="1" t="n">
        <v>46300</v>
      </c>
      <c r="F74" t="inlineStr">
        <is>
          <t>UPPSALA LÄN</t>
        </is>
      </c>
      <c r="G74" t="inlineStr">
        <is>
          <t>ÄLVKARLEBY</t>
        </is>
      </c>
      <c r="H74" t="inlineStr">
        <is>
          <t>Bergvik skog väst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17851-2026</t>
        </is>
      </c>
      <c r="B75" t="inlineStr">
        <is>
          <t>avverkningsanmälan</t>
        </is>
      </c>
      <c r="C75" t="inlineStr">
        <is>
          <t>Föryngringsavverkning</t>
        </is>
      </c>
      <c r="D75" s="1" t="n">
        <v>46122</v>
      </c>
      <c r="E75" s="1" t="n">
        <v>46300</v>
      </c>
      <c r="F75" t="inlineStr">
        <is>
          <t>UPPSALA LÄN</t>
        </is>
      </c>
      <c r="G75" t="inlineStr">
        <is>
          <t>ÄLVKARLEBY</t>
        </is>
      </c>
      <c r="H75" t="inlineStr">
        <is>
          <t>Bergvik skog öst AB</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60256-2025</t>
        </is>
      </c>
      <c r="B76" t="inlineStr">
        <is>
          <t>avverkningsanmälan</t>
        </is>
      </c>
      <c r="C76" t="inlineStr">
        <is>
          <t>Föryngringsavverkning</t>
        </is>
      </c>
      <c r="D76" s="1" t="n">
        <v>45994</v>
      </c>
      <c r="E76" s="1" t="n">
        <v>46300</v>
      </c>
      <c r="F76" t="inlineStr">
        <is>
          <t>UPPSALA LÄN</t>
        </is>
      </c>
      <c r="G76" t="inlineStr">
        <is>
          <t>ÄLVKARLEBY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60842-2025</t>
        </is>
      </c>
      <c r="B77" t="inlineStr">
        <is>
          <t>avverkningsanmälan</t>
        </is>
      </c>
      <c r="C77" t="inlineStr">
        <is>
          <t>Avverkning för att bevara och utveckla /försöksver</t>
        </is>
      </c>
      <c r="D77" s="1" t="n">
        <v>45999</v>
      </c>
      <c r="E77" s="1" t="n">
        <v>46300</v>
      </c>
      <c r="F77" t="inlineStr">
        <is>
          <t>UPPSALA LÄN</t>
        </is>
      </c>
      <c r="G77" t="inlineStr">
        <is>
          <t>ÄLVKARLEBY</t>
        </is>
      </c>
      <c r="H77" t="inlineStr">
        <is>
          <t>Bergvik skog väst AB</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32187-2025</t>
        </is>
      </c>
      <c r="B78" t="inlineStr">
        <is>
          <t>avverkningsanmälan</t>
        </is>
      </c>
      <c r="C78" t="inlineStr">
        <is>
          <t>Föryngringsavverkning</t>
        </is>
      </c>
      <c r="D78" s="1" t="n">
        <v>45835</v>
      </c>
      <c r="E78" s="1" t="n">
        <v>46300</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14590-2023</t>
        </is>
      </c>
      <c r="B79" t="inlineStr">
        <is>
          <t>avverkningsanmälan</t>
        </is>
      </c>
      <c r="C79" t="inlineStr">
        <is>
          <t>Föryngringsavverkning</t>
        </is>
      </c>
      <c r="D79" s="1" t="n">
        <v>45013</v>
      </c>
      <c r="E79" s="1" t="n">
        <v>46300</v>
      </c>
      <c r="F79" t="inlineStr">
        <is>
          <t>UPPSALA LÄN</t>
        </is>
      </c>
      <c r="G79" t="inlineStr">
        <is>
          <t>ÄLVKARLEBY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46300</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36216-2022</t>
        </is>
      </c>
      <c r="B81" t="inlineStr">
        <is>
          <t>avverkningsanmälan</t>
        </is>
      </c>
      <c r="C81" t="inlineStr">
        <is>
          <t>Avverkning för annat ändamål</t>
        </is>
      </c>
      <c r="D81" s="1" t="n">
        <v>44803</v>
      </c>
      <c r="E81" s="1" t="n">
        <v>46300</v>
      </c>
      <c r="F81" t="inlineStr">
        <is>
          <t>UPPSALA LÄN</t>
        </is>
      </c>
      <c r="G81" t="inlineStr">
        <is>
          <t>ÄLVKARLEBY</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46300</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46300</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46300</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35356-2026</t>
        </is>
      </c>
      <c r="B85" t="inlineStr">
        <is>
          <t>avverkningsanmälan</t>
        </is>
      </c>
      <c r="C85" t="inlineStr">
        <is>
          <t>Föryngringsavverkning</t>
        </is>
      </c>
      <c r="D85" s="1" t="n">
        <v>46261</v>
      </c>
      <c r="E85" s="1" t="n">
        <v>46300</v>
      </c>
      <c r="F85" t="inlineStr">
        <is>
          <t>UPPSALA LÄN</t>
        </is>
      </c>
      <c r="G85" t="inlineStr">
        <is>
          <t>ÄLVKARLEBY</t>
        </is>
      </c>
      <c r="H85" t="inlineStr">
        <is>
          <t>Bergvik skog öst AB</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45372-2024</t>
        </is>
      </c>
      <c r="B86" t="inlineStr">
        <is>
          <t>avverkningsanmälan</t>
        </is>
      </c>
      <c r="C86" t="inlineStr">
        <is>
          <t>Föryngringsavverkning</t>
        </is>
      </c>
      <c r="D86" s="1" t="n">
        <v>45576</v>
      </c>
      <c r="E86" s="1" t="n">
        <v>46300</v>
      </c>
      <c r="F86" t="inlineStr">
        <is>
          <t>UPPSALA LÄN</t>
        </is>
      </c>
      <c r="G86" t="inlineStr">
        <is>
          <t>ÄLVKARLEBY</t>
        </is>
      </c>
      <c r="H86" t="inlineStr">
        <is>
          <t>Bergvik skog väst AB</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41929-2024</t>
        </is>
      </c>
      <c r="B87" t="inlineStr">
        <is>
          <t>avverkningsanmälan</t>
        </is>
      </c>
      <c r="C87" t="inlineStr">
        <is>
          <t>Föryngringsavverkning</t>
        </is>
      </c>
      <c r="D87" s="1" t="n">
        <v>45561</v>
      </c>
      <c r="E87" s="1" t="n">
        <v>46300</v>
      </c>
      <c r="F87" t="inlineStr">
        <is>
          <t>UPPSALA LÄN</t>
        </is>
      </c>
      <c r="G87" t="inlineStr">
        <is>
          <t>ÄLVKARLEBY</t>
        </is>
      </c>
      <c r="H87" t="inlineStr">
        <is>
          <t>Bergvik skog väst AB</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38636-2026</t>
        </is>
      </c>
      <c r="B88" t="inlineStr">
        <is>
          <t>avverkningsanmälan</t>
        </is>
      </c>
      <c r="C88" t="inlineStr">
        <is>
          <t>Föryngringsavverkning</t>
        </is>
      </c>
      <c r="D88" s="1" t="n">
        <v>46283</v>
      </c>
      <c r="E88" s="1" t="n">
        <v>46300</v>
      </c>
      <c r="F88" t="inlineStr">
        <is>
          <t>UPPSALA LÄN</t>
        </is>
      </c>
      <c r="G88" t="inlineStr">
        <is>
          <t>ÄLVKARLEBY</t>
        </is>
      </c>
      <c r="H88" t="inlineStr">
        <is>
          <t>Bergvik skog väst AB</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26815-2022</t>
        </is>
      </c>
      <c r="B89" t="inlineStr">
        <is>
          <t>avverkningsanmälan</t>
        </is>
      </c>
      <c r="C89" t="inlineStr">
        <is>
          <t>Föryngringsavverkning</t>
        </is>
      </c>
      <c r="D89" s="1" t="n">
        <v>44740</v>
      </c>
      <c r="E89" s="1" t="n">
        <v>46300</v>
      </c>
      <c r="F89" t="inlineStr">
        <is>
          <t>UPPSALA LÄN</t>
        </is>
      </c>
      <c r="G89" t="inlineStr">
        <is>
          <t>ÄLVKARLEBY</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40057-2026</t>
        </is>
      </c>
      <c r="B90" t="inlineStr">
        <is>
          <t>avverkningsanmälan</t>
        </is>
      </c>
      <c r="C90" t="inlineStr">
        <is>
          <t>Föryngringsavverkning</t>
        </is>
      </c>
      <c r="D90" s="1" t="n">
        <v>46293</v>
      </c>
      <c r="E90" s="1" t="n">
        <v>46300</v>
      </c>
      <c r="F90" t="inlineStr">
        <is>
          <t>UPPSALA LÄN</t>
        </is>
      </c>
      <c r="G90" t="inlineStr">
        <is>
          <t>ÄLVKARLEBY</t>
        </is>
      </c>
      <c r="H90" t="inlineStr">
        <is>
          <t>Bergvik skog väst AB</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38617-2026</t>
        </is>
      </c>
      <c r="B91" t="inlineStr">
        <is>
          <t>avverkningsanmälan</t>
        </is>
      </c>
      <c r="C91" t="inlineStr">
        <is>
          <t>Föryngringsavverkning</t>
        </is>
      </c>
      <c r="D91" s="1" t="n">
        <v>46283</v>
      </c>
      <c r="E91" s="1" t="n">
        <v>46300</v>
      </c>
      <c r="F91" t="inlineStr">
        <is>
          <t>UPPSALA LÄN</t>
        </is>
      </c>
      <c r="G91" t="inlineStr">
        <is>
          <t>ÄLVKARLEBY</t>
        </is>
      </c>
      <c r="H91" t="inlineStr">
        <is>
          <t>Bergvik skog väst AB</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45033-2025</t>
        </is>
      </c>
      <c r="B92" t="inlineStr">
        <is>
          <t>avverkningsanmälan</t>
        </is>
      </c>
      <c r="C92" t="inlineStr">
        <is>
          <t>Föryngringsavverkning</t>
        </is>
      </c>
      <c r="D92" s="1" t="n">
        <v>45918</v>
      </c>
      <c r="E92" s="1" t="n">
        <v>46300</v>
      </c>
      <c r="F92" t="inlineStr">
        <is>
          <t>UPPSALA LÄN</t>
        </is>
      </c>
      <c r="G92" t="inlineStr">
        <is>
          <t>ÄLVKARLEBY</t>
        </is>
      </c>
      <c r="H92" t="inlineStr">
        <is>
          <t>Bergvik skog väst AB</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46300</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41272-2023</t>
        </is>
      </c>
      <c r="B94" t="inlineStr">
        <is>
          <t>avverkningsanmälan</t>
        </is>
      </c>
      <c r="C94" t="inlineStr">
        <is>
          <t>Föryngringsavverkning</t>
        </is>
      </c>
      <c r="D94" s="1" t="n">
        <v>45174</v>
      </c>
      <c r="E94" s="1" t="n">
        <v>46300</v>
      </c>
      <c r="F94" t="inlineStr">
        <is>
          <t>UPPSALA LÄN</t>
        </is>
      </c>
      <c r="G94" t="inlineStr">
        <is>
          <t>ÄLVKARLEBY</t>
        </is>
      </c>
      <c r="H94" t="inlineStr">
        <is>
          <t>Bergvik skog väst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46300</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c r="A96" t="inlineStr">
        <is>
          <t>A 41276-2023</t>
        </is>
      </c>
      <c r="B96" t="inlineStr">
        <is>
          <t>avverkningsanmälan</t>
        </is>
      </c>
      <c r="C96" t="inlineStr">
        <is>
          <t>Föryngringsavverkning</t>
        </is>
      </c>
      <c r="D96" s="1" t="n">
        <v>45174</v>
      </c>
      <c r="E96" s="1" t="n">
        <v>46300</v>
      </c>
      <c r="F96" t="inlineStr">
        <is>
          <t>UPPSALA LÄN</t>
        </is>
      </c>
      <c r="G96" t="inlineStr">
        <is>
          <t>ÄLVKARLEBY</t>
        </is>
      </c>
      <c r="H96" t="inlineStr">
        <is>
          <t>Bergvik skog väst AB</t>
        </is>
      </c>
      <c r="I96" t="n">
        <v>0.3</v>
      </c>
      <c r="J96" t="n">
        <v>0</v>
      </c>
      <c r="K96" t="n">
        <v>0</v>
      </c>
      <c r="L96" t="n">
        <v>0</v>
      </c>
      <c r="M96" t="n">
        <v>0</v>
      </c>
      <c r="N96" t="n">
        <v>0</v>
      </c>
      <c r="O96" t="n">
        <v>0</v>
      </c>
      <c r="P96" t="n">
        <v>0</v>
      </c>
      <c r="Q96" t="n">
        <v>0</v>
      </c>
      <c r="R96" t="n">
        <v>0</v>
      </c>
      <c r="S96" t="n">
        <v>0</v>
      </c>
      <c r="T96" t="n">
        <v>0</v>
      </c>
      <c r="U96" t="n">
        <v>0</v>
      </c>
      <c r="V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2026-10-05T01:54:39Z</dcterms:created>
  <dcterms:modified xmlns:dcterms="http://purl.org/dc/terms/" xmlns:xsi="http://www.w3.org/2001/XMLSchema-instance" xsi:type="dcterms:W3CDTF">2026-10-05T01:54:39Z</dcterms:modified>
</cp:coreProperties>
</file>