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46229</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46229</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46229</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46229</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46229</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46229</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46229</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46229</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46229</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46229</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46229</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58485-2025</t>
        </is>
      </c>
      <c r="B23" t="inlineStr">
        <is>
          <t>avverkningsanmälan</t>
        </is>
      </c>
      <c r="C23" t="inlineStr">
        <is>
          <t>Föryngringsavverkning</t>
        </is>
      </c>
      <c r="D23" s="1" t="n">
        <v>45985</v>
      </c>
      <c r="E23" s="1" t="n">
        <v>46229</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46229</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46229</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46229</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46229</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46229</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43285-2023</t>
        </is>
      </c>
      <c r="B29" t="inlineStr">
        <is>
          <t>avverkningsanmälan</t>
        </is>
      </c>
      <c r="C29" t="inlineStr">
        <is>
          <t>Föryngringsavverkning</t>
        </is>
      </c>
      <c r="D29" s="1" t="n">
        <v>45183</v>
      </c>
      <c r="E29" s="1" t="n">
        <v>46229</v>
      </c>
      <c r="F29" t="inlineStr">
        <is>
          <t>UPPSALA LÄN</t>
        </is>
      </c>
      <c r="G29" t="inlineStr">
        <is>
          <t>ÄLVKARLEBY</t>
        </is>
      </c>
      <c r="H29" t="inlineStr">
        <is>
          <t>Bergvik skog väst AB</t>
        </is>
      </c>
      <c r="I29" t="n">
        <v>1.3</v>
      </c>
      <c r="J29" t="n">
        <v>1</v>
      </c>
      <c r="K29" t="n">
        <v>0</v>
      </c>
      <c r="L29" t="n">
        <v>0</v>
      </c>
      <c r="M29" t="n">
        <v>0</v>
      </c>
      <c r="N29" t="n">
        <v>0</v>
      </c>
      <c r="O29" t="n">
        <v>0</v>
      </c>
      <c r="P29" t="n">
        <v>0</v>
      </c>
      <c r="Q29" t="n">
        <v>0</v>
      </c>
      <c r="R29" t="n">
        <v>0</v>
      </c>
      <c r="S29" t="n">
        <v>1</v>
      </c>
      <c r="T29" t="n">
        <v>1</v>
      </c>
      <c r="U29" t="n">
        <v>0</v>
      </c>
      <c r="V29" s="2" t="inlineStr">
        <is>
          <t>Vanlig groda</t>
        </is>
      </c>
      <c r="W29">
        <f>HYPERLINK("https://klasma.github.io/Logging_0319/artfynd/A 43285-2023 artfynd.xlsx", "A 43285-2023")</f>
        <v/>
      </c>
      <c r="X29">
        <f>HYPERLINK("https://klasma.github.io/Logging_0319/kartor/A 43285-2023 karta.png", "A 43285-2023")</f>
        <v/>
      </c>
      <c r="Y29">
        <f>HYPERLINK("https://klasma.github.io/Logging_0319/kartor_geotiff/A 43285-2023 georefererad karta.tif", "A 43285-2023")</f>
        <v/>
      </c>
      <c r="AA29">
        <f>HYPERLINK("https://klasma.github.io/Logging_0319/klagomål/A 43285-2023 FSC-klagomål.docx", "A 43285-2023")</f>
        <v/>
      </c>
      <c r="AB29">
        <f>HYPERLINK("https://klasma.github.io/Logging_0319/klagomålsmail/A 43285-2023 FSC-klagomål mail.docx", "A 43285-2023")</f>
        <v/>
      </c>
      <c r="AC29">
        <f>HYPERLINK("https://klasma.github.io/Logging_0319/tillsyn/A 43285-2023 tillsynsbegäran.docx", "A 43285-2023")</f>
        <v/>
      </c>
      <c r="AD29">
        <f>HYPERLINK("https://klasma.github.io/Logging_0319/tillsynsmail/A 43285-2023 tillsynsbegäran mail.docx", "A 43285-2023")</f>
        <v/>
      </c>
    </row>
    <row r="30" ht="15" customHeight="1">
      <c r="A30" t="inlineStr">
        <is>
          <t>A 70017-2021</t>
        </is>
      </c>
      <c r="B30" t="inlineStr">
        <is>
          <t>avverkningsanmälan</t>
        </is>
      </c>
      <c r="C30" t="inlineStr">
        <is>
          <t>Föryngringsavverkning</t>
        </is>
      </c>
      <c r="D30" s="1" t="n">
        <v>44533</v>
      </c>
      <c r="E30" s="1" t="n">
        <v>46229</v>
      </c>
      <c r="F30" t="inlineStr">
        <is>
          <t>UPPSALA LÄN</t>
        </is>
      </c>
      <c r="G30" t="inlineStr">
        <is>
          <t>ÄLVKARLEBY</t>
        </is>
      </c>
      <c r="I30" t="n">
        <v>2.1</v>
      </c>
      <c r="J30" t="n">
        <v>1</v>
      </c>
      <c r="K30" t="n">
        <v>0</v>
      </c>
      <c r="L30" t="n">
        <v>0</v>
      </c>
      <c r="M30" t="n">
        <v>0</v>
      </c>
      <c r="N30" t="n">
        <v>0</v>
      </c>
      <c r="O30" t="n">
        <v>0</v>
      </c>
      <c r="P30" t="n">
        <v>0</v>
      </c>
      <c r="Q30" t="n">
        <v>0</v>
      </c>
      <c r="R30" t="n">
        <v>0</v>
      </c>
      <c r="S30" t="n">
        <v>1</v>
      </c>
      <c r="T30" t="n">
        <v>1</v>
      </c>
      <c r="U30" t="n">
        <v>1</v>
      </c>
      <c r="V30" s="2" t="inlineStr">
        <is>
          <t>Trana</t>
        </is>
      </c>
      <c r="W30">
        <f>HYPERLINK("https://klasma.github.io/Logging_0319/artfynd/A 70017-2021 artfynd.xlsx", "A 70017-2021")</f>
        <v/>
      </c>
      <c r="X30">
        <f>HYPERLINK("https://klasma.github.io/Logging_0319/kartor/A 70017-2021 karta.png", "A 70017-2021")</f>
        <v/>
      </c>
      <c r="Y30">
        <f>HYPERLINK("https://klasma.github.io/Logging_0319/kartor_geotiff/A 70017-2021 georefererad karta.tif", "A 70017-2021")</f>
        <v/>
      </c>
      <c r="AA30">
        <f>HYPERLINK("https://klasma.github.io/Logging_0319/klagomål/A 70017-2021 FSC-klagomål.docx", "A 70017-2021")</f>
        <v/>
      </c>
      <c r="AB30">
        <f>HYPERLINK("https://klasma.github.io/Logging_0319/klagomålsmail/A 70017-2021 FSC-klagomål mail.docx", "A 70017-2021")</f>
        <v/>
      </c>
      <c r="AC30">
        <f>HYPERLINK("https://klasma.github.io/Logging_0319/tillsyn/A 70017-2021 tillsynsbegäran.docx", "A 70017-2021")</f>
        <v/>
      </c>
      <c r="AD30">
        <f>HYPERLINK("https://klasma.github.io/Logging_0319/tillsynsmail/A 70017-2021 tillsynsbegäran mail.docx", "A 70017-2021")</f>
        <v/>
      </c>
      <c r="AE30">
        <f>HYPERLINK("https://klasma.github.io/Logging_0319/fåglar/A 70017-2021 prioriterade fågelarter.docx", "A 70017-2021")</f>
        <v/>
      </c>
    </row>
    <row r="31" ht="15" customHeight="1">
      <c r="A31" t="inlineStr">
        <is>
          <t>A 51238-2025</t>
        </is>
      </c>
      <c r="B31" t="inlineStr">
        <is>
          <t>avverkningsanmälan</t>
        </is>
      </c>
      <c r="C31" t="inlineStr">
        <is>
          <t>Föryngringsavverkning</t>
        </is>
      </c>
      <c r="D31" s="1" t="n">
        <v>45947</v>
      </c>
      <c r="E31" s="1" t="n">
        <v>46229</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7286-2023</t>
        </is>
      </c>
      <c r="B32" t="inlineStr">
        <is>
          <t>avverkningsanmälan</t>
        </is>
      </c>
      <c r="C32" t="inlineStr">
        <is>
          <t>Avverkning för annat ändamål</t>
        </is>
      </c>
      <c r="D32" s="1" t="n">
        <v>44970</v>
      </c>
      <c r="E32" s="1" t="n">
        <v>46229</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57734-2025</t>
        </is>
      </c>
      <c r="B33" t="inlineStr">
        <is>
          <t>avverkningsanmälan</t>
        </is>
      </c>
      <c r="C33" t="inlineStr">
        <is>
          <t>Föryngringsavverkning</t>
        </is>
      </c>
      <c r="D33" s="1" t="n">
        <v>45981</v>
      </c>
      <c r="E33" s="1" t="n">
        <v>46229</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46229</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46229</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46229</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46229</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4131-2026</t>
        </is>
      </c>
      <c r="B38" t="inlineStr">
        <is>
          <t>avverkningsanmälan</t>
        </is>
      </c>
      <c r="C38" t="inlineStr">
        <is>
          <t>Föryngringsavverkning</t>
        </is>
      </c>
      <c r="D38" s="1" t="n">
        <v>46044</v>
      </c>
      <c r="E38" s="1" t="n">
        <v>46229</v>
      </c>
      <c r="F38" t="inlineStr">
        <is>
          <t>UPPSALA LÄN</t>
        </is>
      </c>
      <c r="G38" t="inlineStr">
        <is>
          <t>ÄLVKARLEBY</t>
        </is>
      </c>
      <c r="H38" t="inlineStr">
        <is>
          <t>Bergvik skog öst AB</t>
        </is>
      </c>
      <c r="I38" t="n">
        <v>2.4</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4131-2026 artfynd.xlsx", "A 4131-2026")</f>
        <v/>
      </c>
      <c r="X38">
        <f>HYPERLINK("https://klasma.github.io/Logging_0319/kartor/A 4131-2026 karta.png", "A 4131-2026")</f>
        <v/>
      </c>
      <c r="Y38">
        <f>HYPERLINK("https://klasma.github.io/Logging_0319/kartor_geotiff/A 4131-2026 georefererad karta.tif", "A 4131-2026")</f>
        <v/>
      </c>
      <c r="AA38">
        <f>HYPERLINK("https://klasma.github.io/Logging_0319/klagomål/A 4131-2026 FSC-klagomål.docx", "A 4131-2026")</f>
        <v/>
      </c>
      <c r="AB38">
        <f>HYPERLINK("https://klasma.github.io/Logging_0319/klagomålsmail/A 4131-2026 FSC-klagomål mail.docx", "A 4131-2026")</f>
        <v/>
      </c>
      <c r="AC38">
        <f>HYPERLINK("https://klasma.github.io/Logging_0319/tillsyn/A 4131-2026 tillsynsbegäran.docx", "A 4131-2026")</f>
        <v/>
      </c>
      <c r="AD38">
        <f>HYPERLINK("https://klasma.github.io/Logging_0319/tillsynsmail/A 4131-2026 tillsynsbegäran mail.docx", "A 4131-2026")</f>
        <v/>
      </c>
    </row>
    <row r="39" ht="15" customHeight="1">
      <c r="A39" t="inlineStr">
        <is>
          <t>A 19303-2024</t>
        </is>
      </c>
      <c r="B39" t="inlineStr">
        <is>
          <t>avverkningsanmälan</t>
        </is>
      </c>
      <c r="C39" t="inlineStr">
        <is>
          <t>Föryngringsavverkning</t>
        </is>
      </c>
      <c r="D39" s="1" t="n">
        <v>45428</v>
      </c>
      <c r="E39" s="1" t="n">
        <v>46229</v>
      </c>
      <c r="F39" t="inlineStr">
        <is>
          <t>UPPSALA LÄN</t>
        </is>
      </c>
      <c r="G39" t="inlineStr">
        <is>
          <t>ÄLVKARLEBY</t>
        </is>
      </c>
      <c r="I39" t="n">
        <v>0.4</v>
      </c>
      <c r="J39" t="n">
        <v>1</v>
      </c>
      <c r="K39" t="n">
        <v>0</v>
      </c>
      <c r="L39" t="n">
        <v>0</v>
      </c>
      <c r="M39" t="n">
        <v>1</v>
      </c>
      <c r="N39" t="n">
        <v>0</v>
      </c>
      <c r="O39" t="n">
        <v>0</v>
      </c>
      <c r="P39" t="n">
        <v>0</v>
      </c>
      <c r="Q39" t="n">
        <v>1</v>
      </c>
      <c r="R39" t="n">
        <v>1</v>
      </c>
      <c r="S39" t="n">
        <v>1</v>
      </c>
      <c r="T39" t="n">
        <v>1</v>
      </c>
      <c r="U39" t="n">
        <v>1</v>
      </c>
      <c r="V39" s="2" t="inlineStr">
        <is>
          <t>Gölgroda</t>
        </is>
      </c>
      <c r="W39">
        <f>HYPERLINK("https://klasma.github.io/Logging_0319/artfynd/A 19303-2024 artfynd.xlsx", "A 19303-2024")</f>
        <v/>
      </c>
      <c r="X39">
        <f>HYPERLINK("https://klasma.github.io/Logging_0319/kartor/A 19303-2024 karta.png", "A 19303-2024")</f>
        <v/>
      </c>
      <c r="Y39">
        <f>HYPERLINK("https://klasma.github.io/Logging_0319/kartor_geotiff/A 19303-2024 georefererad karta.tif", "A 19303-2024")</f>
        <v/>
      </c>
      <c r="AA39">
        <f>HYPERLINK("https://klasma.github.io/Logging_0319/klagomål/A 19303-2024 FSC-klagomål.docx", "A 19303-2024")</f>
        <v/>
      </c>
      <c r="AB39">
        <f>HYPERLINK("https://klasma.github.io/Logging_0319/klagomålsmail/A 19303-2024 FSC-klagomål mail.docx", "A 19303-2024")</f>
        <v/>
      </c>
      <c r="AC39">
        <f>HYPERLINK("https://klasma.github.io/Logging_0319/tillsyn/A 19303-2024 tillsynsbegäran.docx", "A 19303-2024")</f>
        <v/>
      </c>
      <c r="AD39">
        <f>HYPERLINK("https://klasma.github.io/Logging_0319/tillsynsmail/A 19303-2024 tillsynsbegäran mail.docx", "A 19303-2024")</f>
        <v/>
      </c>
    </row>
    <row r="40" ht="15" customHeight="1">
      <c r="A40" t="inlineStr">
        <is>
          <t>A 30236-2026</t>
        </is>
      </c>
      <c r="B40" t="inlineStr">
        <is>
          <t>avverkningsanmälan</t>
        </is>
      </c>
      <c r="C40" t="inlineStr">
        <is>
          <t>Föryngringsavverkning</t>
        </is>
      </c>
      <c r="D40" s="1" t="n">
        <v>46206</v>
      </c>
      <c r="E40" s="1" t="n">
        <v>46229</v>
      </c>
      <c r="F40" t="inlineStr">
        <is>
          <t>UPPSALA LÄN</t>
        </is>
      </c>
      <c r="G40" t="inlineStr">
        <is>
          <t>ÄLVKARLEBY</t>
        </is>
      </c>
      <c r="H40" t="inlineStr">
        <is>
          <t>Bergvik skog öst AB</t>
        </is>
      </c>
      <c r="I40" t="n">
        <v>4.8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30236-2026 artfynd.xlsx", "A 30236-2026")</f>
        <v/>
      </c>
      <c r="X40">
        <f>HYPERLINK("https://klasma.github.io/Logging_0319/kartor/A 30236-2026 karta.png", "A 30236-2026")</f>
        <v/>
      </c>
      <c r="Y40">
        <f>HYPERLINK("https://klasma.github.io/Logging_0319/kartor_geotiff/A 30236-2026 georefererad karta.tif", "A 30236-2026")</f>
        <v/>
      </c>
      <c r="AA40">
        <f>HYPERLINK("https://klasma.github.io/Logging_0319/klagomål/A 30236-2026 FSC-klagomål.docx", "A 30236-2026")</f>
        <v/>
      </c>
      <c r="AB40">
        <f>HYPERLINK("https://klasma.github.io/Logging_0319/klagomålsmail/A 30236-2026 FSC-klagomål mail.docx", "A 30236-2026")</f>
        <v/>
      </c>
      <c r="AC40">
        <f>HYPERLINK("https://klasma.github.io/Logging_0319/tillsyn/A 30236-2026 tillsynsbegäran.docx", "A 30236-2026")</f>
        <v/>
      </c>
      <c r="AD40">
        <f>HYPERLINK("https://klasma.github.io/Logging_0319/tillsynsmail/A 30236-2026 tillsynsbegäran mail.docx", "A 30236-2026")</f>
        <v/>
      </c>
    </row>
    <row r="41" ht="15" customHeight="1">
      <c r="A41" t="inlineStr">
        <is>
          <t>A 30233-2026</t>
        </is>
      </c>
      <c r="B41" t="inlineStr">
        <is>
          <t>avverkningsanmälan</t>
        </is>
      </c>
      <c r="C41" t="inlineStr">
        <is>
          <t>Föryngringsavverkning</t>
        </is>
      </c>
      <c r="D41" s="1" t="n">
        <v>46206</v>
      </c>
      <c r="E41" s="1" t="n">
        <v>46229</v>
      </c>
      <c r="F41" t="inlineStr">
        <is>
          <t>UPPSALA LÄN</t>
        </is>
      </c>
      <c r="G41" t="inlineStr">
        <is>
          <t>ÄLVKARLEBY</t>
        </is>
      </c>
      <c r="H41" t="inlineStr">
        <is>
          <t>Bergvik skog öst AB</t>
        </is>
      </c>
      <c r="I41" t="n">
        <v>6.8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30233-2026 artfynd.xlsx", "A 30233-2026")</f>
        <v/>
      </c>
      <c r="X41">
        <f>HYPERLINK("https://klasma.github.io/Logging_0319/kartor/A 30233-2026 karta.png", "A 30233-2026")</f>
        <v/>
      </c>
      <c r="Y41">
        <f>HYPERLINK("https://klasma.github.io/Logging_0319/kartor_geotiff/A 30233-2026 georefererad karta.tif", "A 30233-2026")</f>
        <v/>
      </c>
      <c r="AA41">
        <f>HYPERLINK("https://klasma.github.io/Logging_0319/klagomål/A 30233-2026 FSC-klagomål.docx", "A 30233-2026")</f>
        <v/>
      </c>
      <c r="AB41">
        <f>HYPERLINK("https://klasma.github.io/Logging_0319/klagomålsmail/A 30233-2026 FSC-klagomål mail.docx", "A 30233-2026")</f>
        <v/>
      </c>
      <c r="AC41">
        <f>HYPERLINK("https://klasma.github.io/Logging_0319/tillsyn/A 30233-2026 tillsynsbegäran.docx", "A 30233-2026")</f>
        <v/>
      </c>
      <c r="AD41">
        <f>HYPERLINK("https://klasma.github.io/Logging_0319/tillsynsmail/A 30233-2026 tillsynsbegäran mail.docx", "A 30233-2026")</f>
        <v/>
      </c>
    </row>
    <row r="42" ht="15" customHeight="1">
      <c r="A42" t="inlineStr">
        <is>
          <t>A 3950-2025</t>
        </is>
      </c>
      <c r="B42" t="inlineStr">
        <is>
          <t>avverkningsanmälan</t>
        </is>
      </c>
      <c r="C42" t="inlineStr">
        <is>
          <t>Avverkning för annat ändamål</t>
        </is>
      </c>
      <c r="D42" s="1" t="n">
        <v>45684</v>
      </c>
      <c r="E42" s="1" t="n">
        <v>46229</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14127-2026</t>
        </is>
      </c>
      <c r="B43" t="inlineStr">
        <is>
          <t>avverkningsanmälan</t>
        </is>
      </c>
      <c r="C43" t="inlineStr">
        <is>
          <t>Föryngringsavverkning</t>
        </is>
      </c>
      <c r="D43" s="1" t="n">
        <v>46099</v>
      </c>
      <c r="E43" s="1" t="n">
        <v>46229</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19300-2024</t>
        </is>
      </c>
      <c r="B44" t="inlineStr">
        <is>
          <t>avverkningsanmälan</t>
        </is>
      </c>
      <c r="C44" t="inlineStr">
        <is>
          <t>Föryngringsavverkning</t>
        </is>
      </c>
      <c r="D44" s="1" t="n">
        <v>45428</v>
      </c>
      <c r="E44" s="1" t="n">
        <v>46229</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19304-2024</t>
        </is>
      </c>
      <c r="B45" t="inlineStr">
        <is>
          <t>avverkningsanmälan</t>
        </is>
      </c>
      <c r="C45" t="inlineStr">
        <is>
          <t>Föryngringsavverkning</t>
        </is>
      </c>
      <c r="D45" s="1" t="n">
        <v>45428</v>
      </c>
      <c r="E45" s="1" t="n">
        <v>46229</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46229</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46229</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46229</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46229</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46229</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46229</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46229</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46229</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46229</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28670-2025</t>
        </is>
      </c>
      <c r="B55" t="inlineStr">
        <is>
          <t>avverkningsanmälan</t>
        </is>
      </c>
      <c r="C55" t="inlineStr">
        <is>
          <t>Föryngringsavverkning</t>
        </is>
      </c>
      <c r="D55" s="1" t="n">
        <v>45819</v>
      </c>
      <c r="E55" s="1" t="n">
        <v>46229</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14590-2023</t>
        </is>
      </c>
      <c r="B56" t="inlineStr">
        <is>
          <t>avverkningsanmälan</t>
        </is>
      </c>
      <c r="C56" t="inlineStr">
        <is>
          <t>Föryngringsavverkning</t>
        </is>
      </c>
      <c r="D56" s="1" t="n">
        <v>45013</v>
      </c>
      <c r="E56" s="1" t="n">
        <v>46229</v>
      </c>
      <c r="F56" t="inlineStr">
        <is>
          <t>UPPSALA LÄN</t>
        </is>
      </c>
      <c r="G56" t="inlineStr">
        <is>
          <t>ÄLVKARLEBY</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46229</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46229</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46229</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46229</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46229</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53184-2025</t>
        </is>
      </c>
      <c r="B62" t="inlineStr">
        <is>
          <t>avverkningsanmälan</t>
        </is>
      </c>
      <c r="C62" t="inlineStr">
        <is>
          <t>Föryngringsavverkning</t>
        </is>
      </c>
      <c r="D62" s="1" t="n">
        <v>45958</v>
      </c>
      <c r="E62" s="1" t="n">
        <v>46229</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46229</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36216-2022</t>
        </is>
      </c>
      <c r="B64" t="inlineStr">
        <is>
          <t>avverkningsanmälan</t>
        </is>
      </c>
      <c r="C64" t="inlineStr">
        <is>
          <t>Avverkning för annat ändamål</t>
        </is>
      </c>
      <c r="D64" s="1" t="n">
        <v>44803</v>
      </c>
      <c r="E64" s="1" t="n">
        <v>46229</v>
      </c>
      <c r="F64" t="inlineStr">
        <is>
          <t>UPPSALA LÄN</t>
        </is>
      </c>
      <c r="G64" t="inlineStr">
        <is>
          <t>ÄLVKARLEBY</t>
        </is>
      </c>
      <c r="H64" t="inlineStr">
        <is>
          <t>Bergvik skog väst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46229</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46229</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46229</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46229</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46229</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46229</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46229</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62938-2025</t>
        </is>
      </c>
      <c r="B72" t="inlineStr">
        <is>
          <t>avverkningsanmälan</t>
        </is>
      </c>
      <c r="C72" t="inlineStr">
        <is>
          <t>Föryngringsavverkning</t>
        </is>
      </c>
      <c r="D72" s="1" t="n">
        <v>46009</v>
      </c>
      <c r="E72" s="1" t="n">
        <v>46229</v>
      </c>
      <c r="F72" t="inlineStr">
        <is>
          <t>UPPSALA LÄN</t>
        </is>
      </c>
      <c r="G72" t="inlineStr">
        <is>
          <t>ÄLVKARLEBY</t>
        </is>
      </c>
      <c r="H72" t="inlineStr">
        <is>
          <t>Bergvik skog väst AB</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46229</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16990-2022</t>
        </is>
      </c>
      <c r="B74" t="inlineStr">
        <is>
          <t>avverkningsanmälan</t>
        </is>
      </c>
      <c r="C74" t="inlineStr">
        <is>
          <t>Föryngringsavverkning</t>
        </is>
      </c>
      <c r="D74" s="1" t="n">
        <v>44676</v>
      </c>
      <c r="E74" s="1" t="n">
        <v>46229</v>
      </c>
      <c r="F74" t="inlineStr">
        <is>
          <t>UPPSALA LÄN</t>
        </is>
      </c>
      <c r="G74" t="inlineStr">
        <is>
          <t>ÄLVKARLEBY</t>
        </is>
      </c>
      <c r="H74" t="inlineStr">
        <is>
          <t>Bergvik skog väst AB</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61839-2025</t>
        </is>
      </c>
      <c r="B75" t="inlineStr">
        <is>
          <t>avverkningsanmälan</t>
        </is>
      </c>
      <c r="C75" t="inlineStr">
        <is>
          <t>Föryngringsavverkning</t>
        </is>
      </c>
      <c r="D75" s="1" t="n">
        <v>46003</v>
      </c>
      <c r="E75" s="1" t="n">
        <v>46229</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46229</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38226-2023</t>
        </is>
      </c>
      <c r="B77" t="inlineStr">
        <is>
          <t>avverkningsanmälan</t>
        </is>
      </c>
      <c r="C77" t="inlineStr">
        <is>
          <t>Föryngringsavverkning</t>
        </is>
      </c>
      <c r="D77" s="1" t="n">
        <v>45161</v>
      </c>
      <c r="E77" s="1" t="n">
        <v>46229</v>
      </c>
      <c r="F77" t="inlineStr">
        <is>
          <t>UPPSALA LÄN</t>
        </is>
      </c>
      <c r="G77" t="inlineStr">
        <is>
          <t>ÄLVKARLEBY</t>
        </is>
      </c>
      <c r="H77" t="inlineStr">
        <is>
          <t>Bergvik skog väst AB</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30238-2026</t>
        </is>
      </c>
      <c r="B78" t="inlineStr">
        <is>
          <t>avverkningsanmälan</t>
        </is>
      </c>
      <c r="C78" t="inlineStr">
        <is>
          <t>Föryngringsavverkning</t>
        </is>
      </c>
      <c r="D78" s="1" t="n">
        <v>46206</v>
      </c>
      <c r="E78" s="1" t="n">
        <v>46229</v>
      </c>
      <c r="F78" t="inlineStr">
        <is>
          <t>UPPSALA LÄN</t>
        </is>
      </c>
      <c r="G78" t="inlineStr">
        <is>
          <t>ÄLVKARLEBY</t>
        </is>
      </c>
      <c r="H78" t="inlineStr">
        <is>
          <t>Bergvik skog öst AB</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30234-2026</t>
        </is>
      </c>
      <c r="B79" t="inlineStr">
        <is>
          <t>avverkningsanmälan</t>
        </is>
      </c>
      <c r="C79" t="inlineStr">
        <is>
          <t>Föryngringsavverkning</t>
        </is>
      </c>
      <c r="D79" s="1" t="n">
        <v>46206</v>
      </c>
      <c r="E79" s="1" t="n">
        <v>46229</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9394-2026</t>
        </is>
      </c>
      <c r="B80" t="inlineStr">
        <is>
          <t>avverkningsanmälan</t>
        </is>
      </c>
      <c r="C80" t="inlineStr">
        <is>
          <t>Föryngringsavverkning</t>
        </is>
      </c>
      <c r="D80" s="1" t="n">
        <v>46071</v>
      </c>
      <c r="E80" s="1" t="n">
        <v>46229</v>
      </c>
      <c r="F80" t="inlineStr">
        <is>
          <t>UPPSALA LÄN</t>
        </is>
      </c>
      <c r="G80" t="inlineStr">
        <is>
          <t>ÄLVKARLEBY</t>
        </is>
      </c>
      <c r="H80" t="inlineStr">
        <is>
          <t>Bergvik skog väst AB</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45372-2024</t>
        </is>
      </c>
      <c r="B81" t="inlineStr">
        <is>
          <t>avverkningsanmälan</t>
        </is>
      </c>
      <c r="C81" t="inlineStr">
        <is>
          <t>Föryngringsavverkning</t>
        </is>
      </c>
      <c r="D81" s="1" t="n">
        <v>45576</v>
      </c>
      <c r="E81" s="1" t="n">
        <v>46229</v>
      </c>
      <c r="F81" t="inlineStr">
        <is>
          <t>UPPSALA LÄN</t>
        </is>
      </c>
      <c r="G81" t="inlineStr">
        <is>
          <t>ÄLVKARLEBY</t>
        </is>
      </c>
      <c r="H81" t="inlineStr">
        <is>
          <t>Bergvik skog väst AB</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46229</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46229</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41929-2024</t>
        </is>
      </c>
      <c r="B84" t="inlineStr">
        <is>
          <t>avverkningsanmälan</t>
        </is>
      </c>
      <c r="C84" t="inlineStr">
        <is>
          <t>Föryngringsavverkning</t>
        </is>
      </c>
      <c r="D84" s="1" t="n">
        <v>45561</v>
      </c>
      <c r="E84" s="1" t="n">
        <v>46229</v>
      </c>
      <c r="F84" t="inlineStr">
        <is>
          <t>UPPSALA LÄN</t>
        </is>
      </c>
      <c r="G84" t="inlineStr">
        <is>
          <t>ÄLVKARLEBY</t>
        </is>
      </c>
      <c r="H84" t="inlineStr">
        <is>
          <t>Bergvik skog väst AB</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14091-2026</t>
        </is>
      </c>
      <c r="B85" t="inlineStr">
        <is>
          <t>avverkningsanmälan</t>
        </is>
      </c>
      <c r="C85" t="inlineStr">
        <is>
          <t>Föryngringsavverkning</t>
        </is>
      </c>
      <c r="D85" s="1" t="n">
        <v>46099</v>
      </c>
      <c r="E85" s="1" t="n">
        <v>46229</v>
      </c>
      <c r="F85" t="inlineStr">
        <is>
          <t>UPPSALA LÄN</t>
        </is>
      </c>
      <c r="G85" t="inlineStr">
        <is>
          <t>ÄLVKARLEBY</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17851-2026</t>
        </is>
      </c>
      <c r="B86" t="inlineStr">
        <is>
          <t>avverkningsanmälan</t>
        </is>
      </c>
      <c r="C86" t="inlineStr">
        <is>
          <t>Föryngringsavverkning</t>
        </is>
      </c>
      <c r="D86" s="1" t="n">
        <v>46122</v>
      </c>
      <c r="E86" s="1" t="n">
        <v>46229</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46229</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46229</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41276-2023</t>
        </is>
      </c>
      <c r="B89" t="inlineStr">
        <is>
          <t>avverkningsanmälan</t>
        </is>
      </c>
      <c r="C89" t="inlineStr">
        <is>
          <t>Föryngringsavverkning</t>
        </is>
      </c>
      <c r="D89" s="1" t="n">
        <v>45174</v>
      </c>
      <c r="E89" s="1" t="n">
        <v>46229</v>
      </c>
      <c r="F89" t="inlineStr">
        <is>
          <t>UPPSALA LÄN</t>
        </is>
      </c>
      <c r="G89" t="inlineStr">
        <is>
          <t>ÄLVKARLEBY</t>
        </is>
      </c>
      <c r="H89" t="inlineStr">
        <is>
          <t>Bergvik skog väst AB</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46229</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46229</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2026-07-26T01:48:48Z</dcterms:created>
  <dcterms:modified xmlns:dcterms="http://purl.org/dc/terms/" xmlns:xsi="http://www.w3.org/2001/XMLSchema-instance" xsi:type="dcterms:W3CDTF">2026-07-26T01:48:48Z</dcterms:modified>
</cp:coreProperties>
</file>