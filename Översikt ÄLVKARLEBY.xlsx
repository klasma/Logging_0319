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46092</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46092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46092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46092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46092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46092</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46092</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46092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46092</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46092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46092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46092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46092</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46092</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46092</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70017-2021</t>
        </is>
      </c>
      <c r="B17" s="1" t="n">
        <v>44533</v>
      </c>
      <c r="C17" s="1" t="n">
        <v>46092</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34798-2024</t>
        </is>
      </c>
      <c r="B18" s="1" t="n">
        <v>45526</v>
      </c>
      <c r="C18" s="1" t="n">
        <v>46092</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21007-2025</t>
        </is>
      </c>
      <c r="B19" s="1" t="n">
        <v>45777</v>
      </c>
      <c r="C19" s="1" t="n">
        <v>46092</v>
      </c>
      <c r="D19" t="inlineStr">
        <is>
          <t>UPPSALA LÄN</t>
        </is>
      </c>
      <c r="E19" t="inlineStr">
        <is>
          <t>ÄLVKARLEBY</t>
        </is>
      </c>
      <c r="F19" t="inlineStr">
        <is>
          <t>Bergvik skog väst AB</t>
        </is>
      </c>
      <c r="G19" t="n">
        <v>5.2</v>
      </c>
      <c r="H19" t="n">
        <v>1</v>
      </c>
      <c r="I19" t="n">
        <v>2</v>
      </c>
      <c r="J19" t="n">
        <v>0</v>
      </c>
      <c r="K19" t="n">
        <v>0</v>
      </c>
      <c r="L19" t="n">
        <v>0</v>
      </c>
      <c r="M19" t="n">
        <v>0</v>
      </c>
      <c r="N19" t="n">
        <v>0</v>
      </c>
      <c r="O19" t="n">
        <v>0</v>
      </c>
      <c r="P19" t="n">
        <v>0</v>
      </c>
      <c r="Q19" t="n">
        <v>3</v>
      </c>
      <c r="R19" s="2" t="inlineStr">
        <is>
          <t>Svart trolldruva
Tibast
Lopplummer (aggregat)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46092</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46092</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46092</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59993-2025</t>
        </is>
      </c>
      <c r="B23" s="1" t="n">
        <v>45993.56505787037</v>
      </c>
      <c r="C23" s="1" t="n">
        <v>46092</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46092</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51238-2025</t>
        </is>
      </c>
      <c r="B25" s="1" t="n">
        <v>45947.69753472223</v>
      </c>
      <c r="C25" s="1" t="n">
        <v>46092</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4132-2026</t>
        </is>
      </c>
      <c r="B26" s="1" t="n">
        <v>46044.62596064815</v>
      </c>
      <c r="C26" s="1" t="n">
        <v>46092</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46092</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46092</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9521-2025</t>
        </is>
      </c>
      <c r="B29" s="1" t="n">
        <v>45715.56259259259</v>
      </c>
      <c r="C29" s="1" t="n">
        <v>46092</v>
      </c>
      <c r="D29" t="inlineStr">
        <is>
          <t>UPPSALA LÄN</t>
        </is>
      </c>
      <c r="E29" t="inlineStr">
        <is>
          <t>ÄLVKARLEBY</t>
        </is>
      </c>
      <c r="G29" t="n">
        <v>6.3</v>
      </c>
      <c r="H29" t="n">
        <v>0</v>
      </c>
      <c r="I29" t="n">
        <v>1</v>
      </c>
      <c r="J29" t="n">
        <v>0</v>
      </c>
      <c r="K29" t="n">
        <v>0</v>
      </c>
      <c r="L29" t="n">
        <v>0</v>
      </c>
      <c r="M29" t="n">
        <v>0</v>
      </c>
      <c r="N29" t="n">
        <v>0</v>
      </c>
      <c r="O29" t="n">
        <v>0</v>
      </c>
      <c r="P29" t="n">
        <v>0</v>
      </c>
      <c r="Q29" t="n">
        <v>1</v>
      </c>
      <c r="R29" s="2" t="inlineStr">
        <is>
          <t>Rödgul trumpetsvamp</t>
        </is>
      </c>
      <c r="S29">
        <f>HYPERLINK("https://klasma.github.io/Logging_0319/artfynd/A 9521-2025 artfynd.xlsx", "A 9521-2025")</f>
        <v/>
      </c>
      <c r="T29">
        <f>HYPERLINK("https://klasma.github.io/Logging_0319/kartor/A 9521-2025 karta.png", "A 9521-2025")</f>
        <v/>
      </c>
      <c r="V29">
        <f>HYPERLINK("https://klasma.github.io/Logging_0319/klagomål/A 9521-2025 FSC-klagomål.docx", "A 9521-2025")</f>
        <v/>
      </c>
      <c r="W29">
        <f>HYPERLINK("https://klasma.github.io/Logging_0319/klagomålsmail/A 9521-2025 FSC-klagomål mail.docx", "A 9521-2025")</f>
        <v/>
      </c>
      <c r="X29">
        <f>HYPERLINK("https://klasma.github.io/Logging_0319/tillsyn/A 9521-2025 tillsynsbegäran.docx", "A 9521-2025")</f>
        <v/>
      </c>
      <c r="Y29">
        <f>HYPERLINK("https://klasma.github.io/Logging_0319/tillsynsmail/A 9521-2025 tillsynsbegäran mail.docx", "A 9521-2025")</f>
        <v/>
      </c>
    </row>
    <row r="30" ht="15" customHeight="1">
      <c r="A30" t="inlineStr">
        <is>
          <t>A 36217-2022</t>
        </is>
      </c>
      <c r="B30" s="1" t="n">
        <v>44803</v>
      </c>
      <c r="C30" s="1" t="n">
        <v>46092</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46092</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46092</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46092</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46092</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46092</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56861-2025</t>
        </is>
      </c>
      <c r="B36" s="1" t="n">
        <v>45978.50824074074</v>
      </c>
      <c r="C36" s="1" t="n">
        <v>46092</v>
      </c>
      <c r="D36" t="inlineStr">
        <is>
          <t>UPPSALA LÄN</t>
        </is>
      </c>
      <c r="E36" t="inlineStr">
        <is>
          <t>ÄLVKARLEBY</t>
        </is>
      </c>
      <c r="F36" t="inlineStr">
        <is>
          <t>Bergvik skog väst AB</t>
        </is>
      </c>
      <c r="G36" t="n">
        <v>1.6</v>
      </c>
      <c r="H36" t="n">
        <v>0</v>
      </c>
      <c r="I36" t="n">
        <v>0</v>
      </c>
      <c r="J36" t="n">
        <v>0</v>
      </c>
      <c r="K36" t="n">
        <v>0</v>
      </c>
      <c r="L36" t="n">
        <v>0</v>
      </c>
      <c r="M36" t="n">
        <v>0</v>
      </c>
      <c r="N36" t="n">
        <v>0</v>
      </c>
      <c r="O36" t="n">
        <v>0</v>
      </c>
      <c r="P36" t="n">
        <v>0</v>
      </c>
      <c r="Q36" t="n">
        <v>0</v>
      </c>
      <c r="R36" s="2" t="inlineStr"/>
    </row>
    <row r="37" ht="15" customHeight="1">
      <c r="A37" t="inlineStr">
        <is>
          <t>A 57734-2025</t>
        </is>
      </c>
      <c r="B37" s="1" t="n">
        <v>45981.51148148148</v>
      </c>
      <c r="C37" s="1" t="n">
        <v>46092</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19740-2025</t>
        </is>
      </c>
      <c r="B38" s="1" t="n">
        <v>45771</v>
      </c>
      <c r="C38" s="1" t="n">
        <v>46092</v>
      </c>
      <c r="D38" t="inlineStr">
        <is>
          <t>UPPSALA LÄN</t>
        </is>
      </c>
      <c r="E38" t="inlineStr">
        <is>
          <t>ÄLVKARLEBY</t>
        </is>
      </c>
      <c r="F38" t="inlineStr">
        <is>
          <t>Bergvik skog väst AB</t>
        </is>
      </c>
      <c r="G38" t="n">
        <v>0.7</v>
      </c>
      <c r="H38" t="n">
        <v>0</v>
      </c>
      <c r="I38" t="n">
        <v>0</v>
      </c>
      <c r="J38" t="n">
        <v>0</v>
      </c>
      <c r="K38" t="n">
        <v>0</v>
      </c>
      <c r="L38" t="n">
        <v>0</v>
      </c>
      <c r="M38" t="n">
        <v>0</v>
      </c>
      <c r="N38" t="n">
        <v>0</v>
      </c>
      <c r="O38" t="n">
        <v>0</v>
      </c>
      <c r="P38" t="n">
        <v>0</v>
      </c>
      <c r="Q38" t="n">
        <v>0</v>
      </c>
      <c r="R38" s="2" t="inlineStr"/>
    </row>
    <row r="39" ht="15" customHeight="1">
      <c r="A39" t="inlineStr">
        <is>
          <t>A 18451-2025</t>
        </is>
      </c>
      <c r="B39" s="1" t="n">
        <v>45762</v>
      </c>
      <c r="C39" s="1" t="n">
        <v>46092</v>
      </c>
      <c r="D39" t="inlineStr">
        <is>
          <t>UPPSALA LÄN</t>
        </is>
      </c>
      <c r="E39" t="inlineStr">
        <is>
          <t>ÄLVKARLEBY</t>
        </is>
      </c>
      <c r="F39" t="inlineStr">
        <is>
          <t>Bergvik skog väst AB</t>
        </is>
      </c>
      <c r="G39" t="n">
        <v>1.2</v>
      </c>
      <c r="H39" t="n">
        <v>0</v>
      </c>
      <c r="I39" t="n">
        <v>0</v>
      </c>
      <c r="J39" t="n">
        <v>0</v>
      </c>
      <c r="K39" t="n">
        <v>0</v>
      </c>
      <c r="L39" t="n">
        <v>0</v>
      </c>
      <c r="M39" t="n">
        <v>0</v>
      </c>
      <c r="N39" t="n">
        <v>0</v>
      </c>
      <c r="O39" t="n">
        <v>0</v>
      </c>
      <c r="P39" t="n">
        <v>0</v>
      </c>
      <c r="Q39" t="n">
        <v>0</v>
      </c>
      <c r="R39" s="2" t="inlineStr"/>
    </row>
    <row r="40" ht="15" customHeight="1">
      <c r="A40" t="inlineStr">
        <is>
          <t>A 58168-2025</t>
        </is>
      </c>
      <c r="B40" s="1" t="n">
        <v>45982.72024305556</v>
      </c>
      <c r="C40" s="1" t="n">
        <v>46092</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58497-2025</t>
        </is>
      </c>
      <c r="B41" s="1" t="n">
        <v>45985.67912037037</v>
      </c>
      <c r="C41" s="1" t="n">
        <v>46092</v>
      </c>
      <c r="D41" t="inlineStr">
        <is>
          <t>UPPSALA LÄN</t>
        </is>
      </c>
      <c r="E41" t="inlineStr">
        <is>
          <t>ÄLVKARLEBY</t>
        </is>
      </c>
      <c r="F41" t="inlineStr">
        <is>
          <t>Bergvik skog väst AB</t>
        </is>
      </c>
      <c r="G41" t="n">
        <v>4.6</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46092</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60083-2025</t>
        </is>
      </c>
      <c r="B43" s="1" t="n">
        <v>45993.69733796296</v>
      </c>
      <c r="C43" s="1" t="n">
        <v>46092</v>
      </c>
      <c r="D43" t="inlineStr">
        <is>
          <t>UPPSALA LÄN</t>
        </is>
      </c>
      <c r="E43" t="inlineStr">
        <is>
          <t>ÄLVKARLEBY</t>
        </is>
      </c>
      <c r="F43" t="inlineStr">
        <is>
          <t>Bergvik skog väst AB</t>
        </is>
      </c>
      <c r="G43" t="n">
        <v>4.7</v>
      </c>
      <c r="H43" t="n">
        <v>0</v>
      </c>
      <c r="I43" t="n">
        <v>0</v>
      </c>
      <c r="J43" t="n">
        <v>0</v>
      </c>
      <c r="K43" t="n">
        <v>0</v>
      </c>
      <c r="L43" t="n">
        <v>0</v>
      </c>
      <c r="M43" t="n">
        <v>0</v>
      </c>
      <c r="N43" t="n">
        <v>0</v>
      </c>
      <c r="O43" t="n">
        <v>0</v>
      </c>
      <c r="P43" t="n">
        <v>0</v>
      </c>
      <c r="Q43" t="n">
        <v>0</v>
      </c>
      <c r="R43" s="2" t="inlineStr"/>
    </row>
    <row r="44" ht="15" customHeight="1">
      <c r="A44" t="inlineStr">
        <is>
          <t>A 60256-2025</t>
        </is>
      </c>
      <c r="B44" s="1" t="n">
        <v>45994.60216435185</v>
      </c>
      <c r="C44" s="1" t="n">
        <v>46092</v>
      </c>
      <c r="D44" t="inlineStr">
        <is>
          <t>UPPSALA LÄN</t>
        </is>
      </c>
      <c r="E44" t="inlineStr">
        <is>
          <t>ÄLVKARLEBY</t>
        </is>
      </c>
      <c r="G44" t="n">
        <v>1</v>
      </c>
      <c r="H44" t="n">
        <v>0</v>
      </c>
      <c r="I44" t="n">
        <v>0</v>
      </c>
      <c r="J44" t="n">
        <v>0</v>
      </c>
      <c r="K44" t="n">
        <v>0</v>
      </c>
      <c r="L44" t="n">
        <v>0</v>
      </c>
      <c r="M44" t="n">
        <v>0</v>
      </c>
      <c r="N44" t="n">
        <v>0</v>
      </c>
      <c r="O44" t="n">
        <v>0</v>
      </c>
      <c r="P44" t="n">
        <v>0</v>
      </c>
      <c r="Q44" t="n">
        <v>0</v>
      </c>
      <c r="R44" s="2" t="inlineStr"/>
    </row>
    <row r="45" ht="15" customHeight="1">
      <c r="A45" t="inlineStr">
        <is>
          <t>A 60842-2025</t>
        </is>
      </c>
      <c r="B45" s="1" t="n">
        <v>45999.48721064815</v>
      </c>
      <c r="C45" s="1" t="n">
        <v>46092</v>
      </c>
      <c r="D45" t="inlineStr">
        <is>
          <t>UPPSALA LÄN</t>
        </is>
      </c>
      <c r="E45" t="inlineStr">
        <is>
          <t>ÄLVKARLEBY</t>
        </is>
      </c>
      <c r="F45" t="inlineStr">
        <is>
          <t>Bergvik skog väst AB</t>
        </is>
      </c>
      <c r="G45" t="n">
        <v>1.9</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46092</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60829-2025</t>
        </is>
      </c>
      <c r="B47" s="1" t="n">
        <v>45999.46523148148</v>
      </c>
      <c r="C47" s="1" t="n">
        <v>46092</v>
      </c>
      <c r="D47" t="inlineStr">
        <is>
          <t>UPPSALA LÄN</t>
        </is>
      </c>
      <c r="E47" t="inlineStr">
        <is>
          <t>ÄLVKARLEBY</t>
        </is>
      </c>
      <c r="F47" t="inlineStr">
        <is>
          <t>Bergvik skog väst AB</t>
        </is>
      </c>
      <c r="G47" t="n">
        <v>5.5</v>
      </c>
      <c r="H47" t="n">
        <v>0</v>
      </c>
      <c r="I47" t="n">
        <v>0</v>
      </c>
      <c r="J47" t="n">
        <v>0</v>
      </c>
      <c r="K47" t="n">
        <v>0</v>
      </c>
      <c r="L47" t="n">
        <v>0</v>
      </c>
      <c r="M47" t="n">
        <v>0</v>
      </c>
      <c r="N47" t="n">
        <v>0</v>
      </c>
      <c r="O47" t="n">
        <v>0</v>
      </c>
      <c r="P47" t="n">
        <v>0</v>
      </c>
      <c r="Q47" t="n">
        <v>0</v>
      </c>
      <c r="R47" s="2" t="inlineStr"/>
    </row>
    <row r="48" ht="15" customHeight="1">
      <c r="A48" t="inlineStr">
        <is>
          <t>A 26664-2025</t>
        </is>
      </c>
      <c r="B48" s="1" t="n">
        <v>45810</v>
      </c>
      <c r="C48" s="1" t="n">
        <v>46092</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41847-2025</t>
        </is>
      </c>
      <c r="B49" s="1" t="n">
        <v>45902.75265046296</v>
      </c>
      <c r="C49" s="1" t="n">
        <v>46092</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14004-2025</t>
        </is>
      </c>
      <c r="B50" s="1" t="n">
        <v>45740.2997337963</v>
      </c>
      <c r="C50" s="1" t="n">
        <v>46092</v>
      </c>
      <c r="D50" t="inlineStr">
        <is>
          <t>UPPSALA LÄN</t>
        </is>
      </c>
      <c r="E50" t="inlineStr">
        <is>
          <t>ÄLVKARLEBY</t>
        </is>
      </c>
      <c r="F50" t="inlineStr">
        <is>
          <t>Bergvik skog öst AB</t>
        </is>
      </c>
      <c r="G50" t="n">
        <v>10.1</v>
      </c>
      <c r="H50" t="n">
        <v>0</v>
      </c>
      <c r="I50" t="n">
        <v>0</v>
      </c>
      <c r="J50" t="n">
        <v>0</v>
      </c>
      <c r="K50" t="n">
        <v>0</v>
      </c>
      <c r="L50" t="n">
        <v>0</v>
      </c>
      <c r="M50" t="n">
        <v>0</v>
      </c>
      <c r="N50" t="n">
        <v>0</v>
      </c>
      <c r="O50" t="n">
        <v>0</v>
      </c>
      <c r="P50" t="n">
        <v>0</v>
      </c>
      <c r="Q50" t="n">
        <v>0</v>
      </c>
      <c r="R50" s="2" t="inlineStr"/>
    </row>
    <row r="51" ht="15" customHeight="1">
      <c r="A51" t="inlineStr">
        <is>
          <t>A 24591-2025</t>
        </is>
      </c>
      <c r="B51" s="1" t="n">
        <v>45798.53666666667</v>
      </c>
      <c r="C51" s="1" t="n">
        <v>46092</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61694-2025</t>
        </is>
      </c>
      <c r="B52" s="1" t="n">
        <v>46002.52361111111</v>
      </c>
      <c r="C52" s="1" t="n">
        <v>46092</v>
      </c>
      <c r="D52" t="inlineStr">
        <is>
          <t>UPPSALA LÄN</t>
        </is>
      </c>
      <c r="E52" t="inlineStr">
        <is>
          <t>ÄLVKARLEBY</t>
        </is>
      </c>
      <c r="F52" t="inlineStr">
        <is>
          <t>Bergvik skog öst AB</t>
        </is>
      </c>
      <c r="G52" t="n">
        <v>1.5</v>
      </c>
      <c r="H52" t="n">
        <v>0</v>
      </c>
      <c r="I52" t="n">
        <v>0</v>
      </c>
      <c r="J52" t="n">
        <v>0</v>
      </c>
      <c r="K52" t="n">
        <v>0</v>
      </c>
      <c r="L52" t="n">
        <v>0</v>
      </c>
      <c r="M52" t="n">
        <v>0</v>
      </c>
      <c r="N52" t="n">
        <v>0</v>
      </c>
      <c r="O52" t="n">
        <v>0</v>
      </c>
      <c r="P52" t="n">
        <v>0</v>
      </c>
      <c r="Q52" t="n">
        <v>0</v>
      </c>
      <c r="R52" s="2" t="inlineStr"/>
    </row>
    <row r="53" ht="15" customHeight="1">
      <c r="A53" t="inlineStr">
        <is>
          <t>A 61685-2025</t>
        </is>
      </c>
      <c r="B53" s="1" t="n">
        <v>46002.503125</v>
      </c>
      <c r="C53" s="1" t="n">
        <v>46092</v>
      </c>
      <c r="D53" t="inlineStr">
        <is>
          <t>UPPSALA LÄN</t>
        </is>
      </c>
      <c r="E53" t="inlineStr">
        <is>
          <t>ÄLVKARLEBY</t>
        </is>
      </c>
      <c r="F53" t="inlineStr">
        <is>
          <t>Bergvik skog öst AB</t>
        </is>
      </c>
      <c r="G53" t="n">
        <v>1</v>
      </c>
      <c r="H53" t="n">
        <v>0</v>
      </c>
      <c r="I53" t="n">
        <v>0</v>
      </c>
      <c r="J53" t="n">
        <v>0</v>
      </c>
      <c r="K53" t="n">
        <v>0</v>
      </c>
      <c r="L53" t="n">
        <v>0</v>
      </c>
      <c r="M53" t="n">
        <v>0</v>
      </c>
      <c r="N53" t="n">
        <v>0</v>
      </c>
      <c r="O53" t="n">
        <v>0</v>
      </c>
      <c r="P53" t="n">
        <v>0</v>
      </c>
      <c r="Q53" t="n">
        <v>0</v>
      </c>
      <c r="R53" s="2" t="inlineStr"/>
    </row>
    <row r="54" ht="15" customHeight="1">
      <c r="A54" t="inlineStr">
        <is>
          <t>A 61691-2025</t>
        </is>
      </c>
      <c r="B54" s="1" t="n">
        <v>46002.51318287037</v>
      </c>
      <c r="C54" s="1" t="n">
        <v>46092</v>
      </c>
      <c r="D54" t="inlineStr">
        <is>
          <t>UPPSALA LÄN</t>
        </is>
      </c>
      <c r="E54" t="inlineStr">
        <is>
          <t>ÄLVKARLEBY</t>
        </is>
      </c>
      <c r="F54" t="inlineStr">
        <is>
          <t>Bergvik skog öst AB</t>
        </is>
      </c>
      <c r="G54" t="n">
        <v>0.7</v>
      </c>
      <c r="H54" t="n">
        <v>0</v>
      </c>
      <c r="I54" t="n">
        <v>0</v>
      </c>
      <c r="J54" t="n">
        <v>0</v>
      </c>
      <c r="K54" t="n">
        <v>0</v>
      </c>
      <c r="L54" t="n">
        <v>0</v>
      </c>
      <c r="M54" t="n">
        <v>0</v>
      </c>
      <c r="N54" t="n">
        <v>0</v>
      </c>
      <c r="O54" t="n">
        <v>0</v>
      </c>
      <c r="P54" t="n">
        <v>0</v>
      </c>
      <c r="Q54" t="n">
        <v>0</v>
      </c>
      <c r="R54" s="2" t="inlineStr"/>
    </row>
    <row r="55" ht="15" customHeight="1">
      <c r="A55" t="inlineStr">
        <is>
          <t>A 63004-2025</t>
        </is>
      </c>
      <c r="B55" s="1" t="n">
        <v>46009.56873842593</v>
      </c>
      <c r="C55" s="1" t="n">
        <v>46092</v>
      </c>
      <c r="D55" t="inlineStr">
        <is>
          <t>UPPSALA LÄN</t>
        </is>
      </c>
      <c r="E55" t="inlineStr">
        <is>
          <t>ÄLVKARLEBY</t>
        </is>
      </c>
      <c r="F55" t="inlineStr">
        <is>
          <t>Bergvik skog väst AB</t>
        </is>
      </c>
      <c r="G55" t="n">
        <v>2.2</v>
      </c>
      <c r="H55" t="n">
        <v>0</v>
      </c>
      <c r="I55" t="n">
        <v>0</v>
      </c>
      <c r="J55" t="n">
        <v>0</v>
      </c>
      <c r="K55" t="n">
        <v>0</v>
      </c>
      <c r="L55" t="n">
        <v>0</v>
      </c>
      <c r="M55" t="n">
        <v>0</v>
      </c>
      <c r="N55" t="n">
        <v>0</v>
      </c>
      <c r="O55" t="n">
        <v>0</v>
      </c>
      <c r="P55" t="n">
        <v>0</v>
      </c>
      <c r="Q55" t="n">
        <v>0</v>
      </c>
      <c r="R55" s="2" t="inlineStr"/>
    </row>
    <row r="56" ht="15" customHeight="1">
      <c r="A56" t="inlineStr">
        <is>
          <t>A 62938-2025</t>
        </is>
      </c>
      <c r="B56" s="1" t="n">
        <v>46009.42092592592</v>
      </c>
      <c r="C56" s="1" t="n">
        <v>46092</v>
      </c>
      <c r="D56" t="inlineStr">
        <is>
          <t>UPPSALA LÄN</t>
        </is>
      </c>
      <c r="E56" t="inlineStr">
        <is>
          <t>ÄLVKARLEBY</t>
        </is>
      </c>
      <c r="F56" t="inlineStr">
        <is>
          <t>Bergvik skog väst AB</t>
        </is>
      </c>
      <c r="G56" t="n">
        <v>10.2</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46092</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63341-2025</t>
        </is>
      </c>
      <c r="B58" s="1" t="n">
        <v>46010.65505787037</v>
      </c>
      <c r="C58" s="1" t="n">
        <v>46092</v>
      </c>
      <c r="D58" t="inlineStr">
        <is>
          <t>UPPSALA LÄN</t>
        </is>
      </c>
      <c r="E58" t="inlineStr">
        <is>
          <t>ÄLVKARLEBY</t>
        </is>
      </c>
      <c r="F58" t="inlineStr">
        <is>
          <t>Bergvik skog väst AB</t>
        </is>
      </c>
      <c r="G58" t="n">
        <v>4.3</v>
      </c>
      <c r="H58" t="n">
        <v>0</v>
      </c>
      <c r="I58" t="n">
        <v>0</v>
      </c>
      <c r="J58" t="n">
        <v>0</v>
      </c>
      <c r="K58" t="n">
        <v>0</v>
      </c>
      <c r="L58" t="n">
        <v>0</v>
      </c>
      <c r="M58" t="n">
        <v>0</v>
      </c>
      <c r="N58" t="n">
        <v>0</v>
      </c>
      <c r="O58" t="n">
        <v>0</v>
      </c>
      <c r="P58" t="n">
        <v>0</v>
      </c>
      <c r="Q58" t="n">
        <v>0</v>
      </c>
      <c r="R58" s="2" t="inlineStr"/>
    </row>
    <row r="59" ht="15" customHeight="1">
      <c r="A59" t="inlineStr">
        <is>
          <t>A 43662-2025</t>
        </is>
      </c>
      <c r="B59" s="1" t="n">
        <v>45912.34446759259</v>
      </c>
      <c r="C59" s="1" t="n">
        <v>46092</v>
      </c>
      <c r="D59" t="inlineStr">
        <is>
          <t>UPPSALA LÄN</t>
        </is>
      </c>
      <c r="E59" t="inlineStr">
        <is>
          <t>ÄLVKARLEBY</t>
        </is>
      </c>
      <c r="F59" t="inlineStr">
        <is>
          <t>Kyrkan</t>
        </is>
      </c>
      <c r="G59" t="n">
        <v>4.5</v>
      </c>
      <c r="H59" t="n">
        <v>0</v>
      </c>
      <c r="I59" t="n">
        <v>0</v>
      </c>
      <c r="J59" t="n">
        <v>0</v>
      </c>
      <c r="K59" t="n">
        <v>0</v>
      </c>
      <c r="L59" t="n">
        <v>0</v>
      </c>
      <c r="M59" t="n">
        <v>0</v>
      </c>
      <c r="N59" t="n">
        <v>0</v>
      </c>
      <c r="O59" t="n">
        <v>0</v>
      </c>
      <c r="P59" t="n">
        <v>0</v>
      </c>
      <c r="Q59" t="n">
        <v>0</v>
      </c>
      <c r="R59" s="2" t="inlineStr"/>
    </row>
    <row r="60" ht="15" customHeight="1">
      <c r="A60" t="inlineStr">
        <is>
          <t>A 63183-2025</t>
        </is>
      </c>
      <c r="B60" s="1" t="n">
        <v>46010.42908564815</v>
      </c>
      <c r="C60" s="1" t="n">
        <v>46092</v>
      </c>
      <c r="D60" t="inlineStr">
        <is>
          <t>UPPSALA LÄN</t>
        </is>
      </c>
      <c r="E60" t="inlineStr">
        <is>
          <t>ÄLVKARLEBY</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25330-2025</t>
        </is>
      </c>
      <c r="B61" s="1" t="n">
        <v>45800.59114583334</v>
      </c>
      <c r="C61" s="1" t="n">
        <v>46092</v>
      </c>
      <c r="D61" t="inlineStr">
        <is>
          <t>UPPSALA LÄN</t>
        </is>
      </c>
      <c r="E61" t="inlineStr">
        <is>
          <t>ÄLVKARLEBY</t>
        </is>
      </c>
      <c r="F61" t="inlineStr">
        <is>
          <t>Bergvik skog väst AB</t>
        </is>
      </c>
      <c r="G61" t="n">
        <v>5</v>
      </c>
      <c r="H61" t="n">
        <v>0</v>
      </c>
      <c r="I61" t="n">
        <v>0</v>
      </c>
      <c r="J61" t="n">
        <v>0</v>
      </c>
      <c r="K61" t="n">
        <v>0</v>
      </c>
      <c r="L61" t="n">
        <v>0</v>
      </c>
      <c r="M61" t="n">
        <v>0</v>
      </c>
      <c r="N61" t="n">
        <v>0</v>
      </c>
      <c r="O61" t="n">
        <v>0</v>
      </c>
      <c r="P61" t="n">
        <v>0</v>
      </c>
      <c r="Q61" t="n">
        <v>0</v>
      </c>
      <c r="R61" s="2" t="inlineStr"/>
    </row>
    <row r="62" ht="15" customHeight="1">
      <c r="A62" t="inlineStr">
        <is>
          <t>A 63365-2025</t>
        </is>
      </c>
      <c r="B62" s="1" t="n">
        <v>46010.70717592593</v>
      </c>
      <c r="C62" s="1" t="n">
        <v>46092</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45033-2025</t>
        </is>
      </c>
      <c r="B63" s="1" t="n">
        <v>45918.70299768518</v>
      </c>
      <c r="C63" s="1" t="n">
        <v>46092</v>
      </c>
      <c r="D63" t="inlineStr">
        <is>
          <t>UPPSALA LÄN</t>
        </is>
      </c>
      <c r="E63" t="inlineStr">
        <is>
          <t>ÄLVKARLEBY</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25264-2025</t>
        </is>
      </c>
      <c r="B64" s="1" t="n">
        <v>45800.5334375</v>
      </c>
      <c r="C64" s="1" t="n">
        <v>46092</v>
      </c>
      <c r="D64" t="inlineStr">
        <is>
          <t>UPPSALA LÄN</t>
        </is>
      </c>
      <c r="E64" t="inlineStr">
        <is>
          <t>ÄLVKARLEBY</t>
        </is>
      </c>
      <c r="F64" t="inlineStr">
        <is>
          <t>Bergvik skog väst AB</t>
        </is>
      </c>
      <c r="G64" t="n">
        <v>3.4</v>
      </c>
      <c r="H64" t="n">
        <v>0</v>
      </c>
      <c r="I64" t="n">
        <v>0</v>
      </c>
      <c r="J64" t="n">
        <v>0</v>
      </c>
      <c r="K64" t="n">
        <v>0</v>
      </c>
      <c r="L64" t="n">
        <v>0</v>
      </c>
      <c r="M64" t="n">
        <v>0</v>
      </c>
      <c r="N64" t="n">
        <v>0</v>
      </c>
      <c r="O64" t="n">
        <v>0</v>
      </c>
      <c r="P64" t="n">
        <v>0</v>
      </c>
      <c r="Q64" t="n">
        <v>0</v>
      </c>
      <c r="R64" s="2" t="inlineStr"/>
    </row>
    <row r="65" ht="15" customHeight="1">
      <c r="A65" t="inlineStr">
        <is>
          <t>A 45512-2025</t>
        </is>
      </c>
      <c r="B65" s="1" t="n">
        <v>45922.58106481482</v>
      </c>
      <c r="C65" s="1" t="n">
        <v>46092</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61839-2025</t>
        </is>
      </c>
      <c r="B66" s="1" t="n">
        <v>46003.35768518518</v>
      </c>
      <c r="C66" s="1" t="n">
        <v>46092</v>
      </c>
      <c r="D66" t="inlineStr">
        <is>
          <t>UPPSALA LÄN</t>
        </is>
      </c>
      <c r="E66" t="inlineStr">
        <is>
          <t>ÄLVKARLEBY</t>
        </is>
      </c>
      <c r="F66" t="inlineStr">
        <is>
          <t>Bergvik skog väst AB</t>
        </is>
      </c>
      <c r="G66" t="n">
        <v>2.3</v>
      </c>
      <c r="H66" t="n">
        <v>0</v>
      </c>
      <c r="I66" t="n">
        <v>0</v>
      </c>
      <c r="J66" t="n">
        <v>0</v>
      </c>
      <c r="K66" t="n">
        <v>0</v>
      </c>
      <c r="L66" t="n">
        <v>0</v>
      </c>
      <c r="M66" t="n">
        <v>0</v>
      </c>
      <c r="N66" t="n">
        <v>0</v>
      </c>
      <c r="O66" t="n">
        <v>0</v>
      </c>
      <c r="P66" t="n">
        <v>0</v>
      </c>
      <c r="Q66" t="n">
        <v>0</v>
      </c>
      <c r="R66" s="2" t="inlineStr"/>
    </row>
    <row r="67" ht="15" customHeight="1">
      <c r="A67" t="inlineStr">
        <is>
          <t>A 46335-2025</t>
        </is>
      </c>
      <c r="B67" s="1" t="n">
        <v>45925.46199074074</v>
      </c>
      <c r="C67" s="1" t="n">
        <v>46092</v>
      </c>
      <c r="D67" t="inlineStr">
        <is>
          <t>UPPSALA LÄN</t>
        </is>
      </c>
      <c r="E67" t="inlineStr">
        <is>
          <t>ÄLVKARLEBY</t>
        </is>
      </c>
      <c r="G67" t="n">
        <v>1.3</v>
      </c>
      <c r="H67" t="n">
        <v>0</v>
      </c>
      <c r="I67" t="n">
        <v>0</v>
      </c>
      <c r="J67" t="n">
        <v>0</v>
      </c>
      <c r="K67" t="n">
        <v>0</v>
      </c>
      <c r="L67" t="n">
        <v>0</v>
      </c>
      <c r="M67" t="n">
        <v>0</v>
      </c>
      <c r="N67" t="n">
        <v>0</v>
      </c>
      <c r="O67" t="n">
        <v>0</v>
      </c>
      <c r="P67" t="n">
        <v>0</v>
      </c>
      <c r="Q67" t="n">
        <v>0</v>
      </c>
      <c r="R67" s="2" t="inlineStr"/>
    </row>
    <row r="68" ht="15" customHeight="1">
      <c r="A68" t="inlineStr">
        <is>
          <t>A 46510-2025</t>
        </is>
      </c>
      <c r="B68" s="1" t="n">
        <v>45925.92368055556</v>
      </c>
      <c r="C68" s="1" t="n">
        <v>46092</v>
      </c>
      <c r="D68" t="inlineStr">
        <is>
          <t>UPPSALA LÄN</t>
        </is>
      </c>
      <c r="E68" t="inlineStr">
        <is>
          <t>ÄLVKARLEBY</t>
        </is>
      </c>
      <c r="G68" t="n">
        <v>2.3</v>
      </c>
      <c r="H68" t="n">
        <v>0</v>
      </c>
      <c r="I68" t="n">
        <v>0</v>
      </c>
      <c r="J68" t="n">
        <v>0</v>
      </c>
      <c r="K68" t="n">
        <v>0</v>
      </c>
      <c r="L68" t="n">
        <v>0</v>
      </c>
      <c r="M68" t="n">
        <v>0</v>
      </c>
      <c r="N68" t="n">
        <v>0</v>
      </c>
      <c r="O68" t="n">
        <v>0</v>
      </c>
      <c r="P68" t="n">
        <v>0</v>
      </c>
      <c r="Q68" t="n">
        <v>0</v>
      </c>
      <c r="R68" s="2" t="inlineStr"/>
    </row>
    <row r="69" ht="15" customHeight="1">
      <c r="A69" t="inlineStr">
        <is>
          <t>A 43285-2023</t>
        </is>
      </c>
      <c r="B69" s="1" t="n">
        <v>45183.5630787037</v>
      </c>
      <c r="C69" s="1" t="n">
        <v>46092</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26670-2025</t>
        </is>
      </c>
      <c r="B70" s="1" t="n">
        <v>45810.41489583333</v>
      </c>
      <c r="C70" s="1" t="n">
        <v>46092</v>
      </c>
      <c r="D70" t="inlineStr">
        <is>
          <t>UPPSALA LÄN</t>
        </is>
      </c>
      <c r="E70" t="inlineStr">
        <is>
          <t>ÄLVKARLEBY</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15739-2025</t>
        </is>
      </c>
      <c r="B71" s="1" t="n">
        <v>45748.54612268518</v>
      </c>
      <c r="C71" s="1" t="n">
        <v>46092</v>
      </c>
      <c r="D71" t="inlineStr">
        <is>
          <t>UPPSALA LÄN</t>
        </is>
      </c>
      <c r="E71" t="inlineStr">
        <is>
          <t>ÄLVKARLEBY</t>
        </is>
      </c>
      <c r="F71" t="inlineStr">
        <is>
          <t>Kyrkan</t>
        </is>
      </c>
      <c r="G71" t="n">
        <v>2.4</v>
      </c>
      <c r="H71" t="n">
        <v>0</v>
      </c>
      <c r="I71" t="n">
        <v>0</v>
      </c>
      <c r="J71" t="n">
        <v>0</v>
      </c>
      <c r="K71" t="n">
        <v>0</v>
      </c>
      <c r="L71" t="n">
        <v>0</v>
      </c>
      <c r="M71" t="n">
        <v>0</v>
      </c>
      <c r="N71" t="n">
        <v>0</v>
      </c>
      <c r="O71" t="n">
        <v>0</v>
      </c>
      <c r="P71" t="n">
        <v>0</v>
      </c>
      <c r="Q71" t="n">
        <v>0</v>
      </c>
      <c r="R71" s="2" t="inlineStr"/>
    </row>
    <row r="72" ht="15" customHeight="1">
      <c r="A72" t="inlineStr">
        <is>
          <t>A 9394-2026</t>
        </is>
      </c>
      <c r="B72" s="1" t="n">
        <v>46071.36576388889</v>
      </c>
      <c r="C72" s="1" t="n">
        <v>46092</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27741-2025</t>
        </is>
      </c>
      <c r="B73" s="1" t="n">
        <v>45815.5346875</v>
      </c>
      <c r="C73" s="1" t="n">
        <v>46092</v>
      </c>
      <c r="D73" t="inlineStr">
        <is>
          <t>UPPSALA LÄN</t>
        </is>
      </c>
      <c r="E73" t="inlineStr">
        <is>
          <t>ÄLVKARLEBY</t>
        </is>
      </c>
      <c r="F73" t="inlineStr">
        <is>
          <t>Bergvik skog väst AB</t>
        </is>
      </c>
      <c r="G73" t="n">
        <v>4.4</v>
      </c>
      <c r="H73" t="n">
        <v>0</v>
      </c>
      <c r="I73" t="n">
        <v>0</v>
      </c>
      <c r="J73" t="n">
        <v>0</v>
      </c>
      <c r="K73" t="n">
        <v>0</v>
      </c>
      <c r="L73" t="n">
        <v>0</v>
      </c>
      <c r="M73" t="n">
        <v>0</v>
      </c>
      <c r="N73" t="n">
        <v>0</v>
      </c>
      <c r="O73" t="n">
        <v>0</v>
      </c>
      <c r="P73" t="n">
        <v>0</v>
      </c>
      <c r="Q73" t="n">
        <v>0</v>
      </c>
      <c r="R73" s="2" t="inlineStr"/>
    </row>
    <row r="74" ht="15" customHeight="1">
      <c r="A74" t="inlineStr">
        <is>
          <t>A 27742-2025</t>
        </is>
      </c>
      <c r="B74" s="1" t="n">
        <v>45815.53724537037</v>
      </c>
      <c r="C74" s="1" t="n">
        <v>46092</v>
      </c>
      <c r="D74" t="inlineStr">
        <is>
          <t>UPPSALA LÄN</t>
        </is>
      </c>
      <c r="E74" t="inlineStr">
        <is>
          <t>ÄLVKARLEBY</t>
        </is>
      </c>
      <c r="F74" t="inlineStr">
        <is>
          <t>Bergvik skog väst AB</t>
        </is>
      </c>
      <c r="G74" t="n">
        <v>1.4</v>
      </c>
      <c r="H74" t="n">
        <v>0</v>
      </c>
      <c r="I74" t="n">
        <v>0</v>
      </c>
      <c r="J74" t="n">
        <v>0</v>
      </c>
      <c r="K74" t="n">
        <v>0</v>
      </c>
      <c r="L74" t="n">
        <v>0</v>
      </c>
      <c r="M74" t="n">
        <v>0</v>
      </c>
      <c r="N74" t="n">
        <v>0</v>
      </c>
      <c r="O74" t="n">
        <v>0</v>
      </c>
      <c r="P74" t="n">
        <v>0</v>
      </c>
      <c r="Q74" t="n">
        <v>0</v>
      </c>
      <c r="R74" s="2" t="inlineStr"/>
    </row>
    <row r="75" ht="15" customHeight="1">
      <c r="A75" t="inlineStr">
        <is>
          <t>A 48460-2025</t>
        </is>
      </c>
      <c r="B75" s="1" t="n">
        <v>45935.94372685185</v>
      </c>
      <c r="C75" s="1" t="n">
        <v>46092</v>
      </c>
      <c r="D75" t="inlineStr">
        <is>
          <t>UPPSALA LÄN</t>
        </is>
      </c>
      <c r="E75" t="inlineStr">
        <is>
          <t>ÄLVKARLEBY</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28670-2025</t>
        </is>
      </c>
      <c r="B76" s="1" t="n">
        <v>45819.67130787037</v>
      </c>
      <c r="C76" s="1" t="n">
        <v>46092</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28668-2025</t>
        </is>
      </c>
      <c r="B77" s="1" t="n">
        <v>45819.66650462963</v>
      </c>
      <c r="C77" s="1" t="n">
        <v>46092</v>
      </c>
      <c r="D77" t="inlineStr">
        <is>
          <t>UPPSALA LÄN</t>
        </is>
      </c>
      <c r="E77" t="inlineStr">
        <is>
          <t>ÄLVKARLEBY</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9533-2025</t>
        </is>
      </c>
      <c r="B78" s="1" t="n">
        <v>45715.57082175926</v>
      </c>
      <c r="C78" s="1" t="n">
        <v>46092</v>
      </c>
      <c r="D78" t="inlineStr">
        <is>
          <t>UPPSALA LÄN</t>
        </is>
      </c>
      <c r="E78" t="inlineStr">
        <is>
          <t>ÄLVKARLEBY</t>
        </is>
      </c>
      <c r="G78" t="n">
        <v>2.1</v>
      </c>
      <c r="H78" t="n">
        <v>0</v>
      </c>
      <c r="I78" t="n">
        <v>0</v>
      </c>
      <c r="J78" t="n">
        <v>0</v>
      </c>
      <c r="K78" t="n">
        <v>0</v>
      </c>
      <c r="L78" t="n">
        <v>0</v>
      </c>
      <c r="M78" t="n">
        <v>0</v>
      </c>
      <c r="N78" t="n">
        <v>0</v>
      </c>
      <c r="O78" t="n">
        <v>0</v>
      </c>
      <c r="P78" t="n">
        <v>0</v>
      </c>
      <c r="Q78" t="n">
        <v>0</v>
      </c>
      <c r="R78" s="2" t="inlineStr"/>
    </row>
    <row r="79" ht="15" customHeight="1">
      <c r="A79" t="inlineStr">
        <is>
          <t>A 2184-2024</t>
        </is>
      </c>
      <c r="B79" s="1" t="n">
        <v>45309</v>
      </c>
      <c r="C79" s="1" t="n">
        <v>46092</v>
      </c>
      <c r="D79" t="inlineStr">
        <is>
          <t>UPPSALA LÄN</t>
        </is>
      </c>
      <c r="E79" t="inlineStr">
        <is>
          <t>ÄLVKARLEBY</t>
        </is>
      </c>
      <c r="G79" t="n">
        <v>0.6</v>
      </c>
      <c r="H79" t="n">
        <v>0</v>
      </c>
      <c r="I79" t="n">
        <v>0</v>
      </c>
      <c r="J79" t="n">
        <v>0</v>
      </c>
      <c r="K79" t="n">
        <v>0</v>
      </c>
      <c r="L79" t="n">
        <v>0</v>
      </c>
      <c r="M79" t="n">
        <v>0</v>
      </c>
      <c r="N79" t="n">
        <v>0</v>
      </c>
      <c r="O79" t="n">
        <v>0</v>
      </c>
      <c r="P79" t="n">
        <v>0</v>
      </c>
      <c r="Q79" t="n">
        <v>0</v>
      </c>
      <c r="R79" s="2" t="inlineStr"/>
    </row>
    <row r="80" ht="15" customHeight="1">
      <c r="A80" t="inlineStr">
        <is>
          <t>A 1673-2026</t>
        </is>
      </c>
      <c r="B80" s="1" t="n">
        <v>46034.56863425926</v>
      </c>
      <c r="C80" s="1" t="n">
        <v>46092</v>
      </c>
      <c r="D80" t="inlineStr">
        <is>
          <t>UPPSALA LÄN</t>
        </is>
      </c>
      <c r="E80" t="inlineStr">
        <is>
          <t>ÄLVKARLEBY</t>
        </is>
      </c>
      <c r="F80" t="inlineStr">
        <is>
          <t>Bergvik skog väst AB</t>
        </is>
      </c>
      <c r="G80" t="n">
        <v>1.9</v>
      </c>
      <c r="H80" t="n">
        <v>0</v>
      </c>
      <c r="I80" t="n">
        <v>0</v>
      </c>
      <c r="J80" t="n">
        <v>0</v>
      </c>
      <c r="K80" t="n">
        <v>0</v>
      </c>
      <c r="L80" t="n">
        <v>0</v>
      </c>
      <c r="M80" t="n">
        <v>0</v>
      </c>
      <c r="N80" t="n">
        <v>0</v>
      </c>
      <c r="O80" t="n">
        <v>0</v>
      </c>
      <c r="P80" t="n">
        <v>0</v>
      </c>
      <c r="Q80" t="n">
        <v>0</v>
      </c>
      <c r="R80" s="2" t="inlineStr"/>
    </row>
    <row r="81" ht="15" customHeight="1">
      <c r="A81" t="inlineStr">
        <is>
          <t>A 50138-2025</t>
        </is>
      </c>
      <c r="B81" s="1" t="n">
        <v>45943.5653125</v>
      </c>
      <c r="C81" s="1" t="n">
        <v>46092</v>
      </c>
      <c r="D81" t="inlineStr">
        <is>
          <t>UPPSALA LÄN</t>
        </is>
      </c>
      <c r="E81" t="inlineStr">
        <is>
          <t>ÄLVKARLEBY</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50113-2025</t>
        </is>
      </c>
      <c r="B82" s="1" t="n">
        <v>45943.54452546296</v>
      </c>
      <c r="C82" s="1" t="n">
        <v>46092</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50398-2025</t>
        </is>
      </c>
      <c r="B83" s="1" t="n">
        <v>45944.62854166667</v>
      </c>
      <c r="C83" s="1" t="n">
        <v>46092</v>
      </c>
      <c r="D83" t="inlineStr">
        <is>
          <t>UPPSALA LÄN</t>
        </is>
      </c>
      <c r="E83" t="inlineStr">
        <is>
          <t>ÄLVKARLEBY</t>
        </is>
      </c>
      <c r="F83" t="inlineStr">
        <is>
          <t>Bergvik skog väst AB</t>
        </is>
      </c>
      <c r="G83" t="n">
        <v>4.4</v>
      </c>
      <c r="H83" t="n">
        <v>0</v>
      </c>
      <c r="I83" t="n">
        <v>0</v>
      </c>
      <c r="J83" t="n">
        <v>0</v>
      </c>
      <c r="K83" t="n">
        <v>0</v>
      </c>
      <c r="L83" t="n">
        <v>0</v>
      </c>
      <c r="M83" t="n">
        <v>0</v>
      </c>
      <c r="N83" t="n">
        <v>0</v>
      </c>
      <c r="O83" t="n">
        <v>0</v>
      </c>
      <c r="P83" t="n">
        <v>0</v>
      </c>
      <c r="Q83" t="n">
        <v>0</v>
      </c>
      <c r="R83" s="2" t="inlineStr"/>
    </row>
    <row r="84" ht="15" customHeight="1">
      <c r="A84" t="inlineStr">
        <is>
          <t>A 50371-2025</t>
        </is>
      </c>
      <c r="B84" s="1" t="n">
        <v>45944.58696759259</v>
      </c>
      <c r="C84" s="1" t="n">
        <v>46092</v>
      </c>
      <c r="D84" t="inlineStr">
        <is>
          <t>UPPSALA LÄN</t>
        </is>
      </c>
      <c r="E84" t="inlineStr">
        <is>
          <t>ÄLVKARLEBY</t>
        </is>
      </c>
      <c r="F84" t="inlineStr">
        <is>
          <t>Bergvik skog väst AB</t>
        </is>
      </c>
      <c r="G84" t="n">
        <v>1.4</v>
      </c>
      <c r="H84" t="n">
        <v>0</v>
      </c>
      <c r="I84" t="n">
        <v>0</v>
      </c>
      <c r="J84" t="n">
        <v>0</v>
      </c>
      <c r="K84" t="n">
        <v>0</v>
      </c>
      <c r="L84" t="n">
        <v>0</v>
      </c>
      <c r="M84" t="n">
        <v>0</v>
      </c>
      <c r="N84" t="n">
        <v>0</v>
      </c>
      <c r="O84" t="n">
        <v>0</v>
      </c>
      <c r="P84" t="n">
        <v>0</v>
      </c>
      <c r="Q84" t="n">
        <v>0</v>
      </c>
      <c r="R84" s="2" t="inlineStr"/>
    </row>
    <row r="85" ht="15" customHeight="1">
      <c r="A85" t="inlineStr">
        <is>
          <t>A 30483-2025</t>
        </is>
      </c>
      <c r="B85" s="1" t="n">
        <v>45828.68988425926</v>
      </c>
      <c r="C85" s="1" t="n">
        <v>46092</v>
      </c>
      <c r="D85" t="inlineStr">
        <is>
          <t>UPPSALA LÄN</t>
        </is>
      </c>
      <c r="E85" t="inlineStr">
        <is>
          <t>ÄLVKARLEBY</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30936-2025</t>
        </is>
      </c>
      <c r="B86" s="1" t="n">
        <v>45832.40586805555</v>
      </c>
      <c r="C86" s="1" t="n">
        <v>46092</v>
      </c>
      <c r="D86" t="inlineStr">
        <is>
          <t>UPPSALA LÄN</t>
        </is>
      </c>
      <c r="E86" t="inlineStr">
        <is>
          <t>ÄLVKARLEBY</t>
        </is>
      </c>
      <c r="F86" t="inlineStr">
        <is>
          <t>Bergvik skog öst AB</t>
        </is>
      </c>
      <c r="G86" t="n">
        <v>7.2</v>
      </c>
      <c r="H86" t="n">
        <v>0</v>
      </c>
      <c r="I86" t="n">
        <v>0</v>
      </c>
      <c r="J86" t="n">
        <v>0</v>
      </c>
      <c r="K86" t="n">
        <v>0</v>
      </c>
      <c r="L86" t="n">
        <v>0</v>
      </c>
      <c r="M86" t="n">
        <v>0</v>
      </c>
      <c r="N86" t="n">
        <v>0</v>
      </c>
      <c r="O86" t="n">
        <v>0</v>
      </c>
      <c r="P86" t="n">
        <v>0</v>
      </c>
      <c r="Q86" t="n">
        <v>0</v>
      </c>
      <c r="R86" s="2" t="inlineStr"/>
    </row>
    <row r="87" ht="15" customHeight="1">
      <c r="A87" t="inlineStr">
        <is>
          <t>A 51237-2025</t>
        </is>
      </c>
      <c r="B87" s="1" t="n">
        <v>45947.69307870371</v>
      </c>
      <c r="C87" s="1" t="n">
        <v>46092</v>
      </c>
      <c r="D87" t="inlineStr">
        <is>
          <t>UPPSALA LÄN</t>
        </is>
      </c>
      <c r="E87" t="inlineStr">
        <is>
          <t>ÄLVKARLEBY</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50869-2025</t>
        </is>
      </c>
      <c r="B88" s="1" t="n">
        <v>45946.60259259259</v>
      </c>
      <c r="C88" s="1" t="n">
        <v>46092</v>
      </c>
      <c r="D88" t="inlineStr">
        <is>
          <t>UPPSALA LÄN</t>
        </is>
      </c>
      <c r="E88" t="inlineStr">
        <is>
          <t>ÄLVKARLEBY</t>
        </is>
      </c>
      <c r="F88" t="inlineStr">
        <is>
          <t>Bergvik skog väst AB</t>
        </is>
      </c>
      <c r="G88" t="n">
        <v>11.4</v>
      </c>
      <c r="H88" t="n">
        <v>0</v>
      </c>
      <c r="I88" t="n">
        <v>0</v>
      </c>
      <c r="J88" t="n">
        <v>0</v>
      </c>
      <c r="K88" t="n">
        <v>0</v>
      </c>
      <c r="L88" t="n">
        <v>0</v>
      </c>
      <c r="M88" t="n">
        <v>0</v>
      </c>
      <c r="N88" t="n">
        <v>0</v>
      </c>
      <c r="O88" t="n">
        <v>0</v>
      </c>
      <c r="P88" t="n">
        <v>0</v>
      </c>
      <c r="Q88" t="n">
        <v>0</v>
      </c>
      <c r="R88" s="2" t="inlineStr"/>
    </row>
    <row r="89" ht="15" customHeight="1">
      <c r="A89" t="inlineStr">
        <is>
          <t>A 30944-2025</t>
        </is>
      </c>
      <c r="B89" s="1" t="n">
        <v>45832.41182870371</v>
      </c>
      <c r="C89" s="1" t="n">
        <v>46092</v>
      </c>
      <c r="D89" t="inlineStr">
        <is>
          <t>UPPSALA LÄN</t>
        </is>
      </c>
      <c r="E89" t="inlineStr">
        <is>
          <t>ÄLVKARLEBY</t>
        </is>
      </c>
      <c r="F89" t="inlineStr">
        <is>
          <t>Bergvik skog öst AB</t>
        </is>
      </c>
      <c r="G89" t="n">
        <v>3.4</v>
      </c>
      <c r="H89" t="n">
        <v>0</v>
      </c>
      <c r="I89" t="n">
        <v>0</v>
      </c>
      <c r="J89" t="n">
        <v>0</v>
      </c>
      <c r="K89" t="n">
        <v>0</v>
      </c>
      <c r="L89" t="n">
        <v>0</v>
      </c>
      <c r="M89" t="n">
        <v>0</v>
      </c>
      <c r="N89" t="n">
        <v>0</v>
      </c>
      <c r="O89" t="n">
        <v>0</v>
      </c>
      <c r="P89" t="n">
        <v>0</v>
      </c>
      <c r="Q89" t="n">
        <v>0</v>
      </c>
      <c r="R89" s="2" t="inlineStr"/>
    </row>
    <row r="90" ht="15" customHeight="1">
      <c r="A90" t="inlineStr">
        <is>
          <t>A 32187-2025</t>
        </is>
      </c>
      <c r="B90" s="1" t="n">
        <v>45835.56949074074</v>
      </c>
      <c r="C90" s="1" t="n">
        <v>46092</v>
      </c>
      <c r="D90" t="inlineStr">
        <is>
          <t>UPPSALA LÄN</t>
        </is>
      </c>
      <c r="E90" t="inlineStr">
        <is>
          <t>ÄLVKARLEBY</t>
        </is>
      </c>
      <c r="F90" t="inlineStr">
        <is>
          <t>Bergvik skog väst AB</t>
        </is>
      </c>
      <c r="G90" t="n">
        <v>1.5</v>
      </c>
      <c r="H90" t="n">
        <v>0</v>
      </c>
      <c r="I90" t="n">
        <v>0</v>
      </c>
      <c r="J90" t="n">
        <v>0</v>
      </c>
      <c r="K90" t="n">
        <v>0</v>
      </c>
      <c r="L90" t="n">
        <v>0</v>
      </c>
      <c r="M90" t="n">
        <v>0</v>
      </c>
      <c r="N90" t="n">
        <v>0</v>
      </c>
      <c r="O90" t="n">
        <v>0</v>
      </c>
      <c r="P90" t="n">
        <v>0</v>
      </c>
      <c r="Q90" t="n">
        <v>0</v>
      </c>
      <c r="R90" s="2" t="inlineStr"/>
    </row>
    <row r="91" ht="15" customHeight="1">
      <c r="A91" t="inlineStr">
        <is>
          <t>A 32203-2025</t>
        </is>
      </c>
      <c r="B91" s="1" t="n">
        <v>45835.57951388889</v>
      </c>
      <c r="C91" s="1" t="n">
        <v>46092</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32186-2025</t>
        </is>
      </c>
      <c r="B92" s="1" t="n">
        <v>45835.5667824074</v>
      </c>
      <c r="C92" s="1" t="n">
        <v>46092</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32212-2025</t>
        </is>
      </c>
      <c r="B93" s="1" t="n">
        <v>45835.58509259259</v>
      </c>
      <c r="C93" s="1" t="n">
        <v>46092</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32221-2025</t>
        </is>
      </c>
      <c r="B94" s="1" t="n">
        <v>45835.5909837963</v>
      </c>
      <c r="C94" s="1" t="n">
        <v>46092</v>
      </c>
      <c r="D94" t="inlineStr">
        <is>
          <t>UPPSALA LÄN</t>
        </is>
      </c>
      <c r="E94" t="inlineStr">
        <is>
          <t>ÄLVKARLEBY</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52477-2025</t>
        </is>
      </c>
      <c r="B95" s="1" t="n">
        <v>45954.46980324074</v>
      </c>
      <c r="C95" s="1" t="n">
        <v>46092</v>
      </c>
      <c r="D95" t="inlineStr">
        <is>
          <t>UPPSALA LÄN</t>
        </is>
      </c>
      <c r="E95" t="inlineStr">
        <is>
          <t>ÄLVKARLEBY</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11467-2026</t>
        </is>
      </c>
      <c r="B96" s="1" t="n">
        <v>46083.58950231481</v>
      </c>
      <c r="C96" s="1" t="n">
        <v>46092</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52498-2025</t>
        </is>
      </c>
      <c r="B97" s="1" t="n">
        <v>45954.49314814815</v>
      </c>
      <c r="C97" s="1" t="n">
        <v>46092</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53184-2025</t>
        </is>
      </c>
      <c r="B98" s="1" t="n">
        <v>45958</v>
      </c>
      <c r="C98" s="1" t="n">
        <v>46092</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11848-2026</t>
        </is>
      </c>
      <c r="B99" s="1" t="n">
        <v>46085.45927083334</v>
      </c>
      <c r="C99" s="1" t="n">
        <v>46092</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53173-2025</t>
        </is>
      </c>
      <c r="B100" s="1" t="n">
        <v>45958.51738425926</v>
      </c>
      <c r="C100" s="1" t="n">
        <v>46092</v>
      </c>
      <c r="D100" t="inlineStr">
        <is>
          <t>UPPSALA LÄN</t>
        </is>
      </c>
      <c r="E100" t="inlineStr">
        <is>
          <t>ÄLVKARLEBY</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4131-2026</t>
        </is>
      </c>
      <c r="B101" s="1" t="n">
        <v>46044.62451388889</v>
      </c>
      <c r="C101" s="1" t="n">
        <v>46092</v>
      </c>
      <c r="D101" t="inlineStr">
        <is>
          <t>UPPSALA LÄN</t>
        </is>
      </c>
      <c r="E101" t="inlineStr">
        <is>
          <t>ÄLVKARLEBY</t>
        </is>
      </c>
      <c r="F101" t="inlineStr">
        <is>
          <t>Bergvik skog öst AB</t>
        </is>
      </c>
      <c r="G101" t="n">
        <v>2.4</v>
      </c>
      <c r="H101" t="n">
        <v>0</v>
      </c>
      <c r="I101" t="n">
        <v>0</v>
      </c>
      <c r="J101" t="n">
        <v>0</v>
      </c>
      <c r="K101" t="n">
        <v>0</v>
      </c>
      <c r="L101" t="n">
        <v>0</v>
      </c>
      <c r="M101" t="n">
        <v>0</v>
      </c>
      <c r="N101" t="n">
        <v>0</v>
      </c>
      <c r="O101" t="n">
        <v>0</v>
      </c>
      <c r="P101" t="n">
        <v>0</v>
      </c>
      <c r="Q101" t="n">
        <v>0</v>
      </c>
      <c r="R101" s="2" t="inlineStr"/>
    </row>
    <row r="102" ht="15" customHeight="1">
      <c r="A102" t="inlineStr">
        <is>
          <t>A 4134-2026</t>
        </is>
      </c>
      <c r="B102" s="1" t="n">
        <v>46044.6280787037</v>
      </c>
      <c r="C102" s="1" t="n">
        <v>46092</v>
      </c>
      <c r="D102" t="inlineStr">
        <is>
          <t>UPPSALA LÄN</t>
        </is>
      </c>
      <c r="E102" t="inlineStr">
        <is>
          <t>ÄLVKARLEBY</t>
        </is>
      </c>
      <c r="F102" t="inlineStr">
        <is>
          <t>Bergvik skog öst AB</t>
        </is>
      </c>
      <c r="G102" t="n">
        <v>5.1</v>
      </c>
      <c r="H102" t="n">
        <v>0</v>
      </c>
      <c r="I102" t="n">
        <v>0</v>
      </c>
      <c r="J102" t="n">
        <v>0</v>
      </c>
      <c r="K102" t="n">
        <v>0</v>
      </c>
      <c r="L102" t="n">
        <v>0</v>
      </c>
      <c r="M102" t="n">
        <v>0</v>
      </c>
      <c r="N102" t="n">
        <v>0</v>
      </c>
      <c r="O102" t="n">
        <v>0</v>
      </c>
      <c r="P102" t="n">
        <v>0</v>
      </c>
      <c r="Q102" t="n">
        <v>0</v>
      </c>
      <c r="R102" s="2" t="inlineStr"/>
    </row>
    <row r="103" ht="15" customHeight="1">
      <c r="A103" t="inlineStr">
        <is>
          <t>A 4133-2026</t>
        </is>
      </c>
      <c r="B103" s="1" t="n">
        <v>46044.626875</v>
      </c>
      <c r="C103" s="1" t="n">
        <v>46092</v>
      </c>
      <c r="D103" t="inlineStr">
        <is>
          <t>UPPSALA LÄN</t>
        </is>
      </c>
      <c r="E103" t="inlineStr">
        <is>
          <t>ÄLVKARLEBY</t>
        </is>
      </c>
      <c r="F103" t="inlineStr">
        <is>
          <t>Bergvik skog öst AB</t>
        </is>
      </c>
      <c r="G103" t="n">
        <v>4.1</v>
      </c>
      <c r="H103" t="n">
        <v>0</v>
      </c>
      <c r="I103" t="n">
        <v>0</v>
      </c>
      <c r="J103" t="n">
        <v>0</v>
      </c>
      <c r="K103" t="n">
        <v>0</v>
      </c>
      <c r="L103" t="n">
        <v>0</v>
      </c>
      <c r="M103" t="n">
        <v>0</v>
      </c>
      <c r="N103" t="n">
        <v>0</v>
      </c>
      <c r="O103" t="n">
        <v>0</v>
      </c>
      <c r="P103" t="n">
        <v>0</v>
      </c>
      <c r="Q103" t="n">
        <v>0</v>
      </c>
      <c r="R103" s="2" t="inlineStr"/>
    </row>
    <row r="104" ht="15" customHeight="1">
      <c r="A104" t="inlineStr">
        <is>
          <t>A 8030-2025</t>
        </is>
      </c>
      <c r="B104" s="1" t="n">
        <v>45707.59064814815</v>
      </c>
      <c r="C104" s="1" t="n">
        <v>46092</v>
      </c>
      <c r="D104" t="inlineStr">
        <is>
          <t>UPPSALA LÄN</t>
        </is>
      </c>
      <c r="E104" t="inlineStr">
        <is>
          <t>ÄLVKARLEBY</t>
        </is>
      </c>
      <c r="F104" t="inlineStr">
        <is>
          <t>Bergvik skog väst AB</t>
        </is>
      </c>
      <c r="G104" t="n">
        <v>3.6</v>
      </c>
      <c r="H104" t="n">
        <v>0</v>
      </c>
      <c r="I104" t="n">
        <v>0</v>
      </c>
      <c r="J104" t="n">
        <v>0</v>
      </c>
      <c r="K104" t="n">
        <v>0</v>
      </c>
      <c r="L104" t="n">
        <v>0</v>
      </c>
      <c r="M104" t="n">
        <v>0</v>
      </c>
      <c r="N104" t="n">
        <v>0</v>
      </c>
      <c r="O104" t="n">
        <v>0</v>
      </c>
      <c r="P104" t="n">
        <v>0</v>
      </c>
      <c r="Q104" t="n">
        <v>0</v>
      </c>
      <c r="R104" s="2" t="inlineStr"/>
    </row>
    <row r="105" ht="15" customHeight="1">
      <c r="A105" t="inlineStr">
        <is>
          <t>A 36626-2025</t>
        </is>
      </c>
      <c r="B105" s="1" t="n">
        <v>45870.66732638889</v>
      </c>
      <c r="C105" s="1" t="n">
        <v>46092</v>
      </c>
      <c r="D105" t="inlineStr">
        <is>
          <t>UPPSALA LÄN</t>
        </is>
      </c>
      <c r="E105" t="inlineStr">
        <is>
          <t>ÄLVKARLEBY</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14590-2023</t>
        </is>
      </c>
      <c r="B106" s="1" t="n">
        <v>45013.54621527778</v>
      </c>
      <c r="C106" s="1" t="n">
        <v>46092</v>
      </c>
      <c r="D106" t="inlineStr">
        <is>
          <t>UPPSALA LÄN</t>
        </is>
      </c>
      <c r="E106" t="inlineStr">
        <is>
          <t>ÄLVKARLEBY</t>
        </is>
      </c>
      <c r="G106" t="n">
        <v>1.8</v>
      </c>
      <c r="H106" t="n">
        <v>0</v>
      </c>
      <c r="I106" t="n">
        <v>0</v>
      </c>
      <c r="J106" t="n">
        <v>0</v>
      </c>
      <c r="K106" t="n">
        <v>0</v>
      </c>
      <c r="L106" t="n">
        <v>0</v>
      </c>
      <c r="M106" t="n">
        <v>0</v>
      </c>
      <c r="N106" t="n">
        <v>0</v>
      </c>
      <c r="O106" t="n">
        <v>0</v>
      </c>
      <c r="P106" t="n">
        <v>0</v>
      </c>
      <c r="Q106" t="n">
        <v>0</v>
      </c>
      <c r="R106" s="2" t="inlineStr"/>
    </row>
    <row r="107" ht="15" customHeight="1">
      <c r="A107" t="inlineStr">
        <is>
          <t>A 7286-2023</t>
        </is>
      </c>
      <c r="B107" s="1" t="n">
        <v>44970</v>
      </c>
      <c r="C107" s="1" t="n">
        <v>46092</v>
      </c>
      <c r="D107" t="inlineStr">
        <is>
          <t>UPPSALA LÄN</t>
        </is>
      </c>
      <c r="E107" t="inlineStr">
        <is>
          <t>ÄLVKARLEBY</t>
        </is>
      </c>
      <c r="F107" t="inlineStr">
        <is>
          <t>Bergvik skog väst AB</t>
        </is>
      </c>
      <c r="G107" t="n">
        <v>2.5</v>
      </c>
      <c r="H107" t="n">
        <v>0</v>
      </c>
      <c r="I107" t="n">
        <v>0</v>
      </c>
      <c r="J107" t="n">
        <v>0</v>
      </c>
      <c r="K107" t="n">
        <v>0</v>
      </c>
      <c r="L107" t="n">
        <v>0</v>
      </c>
      <c r="M107" t="n">
        <v>0</v>
      </c>
      <c r="N107" t="n">
        <v>0</v>
      </c>
      <c r="O107" t="n">
        <v>0</v>
      </c>
      <c r="P107" t="n">
        <v>0</v>
      </c>
      <c r="Q107" t="n">
        <v>0</v>
      </c>
      <c r="R107" s="2" t="inlineStr"/>
    </row>
    <row r="108" ht="15" customHeight="1">
      <c r="A108" t="inlineStr">
        <is>
          <t>A 36216-2022</t>
        </is>
      </c>
      <c r="B108" s="1" t="n">
        <v>44803</v>
      </c>
      <c r="C108" s="1" t="n">
        <v>46092</v>
      </c>
      <c r="D108" t="inlineStr">
        <is>
          <t>UPPSALA LÄN</t>
        </is>
      </c>
      <c r="E108" t="inlineStr">
        <is>
          <t>ÄLVKARLEBY</t>
        </is>
      </c>
      <c r="F108" t="inlineStr">
        <is>
          <t>Bergvik skog väst AB</t>
        </is>
      </c>
      <c r="G108" t="n">
        <v>0.5</v>
      </c>
      <c r="H108" t="n">
        <v>0</v>
      </c>
      <c r="I108" t="n">
        <v>0</v>
      </c>
      <c r="J108" t="n">
        <v>0</v>
      </c>
      <c r="K108" t="n">
        <v>0</v>
      </c>
      <c r="L108" t="n">
        <v>0</v>
      </c>
      <c r="M108" t="n">
        <v>0</v>
      </c>
      <c r="N108" t="n">
        <v>0</v>
      </c>
      <c r="O108" t="n">
        <v>0</v>
      </c>
      <c r="P108" t="n">
        <v>0</v>
      </c>
      <c r="Q108" t="n">
        <v>0</v>
      </c>
      <c r="R108" s="2" t="inlineStr"/>
    </row>
    <row r="109" ht="15" customHeight="1">
      <c r="A109" t="inlineStr">
        <is>
          <t>A 16990-2022</t>
        </is>
      </c>
      <c r="B109" s="1" t="n">
        <v>44676.6122337963</v>
      </c>
      <c r="C109" s="1" t="n">
        <v>46092</v>
      </c>
      <c r="D109" t="inlineStr">
        <is>
          <t>UPPSALA LÄN</t>
        </is>
      </c>
      <c r="E109" t="inlineStr">
        <is>
          <t>ÄLVKARLEBY</t>
        </is>
      </c>
      <c r="F109" t="inlineStr">
        <is>
          <t>Bergvik skog väst AB</t>
        </is>
      </c>
      <c r="G109" t="n">
        <v>2.6</v>
      </c>
      <c r="H109" t="n">
        <v>0</v>
      </c>
      <c r="I109" t="n">
        <v>0</v>
      </c>
      <c r="J109" t="n">
        <v>0</v>
      </c>
      <c r="K109" t="n">
        <v>0</v>
      </c>
      <c r="L109" t="n">
        <v>0</v>
      </c>
      <c r="M109" t="n">
        <v>0</v>
      </c>
      <c r="N109" t="n">
        <v>0</v>
      </c>
      <c r="O109" t="n">
        <v>0</v>
      </c>
      <c r="P109" t="n">
        <v>0</v>
      </c>
      <c r="Q109" t="n">
        <v>0</v>
      </c>
      <c r="R109" s="2" t="inlineStr"/>
    </row>
    <row r="110" ht="15" customHeight="1">
      <c r="A110" t="inlineStr">
        <is>
          <t>A 38226-2023</t>
        </is>
      </c>
      <c r="B110" s="1" t="n">
        <v>45161</v>
      </c>
      <c r="C110" s="1" t="n">
        <v>46092</v>
      </c>
      <c r="D110" t="inlineStr">
        <is>
          <t>UPPSALA LÄN</t>
        </is>
      </c>
      <c r="E110" t="inlineStr">
        <is>
          <t>ÄLVKARLEBY</t>
        </is>
      </c>
      <c r="F110" t="inlineStr">
        <is>
          <t>Bergvik skog väst AB</t>
        </is>
      </c>
      <c r="G110" t="n">
        <v>4.5</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45428.70386574074</v>
      </c>
      <c r="C111" s="1" t="n">
        <v>46092</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3950-2025</t>
        </is>
      </c>
      <c r="B112" s="1" t="n">
        <v>45684</v>
      </c>
      <c r="C112" s="1" t="n">
        <v>46092</v>
      </c>
      <c r="D112" t="inlineStr">
        <is>
          <t>UPPSALA LÄN</t>
        </is>
      </c>
      <c r="E112" t="inlineStr">
        <is>
          <t>ÄLVKARLEBY</t>
        </is>
      </c>
      <c r="G112" t="n">
        <v>3.1</v>
      </c>
      <c r="H112" t="n">
        <v>0</v>
      </c>
      <c r="I112" t="n">
        <v>0</v>
      </c>
      <c r="J112" t="n">
        <v>0</v>
      </c>
      <c r="K112" t="n">
        <v>0</v>
      </c>
      <c r="L112" t="n">
        <v>0</v>
      </c>
      <c r="M112" t="n">
        <v>0</v>
      </c>
      <c r="N112" t="n">
        <v>0</v>
      </c>
      <c r="O112" t="n">
        <v>0</v>
      </c>
      <c r="P112" t="n">
        <v>0</v>
      </c>
      <c r="Q112" t="n">
        <v>0</v>
      </c>
      <c r="R112" s="2" t="inlineStr"/>
    </row>
    <row r="113" ht="15" customHeight="1">
      <c r="A113" t="inlineStr">
        <is>
          <t>A 19862-2025</t>
        </is>
      </c>
      <c r="B113" s="1" t="n">
        <v>45771.53560185185</v>
      </c>
      <c r="C113" s="1" t="n">
        <v>46092</v>
      </c>
      <c r="D113" t="inlineStr">
        <is>
          <t>UPPSALA LÄN</t>
        </is>
      </c>
      <c r="E113" t="inlineStr">
        <is>
          <t>ÄLVKARLEBY</t>
        </is>
      </c>
      <c r="F113" t="inlineStr">
        <is>
          <t>Kyrkan</t>
        </is>
      </c>
      <c r="G113" t="n">
        <v>3</v>
      </c>
      <c r="H113" t="n">
        <v>0</v>
      </c>
      <c r="I113" t="n">
        <v>0</v>
      </c>
      <c r="J113" t="n">
        <v>0</v>
      </c>
      <c r="K113" t="n">
        <v>0</v>
      </c>
      <c r="L113" t="n">
        <v>0</v>
      </c>
      <c r="M113" t="n">
        <v>0</v>
      </c>
      <c r="N113" t="n">
        <v>0</v>
      </c>
      <c r="O113" t="n">
        <v>0</v>
      </c>
      <c r="P113" t="n">
        <v>0</v>
      </c>
      <c r="Q113" t="n">
        <v>0</v>
      </c>
      <c r="R113" s="2" t="inlineStr"/>
    </row>
    <row r="114" ht="15" customHeight="1">
      <c r="A114" t="inlineStr">
        <is>
          <t>A 45372-2024</t>
        </is>
      </c>
      <c r="B114" s="1" t="n">
        <v>45576.51116898148</v>
      </c>
      <c r="C114" s="1" t="n">
        <v>46092</v>
      </c>
      <c r="D114" t="inlineStr">
        <is>
          <t>UPPSALA LÄN</t>
        </is>
      </c>
      <c r="E114" t="inlineStr">
        <is>
          <t>ÄLVKARLEBY</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41929-2024</t>
        </is>
      </c>
      <c r="B115" s="1" t="n">
        <v>45561</v>
      </c>
      <c r="C115" s="1" t="n">
        <v>46092</v>
      </c>
      <c r="D115" t="inlineStr">
        <is>
          <t>UPPSALA LÄN</t>
        </is>
      </c>
      <c r="E115" t="inlineStr">
        <is>
          <t>ÄLVKARLEBY</t>
        </is>
      </c>
      <c r="F115" t="inlineStr">
        <is>
          <t>Bergvik skog väst AB</t>
        </is>
      </c>
      <c r="G115" t="n">
        <v>4.9</v>
      </c>
      <c r="H115" t="n">
        <v>0</v>
      </c>
      <c r="I115" t="n">
        <v>0</v>
      </c>
      <c r="J115" t="n">
        <v>0</v>
      </c>
      <c r="K115" t="n">
        <v>0</v>
      </c>
      <c r="L115" t="n">
        <v>0</v>
      </c>
      <c r="M115" t="n">
        <v>0</v>
      </c>
      <c r="N115" t="n">
        <v>0</v>
      </c>
      <c r="O115" t="n">
        <v>0</v>
      </c>
      <c r="P115" t="n">
        <v>0</v>
      </c>
      <c r="Q115" t="n">
        <v>0</v>
      </c>
      <c r="R115" s="2" t="inlineStr"/>
    </row>
    <row r="116" ht="15" customHeight="1">
      <c r="A116" t="inlineStr">
        <is>
          <t>A 39791-2021</t>
        </is>
      </c>
      <c r="B116" s="1" t="n">
        <v>44417</v>
      </c>
      <c r="C116" s="1" t="n">
        <v>46092</v>
      </c>
      <c r="D116" t="inlineStr">
        <is>
          <t>UPPSALA LÄN</t>
        </is>
      </c>
      <c r="E116" t="inlineStr">
        <is>
          <t>ÄLVKARLEBY</t>
        </is>
      </c>
      <c r="G116" t="n">
        <v>1.8</v>
      </c>
      <c r="H116" t="n">
        <v>0</v>
      </c>
      <c r="I116" t="n">
        <v>0</v>
      </c>
      <c r="J116" t="n">
        <v>0</v>
      </c>
      <c r="K116" t="n">
        <v>0</v>
      </c>
      <c r="L116" t="n">
        <v>0</v>
      </c>
      <c r="M116" t="n">
        <v>0</v>
      </c>
      <c r="N116" t="n">
        <v>0</v>
      </c>
      <c r="O116" t="n">
        <v>0</v>
      </c>
      <c r="P116" t="n">
        <v>0</v>
      </c>
      <c r="Q116" t="n">
        <v>0</v>
      </c>
      <c r="R116" s="2" t="inlineStr"/>
    </row>
    <row r="117" ht="15" customHeight="1">
      <c r="A117" t="inlineStr">
        <is>
          <t>A 26815-2022</t>
        </is>
      </c>
      <c r="B117" s="1" t="n">
        <v>44740.44644675926</v>
      </c>
      <c r="C117" s="1" t="n">
        <v>46092</v>
      </c>
      <c r="D117" t="inlineStr">
        <is>
          <t>UPPSALA LÄN</t>
        </is>
      </c>
      <c r="E117" t="inlineStr">
        <is>
          <t>ÄLVKARLEBY</t>
        </is>
      </c>
      <c r="G117" t="n">
        <v>5.8</v>
      </c>
      <c r="H117" t="n">
        <v>0</v>
      </c>
      <c r="I117" t="n">
        <v>0</v>
      </c>
      <c r="J117" t="n">
        <v>0</v>
      </c>
      <c r="K117" t="n">
        <v>0</v>
      </c>
      <c r="L117" t="n">
        <v>0</v>
      </c>
      <c r="M117" t="n">
        <v>0</v>
      </c>
      <c r="N117" t="n">
        <v>0</v>
      </c>
      <c r="O117" t="n">
        <v>0</v>
      </c>
      <c r="P117" t="n">
        <v>0</v>
      </c>
      <c r="Q117" t="n">
        <v>0</v>
      </c>
      <c r="R117" s="2" t="inlineStr"/>
    </row>
    <row r="118" ht="15" customHeight="1">
      <c r="A118" t="inlineStr">
        <is>
          <t>A 8031-2025</t>
        </is>
      </c>
      <c r="B118" s="1" t="n">
        <v>45707.59112268518</v>
      </c>
      <c r="C118" s="1" t="n">
        <v>46092</v>
      </c>
      <c r="D118" t="inlineStr">
        <is>
          <t>UPPSALA LÄN</t>
        </is>
      </c>
      <c r="E118" t="inlineStr">
        <is>
          <t>ÄLVKARLEBY</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41272-2023</t>
        </is>
      </c>
      <c r="B119" s="1" t="n">
        <v>45174</v>
      </c>
      <c r="C119" s="1" t="n">
        <v>46092</v>
      </c>
      <c r="D119" t="inlineStr">
        <is>
          <t>UPPSALA LÄN</t>
        </is>
      </c>
      <c r="E119" t="inlineStr">
        <is>
          <t>ÄLVKARLEBY</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41276-2023</t>
        </is>
      </c>
      <c r="B120" s="1" t="n">
        <v>45174</v>
      </c>
      <c r="C120" s="1" t="n">
        <v>46092</v>
      </c>
      <c r="D120" t="inlineStr">
        <is>
          <t>UPPSALA LÄN</t>
        </is>
      </c>
      <c r="E120" t="inlineStr">
        <is>
          <t>ÄLVKARLEBY</t>
        </is>
      </c>
      <c r="F120" t="inlineStr">
        <is>
          <t>Bergvik skog väst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46092</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c r="A122" t="inlineStr">
        <is>
          <t>A 19697-2025</t>
        </is>
      </c>
      <c r="B122" s="1" t="n">
        <v>45771</v>
      </c>
      <c r="C122" s="1" t="n">
        <v>46092</v>
      </c>
      <c r="D122" t="inlineStr">
        <is>
          <t>UPPSALA LÄN</t>
        </is>
      </c>
      <c r="E122" t="inlineStr">
        <is>
          <t>ÄLVKARLEBY</t>
        </is>
      </c>
      <c r="F122" t="inlineStr">
        <is>
          <t>Bergvik skog väst AB</t>
        </is>
      </c>
      <c r="G122" t="n">
        <v>3.3</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2026-03-11T11:22:19Z</dcterms:created>
  <dcterms:modified xmlns:dcterms="http://purl.org/dc/terms/" xmlns:xsi="http://www.w3.org/2001/XMLSchema-instance" xsi:type="dcterms:W3CDTF">2026-03-11T11:22:19Z</dcterms:modified>
</cp:coreProperties>
</file>