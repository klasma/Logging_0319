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46198</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46198</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51149-2025</t>
        </is>
      </c>
      <c r="B4" s="1" t="n">
        <v>45947</v>
      </c>
      <c r="C4" s="1" t="n">
        <v>46198</v>
      </c>
      <c r="D4" t="inlineStr">
        <is>
          <t>UPPSALA LÄN</t>
        </is>
      </c>
      <c r="E4" t="inlineStr">
        <is>
          <t>ÄLVKARLEBY</t>
        </is>
      </c>
      <c r="F4" t="inlineStr">
        <is>
          <t>Bergvik skog väst AB</t>
        </is>
      </c>
      <c r="G4" t="n">
        <v>2.9</v>
      </c>
      <c r="H4" t="n">
        <v>2</v>
      </c>
      <c r="I4" t="n">
        <v>7</v>
      </c>
      <c r="J4" t="n">
        <v>3</v>
      </c>
      <c r="K4" t="n">
        <v>1</v>
      </c>
      <c r="L4" t="n">
        <v>0</v>
      </c>
      <c r="M4" t="n">
        <v>0</v>
      </c>
      <c r="N4" t="n">
        <v>0</v>
      </c>
      <c r="O4" t="n">
        <v>4</v>
      </c>
      <c r="P4" t="n">
        <v>1</v>
      </c>
      <c r="Q4" t="n">
        <v>12</v>
      </c>
      <c r="R4" s="2" t="inlineStr">
        <is>
          <t>Läderdoftande fingersvamp
Svart taggsvamp
Ullticka
Vårärt
Guldlockmossa
Mindre märgborre
Mörk husmossa
Platt fjädermossa
Skogsknipprot
Stubbspretmossa
Tibast
Blåsippa</t>
        </is>
      </c>
      <c r="S4">
        <f>HYPERLINK("https://klasma.github.io/Logging_0319/artfynd/A 51149-2025 artfynd.xlsx", "A 51149-2025")</f>
        <v/>
      </c>
      <c r="T4">
        <f>HYPERLINK("https://klasma.github.io/Logging_0319/kartor/A 51149-2025 karta.png", "A 51149-2025")</f>
        <v/>
      </c>
      <c r="V4">
        <f>HYPERLINK("https://klasma.github.io/Logging_0319/klagomål/A 51149-2025 FSC-klagomål.docx", "A 51149-2025")</f>
        <v/>
      </c>
      <c r="W4">
        <f>HYPERLINK("https://klasma.github.io/Logging_0319/klagomålsmail/A 51149-2025 FSC-klagomål mail.docx", "A 51149-2025")</f>
        <v/>
      </c>
      <c r="X4">
        <f>HYPERLINK("https://klasma.github.io/Logging_0319/tillsyn/A 51149-2025 tillsynsbegäran.docx", "A 51149-2025")</f>
        <v/>
      </c>
      <c r="Y4">
        <f>HYPERLINK("https://klasma.github.io/Logging_0319/tillsynsmail/A 51149-2025 tillsynsbegäran mail.docx", "A 51149-2025")</f>
        <v/>
      </c>
    </row>
    <row r="5" ht="15" customHeight="1">
      <c r="A5" t="inlineStr">
        <is>
          <t>A 27330-2025</t>
        </is>
      </c>
      <c r="B5" s="1" t="n">
        <v>45812</v>
      </c>
      <c r="C5" s="1" t="n">
        <v>46198</v>
      </c>
      <c r="D5" t="inlineStr">
        <is>
          <t>UPPSALA LÄN</t>
        </is>
      </c>
      <c r="E5" t="inlineStr">
        <is>
          <t>ÄLVKARLEBY</t>
        </is>
      </c>
      <c r="F5" t="inlineStr">
        <is>
          <t>Bergvik skog väst AB</t>
        </is>
      </c>
      <c r="G5" t="n">
        <v>0.5</v>
      </c>
      <c r="H5" t="n">
        <v>1</v>
      </c>
      <c r="I5" t="n">
        <v>0</v>
      </c>
      <c r="J5" t="n">
        <v>3</v>
      </c>
      <c r="K5" t="n">
        <v>7</v>
      </c>
      <c r="L5" t="n">
        <v>1</v>
      </c>
      <c r="M5" t="n">
        <v>0</v>
      </c>
      <c r="N5" t="n">
        <v>0</v>
      </c>
      <c r="O5" t="n">
        <v>11</v>
      </c>
      <c r="P5" t="n">
        <v>8</v>
      </c>
      <c r="Q5" t="n">
        <v>12</v>
      </c>
      <c r="R5" s="2" t="inlineStr">
        <is>
          <t>Bitter taggsvamp
Bredbrämad bastardsvärmare
Frygisk spindling
Grangråticka
Kopparspindling
Mindre bastardsvärmare
Sexfläckig bastardsvärmare
Tvillingspindling
Rosenticka
Skarp dropptaggsvamp
Tallfingersvamp
Nattviol</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46198</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46198</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3949-2025</t>
        </is>
      </c>
      <c r="B8" s="1" t="n">
        <v>45684</v>
      </c>
      <c r="C8" s="1" t="n">
        <v>46198</v>
      </c>
      <c r="D8" t="inlineStr">
        <is>
          <t>UPPSALA LÄN</t>
        </is>
      </c>
      <c r="E8" t="inlineStr">
        <is>
          <t>ÄLVKARLEBY</t>
        </is>
      </c>
      <c r="G8" t="n">
        <v>5.2</v>
      </c>
      <c r="H8" t="n">
        <v>6</v>
      </c>
      <c r="I8" t="n">
        <v>2</v>
      </c>
      <c r="J8" t="n">
        <v>1</v>
      </c>
      <c r="K8" t="n">
        <v>2</v>
      </c>
      <c r="L8" t="n">
        <v>0</v>
      </c>
      <c r="M8" t="n">
        <v>0</v>
      </c>
      <c r="N8" t="n">
        <v>0</v>
      </c>
      <c r="O8" t="n">
        <v>3</v>
      </c>
      <c r="P8" t="n">
        <v>2</v>
      </c>
      <c r="Q8" t="n">
        <v>9</v>
      </c>
      <c r="R8" s="2" t="inlineStr">
        <is>
          <t>Sanddraba
Toppjungfrulin
Vanlig sandviol
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v>
      </c>
      <c r="C9" s="1" t="n">
        <v>46198</v>
      </c>
      <c r="D9" t="inlineStr">
        <is>
          <t>UPPSALA LÄN</t>
        </is>
      </c>
      <c r="E9" t="inlineStr">
        <is>
          <t>ÄLVKARLEBY</t>
        </is>
      </c>
      <c r="G9" t="n">
        <v>6.9</v>
      </c>
      <c r="H9" t="n">
        <v>4</v>
      </c>
      <c r="I9" t="n">
        <v>3</v>
      </c>
      <c r="J9" t="n">
        <v>2</v>
      </c>
      <c r="K9" t="n">
        <v>3</v>
      </c>
      <c r="L9" t="n">
        <v>0</v>
      </c>
      <c r="M9" t="n">
        <v>0</v>
      </c>
      <c r="N9" t="n">
        <v>0</v>
      </c>
      <c r="O9" t="n">
        <v>5</v>
      </c>
      <c r="P9" t="n">
        <v>3</v>
      </c>
      <c r="Q9" t="n">
        <v>9</v>
      </c>
      <c r="R9" s="2" t="inlineStr">
        <is>
          <t>Grangråticka
Knärot
Kopparspindling
Tretåig hackspett
Vedtrappmossa
Nästrot
Svart trolldruva
Trådfräken
Blåsippa</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34798-2024</t>
        </is>
      </c>
      <c r="B10" s="1" t="n">
        <v>45526</v>
      </c>
      <c r="C10" s="1" t="n">
        <v>46198</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46198</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46198</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46198</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58480-2025</t>
        </is>
      </c>
      <c r="B14" s="1" t="n">
        <v>45985</v>
      </c>
      <c r="C14" s="1" t="n">
        <v>46198</v>
      </c>
      <c r="D14" t="inlineStr">
        <is>
          <t>UPPSALA LÄN</t>
        </is>
      </c>
      <c r="E14" t="inlineStr">
        <is>
          <t>ÄLVKARLEBY</t>
        </is>
      </c>
      <c r="F14" t="inlineStr">
        <is>
          <t>Bergvik skog väst AB</t>
        </is>
      </c>
      <c r="G14" t="n">
        <v>4.1</v>
      </c>
      <c r="H14" t="n">
        <v>1</v>
      </c>
      <c r="I14" t="n">
        <v>3</v>
      </c>
      <c r="J14" t="n">
        <v>0</v>
      </c>
      <c r="K14" t="n">
        <v>1</v>
      </c>
      <c r="L14" t="n">
        <v>0</v>
      </c>
      <c r="M14" t="n">
        <v>0</v>
      </c>
      <c r="N14" t="n">
        <v>0</v>
      </c>
      <c r="O14" t="n">
        <v>1</v>
      </c>
      <c r="P14" t="n">
        <v>1</v>
      </c>
      <c r="Q14" t="n">
        <v>4</v>
      </c>
      <c r="R14" s="2" t="inlineStr">
        <is>
          <t>Knärot
Svart trolldruva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62278-2025</t>
        </is>
      </c>
      <c r="B15" s="1" t="n">
        <v>46006</v>
      </c>
      <c r="C15" s="1" t="n">
        <v>46198</v>
      </c>
      <c r="D15" t="inlineStr">
        <is>
          <t>UPPSALA LÄN</t>
        </is>
      </c>
      <c r="E15" t="inlineStr">
        <is>
          <t>ÄLVKARLEBY</t>
        </is>
      </c>
      <c r="F15" t="inlineStr">
        <is>
          <t>Bergvik skog väst AB</t>
        </is>
      </c>
      <c r="G15" t="n">
        <v>6.3</v>
      </c>
      <c r="H15" t="n">
        <v>1</v>
      </c>
      <c r="I15" t="n">
        <v>0</v>
      </c>
      <c r="J15" t="n">
        <v>3</v>
      </c>
      <c r="K15" t="n">
        <v>1</v>
      </c>
      <c r="L15" t="n">
        <v>0</v>
      </c>
      <c r="M15" t="n">
        <v>0</v>
      </c>
      <c r="N15" t="n">
        <v>0</v>
      </c>
      <c r="O15" t="n">
        <v>4</v>
      </c>
      <c r="P15" t="n">
        <v>1</v>
      </c>
      <c r="Q15" t="n">
        <v>4</v>
      </c>
      <c r="R15" s="2" t="inlineStr">
        <is>
          <t>Knärot
Rökfingersvamp
Vanlig sandviol
Vårstarr</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39791-2021</t>
        </is>
      </c>
      <c r="B16" s="1" t="n">
        <v>44417</v>
      </c>
      <c r="C16" s="1" t="n">
        <v>46198</v>
      </c>
      <c r="D16" t="inlineStr">
        <is>
          <t>UPPSALA LÄN</t>
        </is>
      </c>
      <c r="E16" t="inlineStr">
        <is>
          <t>ÄLVKARLEBY</t>
        </is>
      </c>
      <c r="G16" t="n">
        <v>1.8</v>
      </c>
      <c r="H16" t="n">
        <v>3</v>
      </c>
      <c r="I16" t="n">
        <v>2</v>
      </c>
      <c r="J16" t="n">
        <v>1</v>
      </c>
      <c r="K16" t="n">
        <v>0</v>
      </c>
      <c r="L16" t="n">
        <v>0</v>
      </c>
      <c r="M16" t="n">
        <v>0</v>
      </c>
      <c r="N16" t="n">
        <v>0</v>
      </c>
      <c r="O16" t="n">
        <v>1</v>
      </c>
      <c r="P16" t="n">
        <v>0</v>
      </c>
      <c r="Q16" t="n">
        <v>4</v>
      </c>
      <c r="R16" s="2" t="inlineStr">
        <is>
          <t>Klasefibbla
Skogsknipprot
Tvåblad
Blåsippa</t>
        </is>
      </c>
      <c r="S16">
        <f>HYPERLINK("https://klasma.github.io/Logging_0319/artfynd/A 39791-2021 artfynd.xlsx", "A 39791-2021")</f>
        <v/>
      </c>
      <c r="T16">
        <f>HYPERLINK("https://klasma.github.io/Logging_0319/kartor/A 39791-2021 karta.png", "A 39791-2021")</f>
        <v/>
      </c>
      <c r="V16">
        <f>HYPERLINK("https://klasma.github.io/Logging_0319/klagomål/A 39791-2021 FSC-klagomål.docx", "A 39791-2021")</f>
        <v/>
      </c>
      <c r="W16">
        <f>HYPERLINK("https://klasma.github.io/Logging_0319/klagomålsmail/A 39791-2021 FSC-klagomål mail.docx", "A 39791-2021")</f>
        <v/>
      </c>
      <c r="X16">
        <f>HYPERLINK("https://klasma.github.io/Logging_0319/tillsyn/A 39791-2021 tillsynsbegäran.docx", "A 39791-2021")</f>
        <v/>
      </c>
      <c r="Y16">
        <f>HYPERLINK("https://klasma.github.io/Logging_0319/tillsynsmail/A 39791-2021 tillsynsbegäran mail.docx", "A 39791-2021")</f>
        <v/>
      </c>
    </row>
    <row r="17" ht="15" customHeight="1">
      <c r="A17" t="inlineStr">
        <is>
          <t>A 61685-2025</t>
        </is>
      </c>
      <c r="B17" s="1" t="n">
        <v>46002</v>
      </c>
      <c r="C17" s="1" t="n">
        <v>46198</v>
      </c>
      <c r="D17" t="inlineStr">
        <is>
          <t>UPPSALA LÄN</t>
        </is>
      </c>
      <c r="E17" t="inlineStr">
        <is>
          <t>ÄLVKARLEBY</t>
        </is>
      </c>
      <c r="F17" t="inlineStr">
        <is>
          <t>Bergvik skog öst AB</t>
        </is>
      </c>
      <c r="G17" t="n">
        <v>1</v>
      </c>
      <c r="H17" t="n">
        <v>2</v>
      </c>
      <c r="I17" t="n">
        <v>1</v>
      </c>
      <c r="J17" t="n">
        <v>1</v>
      </c>
      <c r="K17" t="n">
        <v>0</v>
      </c>
      <c r="L17" t="n">
        <v>0</v>
      </c>
      <c r="M17" t="n">
        <v>0</v>
      </c>
      <c r="N17" t="n">
        <v>0</v>
      </c>
      <c r="O17" t="n">
        <v>1</v>
      </c>
      <c r="P17" t="n">
        <v>0</v>
      </c>
      <c r="Q17" t="n">
        <v>3</v>
      </c>
      <c r="R17" s="2" t="inlineStr">
        <is>
          <t>Klasefibbla
Tvåblad
Kärrknipprot</t>
        </is>
      </c>
      <c r="S17">
        <f>HYPERLINK("https://klasma.github.io/Logging_0319/artfynd/A 61685-2025 artfynd.xlsx", "A 61685-2025")</f>
        <v/>
      </c>
      <c r="T17">
        <f>HYPERLINK("https://klasma.github.io/Logging_0319/kartor/A 61685-2025 karta.png", "A 61685-2025")</f>
        <v/>
      </c>
      <c r="V17">
        <f>HYPERLINK("https://klasma.github.io/Logging_0319/klagomål/A 61685-2025 FSC-klagomål.docx", "A 61685-2025")</f>
        <v/>
      </c>
      <c r="W17">
        <f>HYPERLINK("https://klasma.github.io/Logging_0319/klagomålsmail/A 61685-2025 FSC-klagomål mail.docx", "A 61685-2025")</f>
        <v/>
      </c>
      <c r="X17">
        <f>HYPERLINK("https://klasma.github.io/Logging_0319/tillsyn/A 61685-2025 tillsynsbegäran.docx", "A 61685-2025")</f>
        <v/>
      </c>
      <c r="Y17">
        <f>HYPERLINK("https://klasma.github.io/Logging_0319/tillsynsmail/A 61685-2025 tillsynsbegäran mail.docx", "A 61685-2025")</f>
        <v/>
      </c>
    </row>
    <row r="18" ht="15" customHeight="1">
      <c r="A18" t="inlineStr">
        <is>
          <t>A 61693-2025</t>
        </is>
      </c>
      <c r="B18" s="1" t="n">
        <v>46002</v>
      </c>
      <c r="C18" s="1" t="n">
        <v>46198</v>
      </c>
      <c r="D18" t="inlineStr">
        <is>
          <t>UPPSALA LÄN</t>
        </is>
      </c>
      <c r="E18" t="inlineStr">
        <is>
          <t>ÄLVKARLEBY</t>
        </is>
      </c>
      <c r="F18" t="inlineStr">
        <is>
          <t>Bergvik skog öst AB</t>
        </is>
      </c>
      <c r="G18" t="n">
        <v>9.199999999999999</v>
      </c>
      <c r="H18" t="n">
        <v>0</v>
      </c>
      <c r="I18" t="n">
        <v>1</v>
      </c>
      <c r="J18" t="n">
        <v>2</v>
      </c>
      <c r="K18" t="n">
        <v>0</v>
      </c>
      <c r="L18" t="n">
        <v>0</v>
      </c>
      <c r="M18" t="n">
        <v>0</v>
      </c>
      <c r="N18" t="n">
        <v>0</v>
      </c>
      <c r="O18" t="n">
        <v>2</v>
      </c>
      <c r="P18" t="n">
        <v>0</v>
      </c>
      <c r="Q18" t="n">
        <v>3</v>
      </c>
      <c r="R18" s="2" t="inlineStr">
        <is>
          <t>Sårläka
Vedtrappmossa
Brandticka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21700-2024</t>
        </is>
      </c>
      <c r="B19" s="1" t="n">
        <v>45442</v>
      </c>
      <c r="C19" s="1" t="n">
        <v>46198</v>
      </c>
      <c r="D19" t="inlineStr">
        <is>
          <t>UPPSALA LÄN</t>
        </is>
      </c>
      <c r="E19" t="inlineStr">
        <is>
          <t>ÄLVKARLEBY</t>
        </is>
      </c>
      <c r="F19" t="inlineStr">
        <is>
          <t>Bergvik skog väst AB</t>
        </is>
      </c>
      <c r="G19" t="n">
        <v>1.1</v>
      </c>
      <c r="H19" t="n">
        <v>0</v>
      </c>
      <c r="I19" t="n">
        <v>1</v>
      </c>
      <c r="J19" t="n">
        <v>1</v>
      </c>
      <c r="K19" t="n">
        <v>1</v>
      </c>
      <c r="L19" t="n">
        <v>0</v>
      </c>
      <c r="M19" t="n">
        <v>0</v>
      </c>
      <c r="N19" t="n">
        <v>0</v>
      </c>
      <c r="O19" t="n">
        <v>2</v>
      </c>
      <c r="P19" t="n">
        <v>1</v>
      </c>
      <c r="Q19" t="n">
        <v>3</v>
      </c>
      <c r="R19" s="2" t="inlineStr">
        <is>
          <t>Töcknig trymal
Skuggorangelav
Scharlakansvårskål agg.</t>
        </is>
      </c>
      <c r="S19">
        <f>HYPERLINK("https://klasma.github.io/Logging_0319/artfynd/A 21700-2024 artfynd.xlsx", "A 21700-2024")</f>
        <v/>
      </c>
      <c r="T19">
        <f>HYPERLINK("https://klasma.github.io/Logging_0319/kartor/A 21700-2024 karta.png", "A 21700-2024")</f>
        <v/>
      </c>
      <c r="V19">
        <f>HYPERLINK("https://klasma.github.io/Logging_0319/klagomål/A 21700-2024 FSC-klagomål.docx", "A 21700-2024")</f>
        <v/>
      </c>
      <c r="W19">
        <f>HYPERLINK("https://klasma.github.io/Logging_0319/klagomålsmail/A 21700-2024 FSC-klagomål mail.docx", "A 21700-2024")</f>
        <v/>
      </c>
      <c r="X19">
        <f>HYPERLINK("https://klasma.github.io/Logging_0319/tillsyn/A 21700-2024 tillsynsbegäran.docx", "A 21700-2024")</f>
        <v/>
      </c>
      <c r="Y19">
        <f>HYPERLINK("https://klasma.github.io/Logging_0319/tillsynsmail/A 21700-2024 tillsynsbegäran mail.docx", "A 21700-2024")</f>
        <v/>
      </c>
    </row>
    <row r="20" ht="15" customHeight="1">
      <c r="A20" t="inlineStr">
        <is>
          <t>A 58485-2025</t>
        </is>
      </c>
      <c r="B20" s="1" t="n">
        <v>45985</v>
      </c>
      <c r="C20" s="1" t="n">
        <v>46198</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4132-2026</t>
        </is>
      </c>
      <c r="B21" s="1" t="n">
        <v>46044</v>
      </c>
      <c r="C21" s="1" t="n">
        <v>46198</v>
      </c>
      <c r="D21" t="inlineStr">
        <is>
          <t>UPPSALA LÄN</t>
        </is>
      </c>
      <c r="E21" t="inlineStr">
        <is>
          <t>ÄLVKARLEBY</t>
        </is>
      </c>
      <c r="F21" t="inlineStr">
        <is>
          <t>Bergvik skog öst AB</t>
        </is>
      </c>
      <c r="G21" t="n">
        <v>12.2</v>
      </c>
      <c r="H21" t="n">
        <v>2</v>
      </c>
      <c r="I21" t="n">
        <v>1</v>
      </c>
      <c r="J21" t="n">
        <v>0</v>
      </c>
      <c r="K21" t="n">
        <v>1</v>
      </c>
      <c r="L21" t="n">
        <v>0</v>
      </c>
      <c r="M21" t="n">
        <v>0</v>
      </c>
      <c r="N21" t="n">
        <v>0</v>
      </c>
      <c r="O21" t="n">
        <v>1</v>
      </c>
      <c r="P21" t="n">
        <v>1</v>
      </c>
      <c r="Q21" t="n">
        <v>2</v>
      </c>
      <c r="R21" s="2" t="inlineStr">
        <is>
          <t>Bredgentiana
Nästrot</t>
        </is>
      </c>
      <c r="S21">
        <f>HYPERLINK("https://klasma.github.io/Logging_0319/artfynd/A 4132-2026 artfynd.xlsx", "A 4132-2026")</f>
        <v/>
      </c>
      <c r="T21">
        <f>HYPERLINK("https://klasma.github.io/Logging_0319/kartor/A 4132-2026 karta.png", "A 4132-2026")</f>
        <v/>
      </c>
      <c r="V21">
        <f>HYPERLINK("https://klasma.github.io/Logging_0319/klagomål/A 4132-2026 FSC-klagomål.docx", "A 4132-2026")</f>
        <v/>
      </c>
      <c r="W21">
        <f>HYPERLINK("https://klasma.github.io/Logging_0319/klagomålsmail/A 4132-2026 FSC-klagomål mail.docx", "A 4132-2026")</f>
        <v/>
      </c>
      <c r="X21">
        <f>HYPERLINK("https://klasma.github.io/Logging_0319/tillsyn/A 4132-2026 tillsynsbegäran.docx", "A 4132-2026")</f>
        <v/>
      </c>
      <c r="Y21">
        <f>HYPERLINK("https://klasma.github.io/Logging_0319/tillsynsmail/A 4132-2026 tillsynsbegäran mail.docx", "A 4132-2026")</f>
        <v/>
      </c>
    </row>
    <row r="22" ht="15" customHeight="1">
      <c r="A22" t="inlineStr">
        <is>
          <t>A 4133-2026</t>
        </is>
      </c>
      <c r="B22" s="1" t="n">
        <v>46044</v>
      </c>
      <c r="C22" s="1" t="n">
        <v>46198</v>
      </c>
      <c r="D22" t="inlineStr">
        <is>
          <t>UPPSALA LÄN</t>
        </is>
      </c>
      <c r="E22" t="inlineStr">
        <is>
          <t>ÄLVKARLEBY</t>
        </is>
      </c>
      <c r="F22" t="inlineStr">
        <is>
          <t>Bergvik skog öst AB</t>
        </is>
      </c>
      <c r="G22" t="n">
        <v>4.1</v>
      </c>
      <c r="H22" t="n">
        <v>2</v>
      </c>
      <c r="I22" t="n">
        <v>1</v>
      </c>
      <c r="J22" t="n">
        <v>0</v>
      </c>
      <c r="K22" t="n">
        <v>0</v>
      </c>
      <c r="L22" t="n">
        <v>0</v>
      </c>
      <c r="M22" t="n">
        <v>0</v>
      </c>
      <c r="N22" t="n">
        <v>0</v>
      </c>
      <c r="O22" t="n">
        <v>0</v>
      </c>
      <c r="P22" t="n">
        <v>0</v>
      </c>
      <c r="Q22" t="n">
        <v>2</v>
      </c>
      <c r="R22" s="2" t="inlineStr">
        <is>
          <t>Tvåblad
Grönvit nattviol</t>
        </is>
      </c>
      <c r="S22">
        <f>HYPERLINK("https://klasma.github.io/Logging_0319/artfynd/A 4133-2026 artfynd.xlsx", "A 4133-2026")</f>
        <v/>
      </c>
      <c r="T22">
        <f>HYPERLINK("https://klasma.github.io/Logging_0319/kartor/A 4133-2026 karta.png", "A 4133-2026")</f>
        <v/>
      </c>
      <c r="V22">
        <f>HYPERLINK("https://klasma.github.io/Logging_0319/klagomål/A 4133-2026 FSC-klagomål.docx", "A 4133-2026")</f>
        <v/>
      </c>
      <c r="W22">
        <f>HYPERLINK("https://klasma.github.io/Logging_0319/klagomålsmail/A 4133-2026 FSC-klagomål mail.docx", "A 4133-2026")</f>
        <v/>
      </c>
      <c r="X22">
        <f>HYPERLINK("https://klasma.github.io/Logging_0319/tillsyn/A 4133-2026 tillsynsbegäran.docx", "A 4133-2026")</f>
        <v/>
      </c>
      <c r="Y22">
        <f>HYPERLINK("https://klasma.github.io/Logging_0319/tillsynsmail/A 4133-2026 tillsynsbegäran mail.docx", "A 4133-2026")</f>
        <v/>
      </c>
    </row>
    <row r="23" ht="15" customHeight="1">
      <c r="A23" t="inlineStr">
        <is>
          <t>A 15739-2025</t>
        </is>
      </c>
      <c r="B23" s="1" t="n">
        <v>45748</v>
      </c>
      <c r="C23" s="1" t="n">
        <v>46198</v>
      </c>
      <c r="D23" t="inlineStr">
        <is>
          <t>UPPSALA LÄN</t>
        </is>
      </c>
      <c r="E23" t="inlineStr">
        <is>
          <t>ÄLVKARLEBY</t>
        </is>
      </c>
      <c r="F23" t="inlineStr">
        <is>
          <t>Kyrkan</t>
        </is>
      </c>
      <c r="G23" t="n">
        <v>2.4</v>
      </c>
      <c r="H23" t="n">
        <v>0</v>
      </c>
      <c r="I23" t="n">
        <v>0</v>
      </c>
      <c r="J23" t="n">
        <v>2</v>
      </c>
      <c r="K23" t="n">
        <v>0</v>
      </c>
      <c r="L23" t="n">
        <v>0</v>
      </c>
      <c r="M23" t="n">
        <v>0</v>
      </c>
      <c r="N23" t="n">
        <v>0</v>
      </c>
      <c r="O23" t="n">
        <v>2</v>
      </c>
      <c r="P23" t="n">
        <v>0</v>
      </c>
      <c r="Q23" t="n">
        <v>2</v>
      </c>
      <c r="R23" s="2" t="inlineStr">
        <is>
          <t>Brunklöver
Slåtterfibbla</t>
        </is>
      </c>
      <c r="S23">
        <f>HYPERLINK("https://klasma.github.io/Logging_0319/artfynd/A 15739-2025 artfynd.xlsx", "A 15739-2025")</f>
        <v/>
      </c>
      <c r="T23">
        <f>HYPERLINK("https://klasma.github.io/Logging_0319/kartor/A 15739-2025 karta.png", "A 15739-2025")</f>
        <v/>
      </c>
      <c r="V23">
        <f>HYPERLINK("https://klasma.github.io/Logging_0319/klagomål/A 15739-2025 FSC-klagomål.docx", "A 15739-2025")</f>
        <v/>
      </c>
      <c r="W23">
        <f>HYPERLINK("https://klasma.github.io/Logging_0319/klagomålsmail/A 15739-2025 FSC-klagomål mail.docx", "A 15739-2025")</f>
        <v/>
      </c>
      <c r="X23">
        <f>HYPERLINK("https://klasma.github.io/Logging_0319/tillsyn/A 15739-2025 tillsynsbegäran.docx", "A 15739-2025")</f>
        <v/>
      </c>
      <c r="Y23">
        <f>HYPERLINK("https://klasma.github.io/Logging_0319/tillsynsmail/A 15739-2025 tillsynsbegäran mail.docx", "A 15739-2025")</f>
        <v/>
      </c>
    </row>
    <row r="24" ht="15" customHeight="1">
      <c r="A24" t="inlineStr">
        <is>
          <t>A 10455-2022</t>
        </is>
      </c>
      <c r="B24" s="1" t="n">
        <v>44623</v>
      </c>
      <c r="C24" s="1" t="n">
        <v>46198</v>
      </c>
      <c r="D24" t="inlineStr">
        <is>
          <t>UPPSALA LÄN</t>
        </is>
      </c>
      <c r="E24" t="inlineStr">
        <is>
          <t>ÄLVKARLEBY</t>
        </is>
      </c>
      <c r="F24" t="inlineStr">
        <is>
          <t>Bergvik skog öst AB</t>
        </is>
      </c>
      <c r="G24" t="n">
        <v>1.1</v>
      </c>
      <c r="H24" t="n">
        <v>0</v>
      </c>
      <c r="I24" t="n">
        <v>0</v>
      </c>
      <c r="J24" t="n">
        <v>1</v>
      </c>
      <c r="K24" t="n">
        <v>0</v>
      </c>
      <c r="L24" t="n">
        <v>0</v>
      </c>
      <c r="M24" t="n">
        <v>0</v>
      </c>
      <c r="N24" t="n">
        <v>0</v>
      </c>
      <c r="O24" t="n">
        <v>1</v>
      </c>
      <c r="P24" t="n">
        <v>0</v>
      </c>
      <c r="Q24" t="n">
        <v>1</v>
      </c>
      <c r="R24" s="2" t="inlineStr">
        <is>
          <t>Sandviol</t>
        </is>
      </c>
      <c r="S24">
        <f>HYPERLINK("https://klasma.github.io/Logging_0319/artfynd/A 10455-2022 artfynd.xlsx", "A 10455-2022")</f>
        <v/>
      </c>
      <c r="T24">
        <f>HYPERLINK("https://klasma.github.io/Logging_0319/kartor/A 10455-2022 karta.png", "A 10455-2022")</f>
        <v/>
      </c>
      <c r="V24">
        <f>HYPERLINK("https://klasma.github.io/Logging_0319/klagomål/A 10455-2022 FSC-klagomål.docx", "A 10455-2022")</f>
        <v/>
      </c>
      <c r="W24">
        <f>HYPERLINK("https://klasma.github.io/Logging_0319/klagomålsmail/A 10455-2022 FSC-klagomål mail.docx", "A 10455-2022")</f>
        <v/>
      </c>
      <c r="X24">
        <f>HYPERLINK("https://klasma.github.io/Logging_0319/tillsyn/A 10455-2022 tillsynsbegäran.docx", "A 10455-2022")</f>
        <v/>
      </c>
      <c r="Y24">
        <f>HYPERLINK("https://klasma.github.io/Logging_0319/tillsynsmail/A 10455-2022 tillsynsbegäran mail.docx", "A 10455-2022")</f>
        <v/>
      </c>
    </row>
    <row r="25" ht="15" customHeight="1">
      <c r="A25" t="inlineStr">
        <is>
          <t>A 43285-2023</t>
        </is>
      </c>
      <c r="B25" s="1" t="n">
        <v>45183</v>
      </c>
      <c r="C25" s="1" t="n">
        <v>46198</v>
      </c>
      <c r="D25" t="inlineStr">
        <is>
          <t>UPPSALA LÄN</t>
        </is>
      </c>
      <c r="E25" t="inlineStr">
        <is>
          <t>ÄLVKARLEBY</t>
        </is>
      </c>
      <c r="F25" t="inlineStr">
        <is>
          <t>Bergvik skog väst AB</t>
        </is>
      </c>
      <c r="G25" t="n">
        <v>1.3</v>
      </c>
      <c r="H25" t="n">
        <v>1</v>
      </c>
      <c r="I25" t="n">
        <v>0</v>
      </c>
      <c r="J25" t="n">
        <v>0</v>
      </c>
      <c r="K25" t="n">
        <v>0</v>
      </c>
      <c r="L25" t="n">
        <v>0</v>
      </c>
      <c r="M25" t="n">
        <v>0</v>
      </c>
      <c r="N25" t="n">
        <v>0</v>
      </c>
      <c r="O25" t="n">
        <v>0</v>
      </c>
      <c r="P25" t="n">
        <v>0</v>
      </c>
      <c r="Q25" t="n">
        <v>1</v>
      </c>
      <c r="R25" s="2" t="inlineStr">
        <is>
          <t>Vanlig groda</t>
        </is>
      </c>
      <c r="S25">
        <f>HYPERLINK("https://klasma.github.io/Logging_0319/artfynd/A 43285-2023 artfynd.xlsx", "A 43285-2023")</f>
        <v/>
      </c>
      <c r="T25">
        <f>HYPERLINK("https://klasma.github.io/Logging_0319/kartor/A 43285-2023 karta.png", "A 43285-2023")</f>
        <v/>
      </c>
      <c r="V25">
        <f>HYPERLINK("https://klasma.github.io/Logging_0319/klagomål/A 43285-2023 FSC-klagomål.docx", "A 43285-2023")</f>
        <v/>
      </c>
      <c r="W25">
        <f>HYPERLINK("https://klasma.github.io/Logging_0319/klagomålsmail/A 43285-2023 FSC-klagomål mail.docx", "A 43285-2023")</f>
        <v/>
      </c>
      <c r="X25">
        <f>HYPERLINK("https://klasma.github.io/Logging_0319/tillsyn/A 43285-2023 tillsynsbegäran.docx", "A 43285-2023")</f>
        <v/>
      </c>
      <c r="Y25">
        <f>HYPERLINK("https://klasma.github.io/Logging_0319/tillsynsmail/A 43285-2023 tillsynsbegäran mail.docx", "A 43285-2023")</f>
        <v/>
      </c>
    </row>
    <row r="26" ht="15" customHeight="1">
      <c r="A26" t="inlineStr">
        <is>
          <t>A 70017-2021</t>
        </is>
      </c>
      <c r="B26" s="1" t="n">
        <v>44533</v>
      </c>
      <c r="C26" s="1" t="n">
        <v>46198</v>
      </c>
      <c r="D26" t="inlineStr">
        <is>
          <t>UPPSALA LÄN</t>
        </is>
      </c>
      <c r="E26" t="inlineStr">
        <is>
          <t>ÄLVKARLEBY</t>
        </is>
      </c>
      <c r="G26" t="n">
        <v>2.1</v>
      </c>
      <c r="H26" t="n">
        <v>1</v>
      </c>
      <c r="I26" t="n">
        <v>0</v>
      </c>
      <c r="J26" t="n">
        <v>0</v>
      </c>
      <c r="K26" t="n">
        <v>0</v>
      </c>
      <c r="L26" t="n">
        <v>0</v>
      </c>
      <c r="M26" t="n">
        <v>0</v>
      </c>
      <c r="N26" t="n">
        <v>0</v>
      </c>
      <c r="O26" t="n">
        <v>0</v>
      </c>
      <c r="P26" t="n">
        <v>0</v>
      </c>
      <c r="Q26" t="n">
        <v>1</v>
      </c>
      <c r="R26" s="2" t="inlineStr">
        <is>
          <t>Trana</t>
        </is>
      </c>
      <c r="S26">
        <f>HYPERLINK("https://klasma.github.io/Logging_0319/artfynd/A 70017-2021 artfynd.xlsx", "A 70017-2021")</f>
        <v/>
      </c>
      <c r="T26">
        <f>HYPERLINK("https://klasma.github.io/Logging_0319/kartor/A 70017-2021 karta.png", "A 70017-2021")</f>
        <v/>
      </c>
      <c r="V26">
        <f>HYPERLINK("https://klasma.github.io/Logging_0319/klagomål/A 70017-2021 FSC-klagomål.docx", "A 70017-2021")</f>
        <v/>
      </c>
      <c r="W26">
        <f>HYPERLINK("https://klasma.github.io/Logging_0319/klagomålsmail/A 70017-2021 FSC-klagomål mail.docx", "A 70017-2021")</f>
        <v/>
      </c>
      <c r="X26">
        <f>HYPERLINK("https://klasma.github.io/Logging_0319/tillsyn/A 70017-2021 tillsynsbegäran.docx", "A 70017-2021")</f>
        <v/>
      </c>
      <c r="Y26">
        <f>HYPERLINK("https://klasma.github.io/Logging_0319/tillsynsmail/A 70017-2021 tillsynsbegäran mail.docx", "A 70017-2021")</f>
        <v/>
      </c>
      <c r="Z26">
        <f>HYPERLINK("https://klasma.github.io/Logging_0319/fåglar/A 70017-2021 prioriterade fågelarter.docx", "A 70017-2021")</f>
        <v/>
      </c>
    </row>
    <row r="27" ht="15" customHeight="1">
      <c r="A27" t="inlineStr">
        <is>
          <t>A 7286-2023</t>
        </is>
      </c>
      <c r="B27" s="1" t="n">
        <v>44970</v>
      </c>
      <c r="C27" s="1" t="n">
        <v>46198</v>
      </c>
      <c r="D27" t="inlineStr">
        <is>
          <t>UPPSALA LÄN</t>
        </is>
      </c>
      <c r="E27" t="inlineStr">
        <is>
          <t>ÄLVKARLEBY</t>
        </is>
      </c>
      <c r="F27" t="inlineStr">
        <is>
          <t>Bergvik skog väst AB</t>
        </is>
      </c>
      <c r="G27" t="n">
        <v>2.5</v>
      </c>
      <c r="H27" t="n">
        <v>0</v>
      </c>
      <c r="I27" t="n">
        <v>1</v>
      </c>
      <c r="J27" t="n">
        <v>0</v>
      </c>
      <c r="K27" t="n">
        <v>0</v>
      </c>
      <c r="L27" t="n">
        <v>0</v>
      </c>
      <c r="M27" t="n">
        <v>0</v>
      </c>
      <c r="N27" t="n">
        <v>0</v>
      </c>
      <c r="O27" t="n">
        <v>0</v>
      </c>
      <c r="P27" t="n">
        <v>0</v>
      </c>
      <c r="Q27" t="n">
        <v>1</v>
      </c>
      <c r="R27" s="2" t="inlineStr">
        <is>
          <t>Grönpyrola</t>
        </is>
      </c>
      <c r="S27">
        <f>HYPERLINK("https://klasma.github.io/Logging_0319/artfynd/A 7286-2023 artfynd.xlsx", "A 7286-2023")</f>
        <v/>
      </c>
      <c r="T27">
        <f>HYPERLINK("https://klasma.github.io/Logging_0319/kartor/A 7286-2023 karta.png", "A 7286-2023")</f>
        <v/>
      </c>
      <c r="V27">
        <f>HYPERLINK("https://klasma.github.io/Logging_0319/klagomål/A 7286-2023 FSC-klagomål.docx", "A 7286-2023")</f>
        <v/>
      </c>
      <c r="W27">
        <f>HYPERLINK("https://klasma.github.io/Logging_0319/klagomålsmail/A 7286-2023 FSC-klagomål mail.docx", "A 7286-2023")</f>
        <v/>
      </c>
      <c r="X27">
        <f>HYPERLINK("https://klasma.github.io/Logging_0319/tillsyn/A 7286-2023 tillsynsbegäran.docx", "A 7286-2023")</f>
        <v/>
      </c>
      <c r="Y27">
        <f>HYPERLINK("https://klasma.github.io/Logging_0319/tillsynsmail/A 7286-2023 tillsynsbegäran mail.docx", "A 7286-2023")</f>
        <v/>
      </c>
    </row>
    <row r="28" ht="15" customHeight="1">
      <c r="A28" t="inlineStr">
        <is>
          <t>A 51238-2025</t>
        </is>
      </c>
      <c r="B28" s="1" t="n">
        <v>45947</v>
      </c>
      <c r="C28" s="1" t="n">
        <v>46198</v>
      </c>
      <c r="D28" t="inlineStr">
        <is>
          <t>UPPSALA LÄN</t>
        </is>
      </c>
      <c r="E28" t="inlineStr">
        <is>
          <t>ÄLVKARLEBY</t>
        </is>
      </c>
      <c r="F28" t="inlineStr">
        <is>
          <t>Bergvik skog väst AB</t>
        </is>
      </c>
      <c r="G28" t="n">
        <v>6</v>
      </c>
      <c r="H28" t="n">
        <v>1</v>
      </c>
      <c r="I28" t="n">
        <v>0</v>
      </c>
      <c r="J28" t="n">
        <v>0</v>
      </c>
      <c r="K28" t="n">
        <v>0</v>
      </c>
      <c r="L28" t="n">
        <v>0</v>
      </c>
      <c r="M28" t="n">
        <v>0</v>
      </c>
      <c r="N28" t="n">
        <v>0</v>
      </c>
      <c r="O28" t="n">
        <v>0</v>
      </c>
      <c r="P28" t="n">
        <v>0</v>
      </c>
      <c r="Q28" t="n">
        <v>1</v>
      </c>
      <c r="R28" s="2" t="inlineStr">
        <is>
          <t>Lopplummer (aggregat)</t>
        </is>
      </c>
      <c r="S28">
        <f>HYPERLINK("https://klasma.github.io/Logging_0319/artfynd/A 51238-2025 artfynd.xlsx", "A 51238-2025")</f>
        <v/>
      </c>
      <c r="T28">
        <f>HYPERLINK("https://klasma.github.io/Logging_0319/kartor/A 51238-2025 karta.png", "A 51238-2025")</f>
        <v/>
      </c>
      <c r="V28">
        <f>HYPERLINK("https://klasma.github.io/Logging_0319/klagomål/A 51238-2025 FSC-klagomål.docx", "A 51238-2025")</f>
        <v/>
      </c>
      <c r="W28">
        <f>HYPERLINK("https://klasma.github.io/Logging_0319/klagomålsmail/A 51238-2025 FSC-klagomål mail.docx", "A 51238-2025")</f>
        <v/>
      </c>
      <c r="X28">
        <f>HYPERLINK("https://klasma.github.io/Logging_0319/tillsyn/A 51238-2025 tillsynsbegäran.docx", "A 51238-2025")</f>
        <v/>
      </c>
      <c r="Y28">
        <f>HYPERLINK("https://klasma.github.io/Logging_0319/tillsynsmail/A 51238-2025 tillsynsbegäran mail.docx", "A 51238-2025")</f>
        <v/>
      </c>
    </row>
    <row r="29" ht="15" customHeight="1">
      <c r="A29" t="inlineStr">
        <is>
          <t>A 57734-2025</t>
        </is>
      </c>
      <c r="B29" s="1" t="n">
        <v>45981</v>
      </c>
      <c r="C29" s="1" t="n">
        <v>46198</v>
      </c>
      <c r="D29" t="inlineStr">
        <is>
          <t>UPPSALA LÄN</t>
        </is>
      </c>
      <c r="E29" t="inlineStr">
        <is>
          <t>ÄLVKARLEBY</t>
        </is>
      </c>
      <c r="F29" t="inlineStr">
        <is>
          <t>Bergvik skog väst AB</t>
        </is>
      </c>
      <c r="G29" t="n">
        <v>1.3</v>
      </c>
      <c r="H29" t="n">
        <v>1</v>
      </c>
      <c r="I29" t="n">
        <v>0</v>
      </c>
      <c r="J29" t="n">
        <v>0</v>
      </c>
      <c r="K29" t="n">
        <v>1</v>
      </c>
      <c r="L29" t="n">
        <v>0</v>
      </c>
      <c r="M29" t="n">
        <v>0</v>
      </c>
      <c r="N29" t="n">
        <v>0</v>
      </c>
      <c r="O29" t="n">
        <v>1</v>
      </c>
      <c r="P29" t="n">
        <v>1</v>
      </c>
      <c r="Q29" t="n">
        <v>1</v>
      </c>
      <c r="R29" s="2" t="inlineStr">
        <is>
          <t>Gölgroda</t>
        </is>
      </c>
      <c r="S29">
        <f>HYPERLINK("https://klasma.github.io/Logging_0319/artfynd/A 57734-2025 artfynd.xlsx", "A 57734-2025")</f>
        <v/>
      </c>
      <c r="T29">
        <f>HYPERLINK("https://klasma.github.io/Logging_0319/kartor/A 57734-2025 karta.png", "A 57734-2025")</f>
        <v/>
      </c>
      <c r="V29">
        <f>HYPERLINK("https://klasma.github.io/Logging_0319/klagomål/A 57734-2025 FSC-klagomål.docx", "A 57734-2025")</f>
        <v/>
      </c>
      <c r="W29">
        <f>HYPERLINK("https://klasma.github.io/Logging_0319/klagomålsmail/A 57734-2025 FSC-klagomål mail.docx", "A 57734-2025")</f>
        <v/>
      </c>
      <c r="X29">
        <f>HYPERLINK("https://klasma.github.io/Logging_0319/tillsyn/A 57734-2025 tillsynsbegäran.docx", "A 57734-2025")</f>
        <v/>
      </c>
      <c r="Y29">
        <f>HYPERLINK("https://klasma.github.io/Logging_0319/tillsynsmail/A 57734-2025 tillsynsbegäran mail.docx", "A 57734-2025")</f>
        <v/>
      </c>
    </row>
    <row r="30" ht="15" customHeight="1">
      <c r="A30" t="inlineStr">
        <is>
          <t>A 59993-2025</t>
        </is>
      </c>
      <c r="B30" s="1" t="n">
        <v>45993</v>
      </c>
      <c r="C30" s="1" t="n">
        <v>46198</v>
      </c>
      <c r="D30" t="inlineStr">
        <is>
          <t>UPPSALA LÄN</t>
        </is>
      </c>
      <c r="E30" t="inlineStr">
        <is>
          <t>ÄLVKARLEBY</t>
        </is>
      </c>
      <c r="F30" t="inlineStr">
        <is>
          <t>Bergvik skog väst AB</t>
        </is>
      </c>
      <c r="G30" t="n">
        <v>18.6</v>
      </c>
      <c r="H30" t="n">
        <v>1</v>
      </c>
      <c r="I30" t="n">
        <v>1</v>
      </c>
      <c r="J30" t="n">
        <v>0</v>
      </c>
      <c r="K30" t="n">
        <v>0</v>
      </c>
      <c r="L30" t="n">
        <v>0</v>
      </c>
      <c r="M30" t="n">
        <v>0</v>
      </c>
      <c r="N30" t="n">
        <v>0</v>
      </c>
      <c r="O30" t="n">
        <v>0</v>
      </c>
      <c r="P30" t="n">
        <v>0</v>
      </c>
      <c r="Q30" t="n">
        <v>1</v>
      </c>
      <c r="R30" s="2" t="inlineStr">
        <is>
          <t>Skogsknipprot</t>
        </is>
      </c>
      <c r="S30">
        <f>HYPERLINK("https://klasma.github.io/Logging_0319/artfynd/A 59993-2025 artfynd.xlsx", "A 59993-2025")</f>
        <v/>
      </c>
      <c r="T30">
        <f>HYPERLINK("https://klasma.github.io/Logging_0319/kartor/A 59993-2025 karta.png", "A 59993-2025")</f>
        <v/>
      </c>
      <c r="V30">
        <f>HYPERLINK("https://klasma.github.io/Logging_0319/klagomål/A 59993-2025 FSC-klagomål.docx", "A 59993-2025")</f>
        <v/>
      </c>
      <c r="W30">
        <f>HYPERLINK("https://klasma.github.io/Logging_0319/klagomålsmail/A 59993-2025 FSC-klagomål mail.docx", "A 59993-2025")</f>
        <v/>
      </c>
      <c r="X30">
        <f>HYPERLINK("https://klasma.github.io/Logging_0319/tillsyn/A 59993-2025 tillsynsbegäran.docx", "A 59993-2025")</f>
        <v/>
      </c>
      <c r="Y30">
        <f>HYPERLINK("https://klasma.github.io/Logging_0319/tillsynsmail/A 59993-2025 tillsynsbegäran mail.docx", "A 59993-2025")</f>
        <v/>
      </c>
    </row>
    <row r="31" ht="15" customHeight="1">
      <c r="A31" t="inlineStr">
        <is>
          <t>A 60829-2025</t>
        </is>
      </c>
      <c r="B31" s="1" t="n">
        <v>45999</v>
      </c>
      <c r="C31" s="1" t="n">
        <v>46198</v>
      </c>
      <c r="D31" t="inlineStr">
        <is>
          <t>UPPSALA LÄN</t>
        </is>
      </c>
      <c r="E31" t="inlineStr">
        <is>
          <t>ÄLVKARLEBY</t>
        </is>
      </c>
      <c r="F31" t="inlineStr">
        <is>
          <t>Bergvik skog väst AB</t>
        </is>
      </c>
      <c r="G31" t="n">
        <v>5.5</v>
      </c>
      <c r="H31" t="n">
        <v>1</v>
      </c>
      <c r="I31" t="n">
        <v>0</v>
      </c>
      <c r="J31" t="n">
        <v>1</v>
      </c>
      <c r="K31" t="n">
        <v>0</v>
      </c>
      <c r="L31" t="n">
        <v>0</v>
      </c>
      <c r="M31" t="n">
        <v>0</v>
      </c>
      <c r="N31" t="n">
        <v>0</v>
      </c>
      <c r="O31" t="n">
        <v>1</v>
      </c>
      <c r="P31" t="n">
        <v>0</v>
      </c>
      <c r="Q31" t="n">
        <v>1</v>
      </c>
      <c r="R31" s="2" t="inlineStr">
        <is>
          <t>Sparvuggla</t>
        </is>
      </c>
      <c r="S31">
        <f>HYPERLINK("https://klasma.github.io/Logging_0319/artfynd/A 60829-2025 artfynd.xlsx", "A 60829-2025")</f>
        <v/>
      </c>
      <c r="T31">
        <f>HYPERLINK("https://klasma.github.io/Logging_0319/kartor/A 60829-2025 karta.png", "A 60829-2025")</f>
        <v/>
      </c>
      <c r="V31">
        <f>HYPERLINK("https://klasma.github.io/Logging_0319/klagomål/A 60829-2025 FSC-klagomål.docx", "A 60829-2025")</f>
        <v/>
      </c>
      <c r="W31">
        <f>HYPERLINK("https://klasma.github.io/Logging_0319/klagomålsmail/A 60829-2025 FSC-klagomål mail.docx", "A 60829-2025")</f>
        <v/>
      </c>
      <c r="X31">
        <f>HYPERLINK("https://klasma.github.io/Logging_0319/tillsyn/A 60829-2025 tillsynsbegäran.docx", "A 60829-2025")</f>
        <v/>
      </c>
      <c r="Y31">
        <f>HYPERLINK("https://klasma.github.io/Logging_0319/tillsynsmail/A 60829-2025 tillsynsbegäran mail.docx", "A 60829-2025")</f>
        <v/>
      </c>
      <c r="Z31">
        <f>HYPERLINK("https://klasma.github.io/Logging_0319/fåglar/A 60829-2025 prioriterade fågelarter.docx", "A 60829-2025")</f>
        <v/>
      </c>
    </row>
    <row r="32" ht="15" customHeight="1">
      <c r="A32" t="inlineStr">
        <is>
          <t>A 63004-2025</t>
        </is>
      </c>
      <c r="B32" s="1" t="n">
        <v>46009</v>
      </c>
      <c r="C32" s="1" t="n">
        <v>46198</v>
      </c>
      <c r="D32" t="inlineStr">
        <is>
          <t>UPPSALA LÄN</t>
        </is>
      </c>
      <c r="E32" t="inlineStr">
        <is>
          <t>ÄLVKARLEBY</t>
        </is>
      </c>
      <c r="F32" t="inlineStr">
        <is>
          <t>Bergvik skog väst AB</t>
        </is>
      </c>
      <c r="G32" t="n">
        <v>2.2</v>
      </c>
      <c r="H32" t="n">
        <v>1</v>
      </c>
      <c r="I32" t="n">
        <v>1</v>
      </c>
      <c r="J32" t="n">
        <v>0</v>
      </c>
      <c r="K32" t="n">
        <v>0</v>
      </c>
      <c r="L32" t="n">
        <v>0</v>
      </c>
      <c r="M32" t="n">
        <v>0</v>
      </c>
      <c r="N32" t="n">
        <v>0</v>
      </c>
      <c r="O32" t="n">
        <v>0</v>
      </c>
      <c r="P32" t="n">
        <v>0</v>
      </c>
      <c r="Q32" t="n">
        <v>1</v>
      </c>
      <c r="R32" s="2" t="inlineStr">
        <is>
          <t>Skogsknipprot</t>
        </is>
      </c>
      <c r="S32">
        <f>HYPERLINK("https://klasma.github.io/Logging_0319/artfynd/A 63004-2025 artfynd.xlsx", "A 63004-2025")</f>
        <v/>
      </c>
      <c r="T32">
        <f>HYPERLINK("https://klasma.github.io/Logging_0319/kartor/A 63004-2025 karta.png", "A 63004-2025")</f>
        <v/>
      </c>
      <c r="V32">
        <f>HYPERLINK("https://klasma.github.io/Logging_0319/klagomål/A 63004-2025 FSC-klagomål.docx", "A 63004-2025")</f>
        <v/>
      </c>
      <c r="W32">
        <f>HYPERLINK("https://klasma.github.io/Logging_0319/klagomålsmail/A 63004-2025 FSC-klagomål mail.docx", "A 63004-2025")</f>
        <v/>
      </c>
      <c r="X32">
        <f>HYPERLINK("https://klasma.github.io/Logging_0319/tillsyn/A 63004-2025 tillsynsbegäran.docx", "A 63004-2025")</f>
        <v/>
      </c>
      <c r="Y32">
        <f>HYPERLINK("https://klasma.github.io/Logging_0319/tillsynsmail/A 63004-2025 tillsynsbegäran mail.docx", "A 63004-2025")</f>
        <v/>
      </c>
    </row>
    <row r="33" ht="15" customHeight="1">
      <c r="A33" t="inlineStr">
        <is>
          <t>A 1673-2026</t>
        </is>
      </c>
      <c r="B33" s="1" t="n">
        <v>46034</v>
      </c>
      <c r="C33" s="1" t="n">
        <v>46198</v>
      </c>
      <c r="D33" t="inlineStr">
        <is>
          <t>UPPSALA LÄN</t>
        </is>
      </c>
      <c r="E33" t="inlineStr">
        <is>
          <t>ÄLVKARLEBY</t>
        </is>
      </c>
      <c r="F33" t="inlineStr">
        <is>
          <t>Bergvik skog väst AB</t>
        </is>
      </c>
      <c r="G33" t="n">
        <v>1.9</v>
      </c>
      <c r="H33" t="n">
        <v>0</v>
      </c>
      <c r="I33" t="n">
        <v>1</v>
      </c>
      <c r="J33" t="n">
        <v>0</v>
      </c>
      <c r="K33" t="n">
        <v>0</v>
      </c>
      <c r="L33" t="n">
        <v>0</v>
      </c>
      <c r="M33" t="n">
        <v>0</v>
      </c>
      <c r="N33" t="n">
        <v>0</v>
      </c>
      <c r="O33" t="n">
        <v>0</v>
      </c>
      <c r="P33" t="n">
        <v>0</v>
      </c>
      <c r="Q33" t="n">
        <v>1</v>
      </c>
      <c r="R33" s="2" t="inlineStr">
        <is>
          <t>Tibast</t>
        </is>
      </c>
      <c r="S33">
        <f>HYPERLINK("https://klasma.github.io/Logging_0319/artfynd/A 1673-2026 artfynd.xlsx", "A 1673-2026")</f>
        <v/>
      </c>
      <c r="T33">
        <f>HYPERLINK("https://klasma.github.io/Logging_0319/kartor/A 1673-2026 karta.png", "A 1673-2026")</f>
        <v/>
      </c>
      <c r="V33">
        <f>HYPERLINK("https://klasma.github.io/Logging_0319/klagomål/A 1673-2026 FSC-klagomål.docx", "A 1673-2026")</f>
        <v/>
      </c>
      <c r="W33">
        <f>HYPERLINK("https://klasma.github.io/Logging_0319/klagomålsmail/A 1673-2026 FSC-klagomål mail.docx", "A 1673-2026")</f>
        <v/>
      </c>
      <c r="X33">
        <f>HYPERLINK("https://klasma.github.io/Logging_0319/tillsyn/A 1673-2026 tillsynsbegäran.docx", "A 1673-2026")</f>
        <v/>
      </c>
      <c r="Y33">
        <f>HYPERLINK("https://klasma.github.io/Logging_0319/tillsynsmail/A 1673-2026 tillsynsbegäran mail.docx", "A 1673-2026")</f>
        <v/>
      </c>
    </row>
    <row r="34" ht="15" customHeight="1">
      <c r="A34" t="inlineStr">
        <is>
          <t>A 4131-2026</t>
        </is>
      </c>
      <c r="B34" s="1" t="n">
        <v>46044</v>
      </c>
      <c r="C34" s="1" t="n">
        <v>46198</v>
      </c>
      <c r="D34" t="inlineStr">
        <is>
          <t>UPPSALA LÄN</t>
        </is>
      </c>
      <c r="E34" t="inlineStr">
        <is>
          <t>ÄLVKARLEBY</t>
        </is>
      </c>
      <c r="F34" t="inlineStr">
        <is>
          <t>Bergvik skog öst AB</t>
        </is>
      </c>
      <c r="G34" t="n">
        <v>2.4</v>
      </c>
      <c r="H34" t="n">
        <v>1</v>
      </c>
      <c r="I34" t="n">
        <v>1</v>
      </c>
      <c r="J34" t="n">
        <v>0</v>
      </c>
      <c r="K34" t="n">
        <v>0</v>
      </c>
      <c r="L34" t="n">
        <v>0</v>
      </c>
      <c r="M34" t="n">
        <v>0</v>
      </c>
      <c r="N34" t="n">
        <v>0</v>
      </c>
      <c r="O34" t="n">
        <v>0</v>
      </c>
      <c r="P34" t="n">
        <v>0</v>
      </c>
      <c r="Q34" t="n">
        <v>1</v>
      </c>
      <c r="R34" s="2" t="inlineStr">
        <is>
          <t>Nästrot</t>
        </is>
      </c>
      <c r="S34">
        <f>HYPERLINK("https://klasma.github.io/Logging_0319/artfynd/A 4131-2026 artfynd.xlsx", "A 4131-2026")</f>
        <v/>
      </c>
      <c r="T34">
        <f>HYPERLINK("https://klasma.github.io/Logging_0319/kartor/A 4131-2026 karta.png", "A 4131-2026")</f>
        <v/>
      </c>
      <c r="V34">
        <f>HYPERLINK("https://klasma.github.io/Logging_0319/klagomål/A 4131-2026 FSC-klagomål.docx", "A 4131-2026")</f>
        <v/>
      </c>
      <c r="W34">
        <f>HYPERLINK("https://klasma.github.io/Logging_0319/klagomålsmail/A 4131-2026 FSC-klagomål mail.docx", "A 4131-2026")</f>
        <v/>
      </c>
      <c r="X34">
        <f>HYPERLINK("https://klasma.github.io/Logging_0319/tillsyn/A 4131-2026 tillsynsbegäran.docx", "A 4131-2026")</f>
        <v/>
      </c>
      <c r="Y34">
        <f>HYPERLINK("https://klasma.github.io/Logging_0319/tillsynsmail/A 4131-2026 tillsynsbegäran mail.docx", "A 4131-2026")</f>
        <v/>
      </c>
    </row>
    <row r="35" ht="15" customHeight="1">
      <c r="A35" t="inlineStr">
        <is>
          <t>A 19303-2024</t>
        </is>
      </c>
      <c r="B35" s="1" t="n">
        <v>45428</v>
      </c>
      <c r="C35" s="1" t="n">
        <v>46198</v>
      </c>
      <c r="D35" t="inlineStr">
        <is>
          <t>UPPSALA LÄN</t>
        </is>
      </c>
      <c r="E35" t="inlineStr">
        <is>
          <t>ÄLVKARLEBY</t>
        </is>
      </c>
      <c r="G35" t="n">
        <v>0.4</v>
      </c>
      <c r="H35" t="n">
        <v>1</v>
      </c>
      <c r="I35" t="n">
        <v>0</v>
      </c>
      <c r="J35" t="n">
        <v>0</v>
      </c>
      <c r="K35" t="n">
        <v>1</v>
      </c>
      <c r="L35" t="n">
        <v>0</v>
      </c>
      <c r="M35" t="n">
        <v>0</v>
      </c>
      <c r="N35" t="n">
        <v>0</v>
      </c>
      <c r="O35" t="n">
        <v>1</v>
      </c>
      <c r="P35" t="n">
        <v>1</v>
      </c>
      <c r="Q35" t="n">
        <v>1</v>
      </c>
      <c r="R35" s="2" t="inlineStr">
        <is>
          <t>Gölgroda</t>
        </is>
      </c>
      <c r="S35">
        <f>HYPERLINK("https://klasma.github.io/Logging_0319/artfynd/A 19303-2024 artfynd.xlsx", "A 19303-2024")</f>
        <v/>
      </c>
      <c r="T35">
        <f>HYPERLINK("https://klasma.github.io/Logging_0319/kartor/A 19303-2024 karta.png", "A 19303-2024")</f>
        <v/>
      </c>
      <c r="V35">
        <f>HYPERLINK("https://klasma.github.io/Logging_0319/klagomål/A 19303-2024 FSC-klagomål.docx", "A 19303-2024")</f>
        <v/>
      </c>
      <c r="W35">
        <f>HYPERLINK("https://klasma.github.io/Logging_0319/klagomålsmail/A 19303-2024 FSC-klagomål mail.docx", "A 19303-2024")</f>
        <v/>
      </c>
      <c r="X35">
        <f>HYPERLINK("https://klasma.github.io/Logging_0319/tillsyn/A 19303-2024 tillsynsbegäran.docx", "A 19303-2024")</f>
        <v/>
      </c>
      <c r="Y35">
        <f>HYPERLINK("https://klasma.github.io/Logging_0319/tillsynsmail/A 19303-2024 tillsynsbegäran mail.docx", "A 19303-2024")</f>
        <v/>
      </c>
    </row>
    <row r="36" ht="15" customHeight="1">
      <c r="A36" t="inlineStr">
        <is>
          <t>A 3950-2025</t>
        </is>
      </c>
      <c r="B36" s="1" t="n">
        <v>45684</v>
      </c>
      <c r="C36" s="1" t="n">
        <v>46198</v>
      </c>
      <c r="D36" t="inlineStr">
        <is>
          <t>UPPSALA LÄN</t>
        </is>
      </c>
      <c r="E36" t="inlineStr">
        <is>
          <t>ÄLVKARLEBY</t>
        </is>
      </c>
      <c r="G36" t="n">
        <v>3.1</v>
      </c>
      <c r="H36" t="n">
        <v>0</v>
      </c>
      <c r="I36" t="n">
        <v>0</v>
      </c>
      <c r="J36" t="n">
        <v>1</v>
      </c>
      <c r="K36" t="n">
        <v>0</v>
      </c>
      <c r="L36" t="n">
        <v>0</v>
      </c>
      <c r="M36" t="n">
        <v>0</v>
      </c>
      <c r="N36" t="n">
        <v>0</v>
      </c>
      <c r="O36" t="n">
        <v>1</v>
      </c>
      <c r="P36" t="n">
        <v>0</v>
      </c>
      <c r="Q36" t="n">
        <v>1</v>
      </c>
      <c r="R36" s="2" t="inlineStr">
        <is>
          <t>Månlåsbräken</t>
        </is>
      </c>
      <c r="S36">
        <f>HYPERLINK("https://klasma.github.io/Logging_0319/artfynd/A 3950-2025 artfynd.xlsx", "A 3950-2025")</f>
        <v/>
      </c>
      <c r="T36">
        <f>HYPERLINK("https://klasma.github.io/Logging_0319/kartor/A 3950-2025 karta.png", "A 3950-2025")</f>
        <v/>
      </c>
      <c r="V36">
        <f>HYPERLINK("https://klasma.github.io/Logging_0319/klagomål/A 3950-2025 FSC-klagomål.docx", "A 3950-2025")</f>
        <v/>
      </c>
      <c r="W36">
        <f>HYPERLINK("https://klasma.github.io/Logging_0319/klagomålsmail/A 3950-2025 FSC-klagomål mail.docx", "A 3950-2025")</f>
        <v/>
      </c>
      <c r="X36">
        <f>HYPERLINK("https://klasma.github.io/Logging_0319/tillsyn/A 3950-2025 tillsynsbegäran.docx", "A 3950-2025")</f>
        <v/>
      </c>
      <c r="Y36">
        <f>HYPERLINK("https://klasma.github.io/Logging_0319/tillsynsmail/A 3950-2025 tillsynsbegäran mail.docx", "A 3950-2025")</f>
        <v/>
      </c>
    </row>
    <row r="37" ht="15" customHeight="1">
      <c r="A37" t="inlineStr">
        <is>
          <t>A 14127-2026</t>
        </is>
      </c>
      <c r="B37" s="1" t="n">
        <v>46099</v>
      </c>
      <c r="C37" s="1" t="n">
        <v>46198</v>
      </c>
      <c r="D37" t="inlineStr">
        <is>
          <t>UPPSALA LÄN</t>
        </is>
      </c>
      <c r="E37" t="inlineStr">
        <is>
          <t>ÄLVKARLEBY</t>
        </is>
      </c>
      <c r="G37" t="n">
        <v>1.7</v>
      </c>
      <c r="H37" t="n">
        <v>0</v>
      </c>
      <c r="I37" t="n">
        <v>0</v>
      </c>
      <c r="J37" t="n">
        <v>0</v>
      </c>
      <c r="K37" t="n">
        <v>1</v>
      </c>
      <c r="L37" t="n">
        <v>0</v>
      </c>
      <c r="M37" t="n">
        <v>0</v>
      </c>
      <c r="N37" t="n">
        <v>0</v>
      </c>
      <c r="O37" t="n">
        <v>1</v>
      </c>
      <c r="P37" t="n">
        <v>1</v>
      </c>
      <c r="Q37" t="n">
        <v>1</v>
      </c>
      <c r="R37" s="2" t="inlineStr">
        <is>
          <t>Grangråticka</t>
        </is>
      </c>
      <c r="S37">
        <f>HYPERLINK("https://klasma.github.io/Logging_0319/artfynd/A 14127-2026 artfynd.xlsx", "A 14127-2026")</f>
        <v/>
      </c>
      <c r="T37">
        <f>HYPERLINK("https://klasma.github.io/Logging_0319/kartor/A 14127-2026 karta.png", "A 14127-2026")</f>
        <v/>
      </c>
      <c r="V37">
        <f>HYPERLINK("https://klasma.github.io/Logging_0319/klagomål/A 14127-2026 FSC-klagomål.docx", "A 14127-2026")</f>
        <v/>
      </c>
      <c r="W37">
        <f>HYPERLINK("https://klasma.github.io/Logging_0319/klagomålsmail/A 14127-2026 FSC-klagomål mail.docx", "A 14127-2026")</f>
        <v/>
      </c>
      <c r="X37">
        <f>HYPERLINK("https://klasma.github.io/Logging_0319/tillsyn/A 14127-2026 tillsynsbegäran.docx", "A 14127-2026")</f>
        <v/>
      </c>
      <c r="Y37">
        <f>HYPERLINK("https://klasma.github.io/Logging_0319/tillsynsmail/A 14127-2026 tillsynsbegäran mail.docx", "A 14127-2026")</f>
        <v/>
      </c>
    </row>
    <row r="38" ht="15" customHeight="1">
      <c r="A38" t="inlineStr">
        <is>
          <t>A 19300-2024</t>
        </is>
      </c>
      <c r="B38" s="1" t="n">
        <v>45428</v>
      </c>
      <c r="C38" s="1" t="n">
        <v>46198</v>
      </c>
      <c r="D38" t="inlineStr">
        <is>
          <t>UPPSALA LÄN</t>
        </is>
      </c>
      <c r="E38" t="inlineStr">
        <is>
          <t>ÄLVKARLEBY</t>
        </is>
      </c>
      <c r="G38" t="n">
        <v>0.9</v>
      </c>
      <c r="H38" t="n">
        <v>1</v>
      </c>
      <c r="I38" t="n">
        <v>0</v>
      </c>
      <c r="J38" t="n">
        <v>1</v>
      </c>
      <c r="K38" t="n">
        <v>0</v>
      </c>
      <c r="L38" t="n">
        <v>0</v>
      </c>
      <c r="M38" t="n">
        <v>0</v>
      </c>
      <c r="N38" t="n">
        <v>0</v>
      </c>
      <c r="O38" t="n">
        <v>1</v>
      </c>
      <c r="P38" t="n">
        <v>0</v>
      </c>
      <c r="Q38" t="n">
        <v>1</v>
      </c>
      <c r="R38" s="2" t="inlineStr">
        <is>
          <t>Kricka</t>
        </is>
      </c>
      <c r="S38">
        <f>HYPERLINK("https://klasma.github.io/Logging_0319/artfynd/A 19300-2024 artfynd.xlsx", "A 19300-2024")</f>
        <v/>
      </c>
      <c r="T38">
        <f>HYPERLINK("https://klasma.github.io/Logging_0319/kartor/A 19300-2024 karta.png", "A 19300-2024")</f>
        <v/>
      </c>
      <c r="V38">
        <f>HYPERLINK("https://klasma.github.io/Logging_0319/klagomål/A 19300-2024 FSC-klagomål.docx", "A 19300-2024")</f>
        <v/>
      </c>
      <c r="W38">
        <f>HYPERLINK("https://klasma.github.io/Logging_0319/klagomålsmail/A 19300-2024 FSC-klagomål mail.docx", "A 19300-2024")</f>
        <v/>
      </c>
      <c r="X38">
        <f>HYPERLINK("https://klasma.github.io/Logging_0319/tillsyn/A 19300-2024 tillsynsbegäran.docx", "A 19300-2024")</f>
        <v/>
      </c>
      <c r="Y38">
        <f>HYPERLINK("https://klasma.github.io/Logging_0319/tillsynsmail/A 19300-2024 tillsynsbegäran mail.docx", "A 19300-2024")</f>
        <v/>
      </c>
      <c r="Z38">
        <f>HYPERLINK("https://klasma.github.io/Logging_0319/fåglar/A 19300-2024 prioriterade fågelarter.docx", "A 19300-2024")</f>
        <v/>
      </c>
    </row>
    <row r="39" ht="15" customHeight="1">
      <c r="A39" t="inlineStr">
        <is>
          <t>A 19304-2024</t>
        </is>
      </c>
      <c r="B39" s="1" t="n">
        <v>45428</v>
      </c>
      <c r="C39" s="1" t="n">
        <v>46198</v>
      </c>
      <c r="D39" t="inlineStr">
        <is>
          <t>UPPSALA LÄN</t>
        </is>
      </c>
      <c r="E39" t="inlineStr">
        <is>
          <t>ÄLVKARLEBY</t>
        </is>
      </c>
      <c r="G39" t="n">
        <v>0.2</v>
      </c>
      <c r="H39" t="n">
        <v>0</v>
      </c>
      <c r="I39" t="n">
        <v>0</v>
      </c>
      <c r="J39" t="n">
        <v>0</v>
      </c>
      <c r="K39" t="n">
        <v>1</v>
      </c>
      <c r="L39" t="n">
        <v>0</v>
      </c>
      <c r="M39" t="n">
        <v>0</v>
      </c>
      <c r="N39" t="n">
        <v>0</v>
      </c>
      <c r="O39" t="n">
        <v>1</v>
      </c>
      <c r="P39" t="n">
        <v>1</v>
      </c>
      <c r="Q39" t="n">
        <v>1</v>
      </c>
      <c r="R39" s="2" t="inlineStr">
        <is>
          <t>Mindre bastardsvärmare</t>
        </is>
      </c>
      <c r="S39">
        <f>HYPERLINK("https://klasma.github.io/Logging_0319/artfynd/A 19304-2024 artfynd.xlsx", "A 19304-2024")</f>
        <v/>
      </c>
      <c r="T39">
        <f>HYPERLINK("https://klasma.github.io/Logging_0319/kartor/A 19304-2024 karta.png", "A 19304-2024")</f>
        <v/>
      </c>
      <c r="V39">
        <f>HYPERLINK("https://klasma.github.io/Logging_0319/klagomål/A 19304-2024 FSC-klagomål.docx", "A 19304-2024")</f>
        <v/>
      </c>
      <c r="W39">
        <f>HYPERLINK("https://klasma.github.io/Logging_0319/klagomålsmail/A 19304-2024 FSC-klagomål mail.docx", "A 19304-2024")</f>
        <v/>
      </c>
      <c r="X39">
        <f>HYPERLINK("https://klasma.github.io/Logging_0319/tillsyn/A 19304-2024 tillsynsbegäran.docx", "A 19304-2024")</f>
        <v/>
      </c>
      <c r="Y39">
        <f>HYPERLINK("https://klasma.github.io/Logging_0319/tillsynsmail/A 19304-2024 tillsynsbegäran mail.docx", "A 19304-2024")</f>
        <v/>
      </c>
    </row>
    <row r="40" ht="15" customHeight="1">
      <c r="A40" t="inlineStr">
        <is>
          <t>A 36217-2022</t>
        </is>
      </c>
      <c r="B40" s="1" t="n">
        <v>44803</v>
      </c>
      <c r="C40" s="1" t="n">
        <v>46198</v>
      </c>
      <c r="D40" t="inlineStr">
        <is>
          <t>UPPSALA LÄN</t>
        </is>
      </c>
      <c r="E40" t="inlineStr">
        <is>
          <t>ÄLVKARLEBY</t>
        </is>
      </c>
      <c r="F40" t="inlineStr">
        <is>
          <t>Bergvik skog väst AB</t>
        </is>
      </c>
      <c r="G40" t="n">
        <v>0.2</v>
      </c>
      <c r="H40" t="n">
        <v>0</v>
      </c>
      <c r="I40" t="n">
        <v>0</v>
      </c>
      <c r="J40" t="n">
        <v>0</v>
      </c>
      <c r="K40" t="n">
        <v>0</v>
      </c>
      <c r="L40" t="n">
        <v>0</v>
      </c>
      <c r="M40" t="n">
        <v>0</v>
      </c>
      <c r="N40" t="n">
        <v>0</v>
      </c>
      <c r="O40" t="n">
        <v>0</v>
      </c>
      <c r="P40" t="n">
        <v>0</v>
      </c>
      <c r="Q40" t="n">
        <v>0</v>
      </c>
      <c r="R40" s="2" t="inlineStr"/>
    </row>
    <row r="41" ht="15" customHeight="1">
      <c r="A41" t="inlineStr">
        <is>
          <t>A 36282-2022</t>
        </is>
      </c>
      <c r="B41" s="1" t="n">
        <v>44803</v>
      </c>
      <c r="C41" s="1" t="n">
        <v>46198</v>
      </c>
      <c r="D41" t="inlineStr">
        <is>
          <t>UPPSALA LÄN</t>
        </is>
      </c>
      <c r="E41" t="inlineStr">
        <is>
          <t>ÄLVKARLEBY</t>
        </is>
      </c>
      <c r="G41" t="n">
        <v>0.1</v>
      </c>
      <c r="H41" t="n">
        <v>0</v>
      </c>
      <c r="I41" t="n">
        <v>0</v>
      </c>
      <c r="J41" t="n">
        <v>0</v>
      </c>
      <c r="K41" t="n">
        <v>0</v>
      </c>
      <c r="L41" t="n">
        <v>0</v>
      </c>
      <c r="M41" t="n">
        <v>0</v>
      </c>
      <c r="N41" t="n">
        <v>0</v>
      </c>
      <c r="O41" t="n">
        <v>0</v>
      </c>
      <c r="P41" t="n">
        <v>0</v>
      </c>
      <c r="Q41" t="n">
        <v>0</v>
      </c>
      <c r="R41" s="2" t="inlineStr"/>
    </row>
    <row r="42" ht="15" customHeight="1">
      <c r="A42" t="inlineStr">
        <is>
          <t>A 46113-2023</t>
        </is>
      </c>
      <c r="B42" s="1" t="n">
        <v>45196</v>
      </c>
      <c r="C42" s="1" t="n">
        <v>46198</v>
      </c>
      <c r="D42" t="inlineStr">
        <is>
          <t>UPPSALA LÄN</t>
        </is>
      </c>
      <c r="E42" t="inlineStr">
        <is>
          <t>ÄLVKARLEBY</t>
        </is>
      </c>
      <c r="F42" t="inlineStr">
        <is>
          <t>Bergvik skog väst AB</t>
        </is>
      </c>
      <c r="G42" t="n">
        <v>0.6</v>
      </c>
      <c r="H42" t="n">
        <v>0</v>
      </c>
      <c r="I42" t="n">
        <v>0</v>
      </c>
      <c r="J42" t="n">
        <v>0</v>
      </c>
      <c r="K42" t="n">
        <v>0</v>
      </c>
      <c r="L42" t="n">
        <v>0</v>
      </c>
      <c r="M42" t="n">
        <v>0</v>
      </c>
      <c r="N42" t="n">
        <v>0</v>
      </c>
      <c r="O42" t="n">
        <v>0</v>
      </c>
      <c r="P42" t="n">
        <v>0</v>
      </c>
      <c r="Q42" t="n">
        <v>0</v>
      </c>
      <c r="R42" s="2" t="inlineStr"/>
    </row>
    <row r="43" ht="15" customHeight="1">
      <c r="A43" t="inlineStr">
        <is>
          <t>A 2183-2024</t>
        </is>
      </c>
      <c r="B43" s="1" t="n">
        <v>45309</v>
      </c>
      <c r="C43" s="1" t="n">
        <v>46198</v>
      </c>
      <c r="D43" t="inlineStr">
        <is>
          <t>UPPSALA LÄN</t>
        </is>
      </c>
      <c r="E43" t="inlineStr">
        <is>
          <t>ÄLVKARLEBY</t>
        </is>
      </c>
      <c r="G43" t="n">
        <v>0.5</v>
      </c>
      <c r="H43" t="n">
        <v>0</v>
      </c>
      <c r="I43" t="n">
        <v>0</v>
      </c>
      <c r="J43" t="n">
        <v>0</v>
      </c>
      <c r="K43" t="n">
        <v>0</v>
      </c>
      <c r="L43" t="n">
        <v>0</v>
      </c>
      <c r="M43" t="n">
        <v>0</v>
      </c>
      <c r="N43" t="n">
        <v>0</v>
      </c>
      <c r="O43" t="n">
        <v>0</v>
      </c>
      <c r="P43" t="n">
        <v>0</v>
      </c>
      <c r="Q43" t="n">
        <v>0</v>
      </c>
      <c r="R43" s="2" t="inlineStr"/>
    </row>
    <row r="44" ht="15" customHeight="1">
      <c r="A44" t="inlineStr">
        <is>
          <t>A 2184-2024</t>
        </is>
      </c>
      <c r="B44" s="1" t="n">
        <v>45309</v>
      </c>
      <c r="C44" s="1" t="n">
        <v>46198</v>
      </c>
      <c r="D44" t="inlineStr">
        <is>
          <t>UPPSALA LÄN</t>
        </is>
      </c>
      <c r="E44" t="inlineStr">
        <is>
          <t>ÄLVKARLEBY</t>
        </is>
      </c>
      <c r="G44" t="n">
        <v>0.6</v>
      </c>
      <c r="H44" t="n">
        <v>0</v>
      </c>
      <c r="I44" t="n">
        <v>0</v>
      </c>
      <c r="J44" t="n">
        <v>0</v>
      </c>
      <c r="K44" t="n">
        <v>0</v>
      </c>
      <c r="L44" t="n">
        <v>0</v>
      </c>
      <c r="M44" t="n">
        <v>0</v>
      </c>
      <c r="N44" t="n">
        <v>0</v>
      </c>
      <c r="O44" t="n">
        <v>0</v>
      </c>
      <c r="P44" t="n">
        <v>0</v>
      </c>
      <c r="Q44" t="n">
        <v>0</v>
      </c>
      <c r="R44" s="2" t="inlineStr"/>
    </row>
    <row r="45" ht="15" customHeight="1">
      <c r="A45" t="inlineStr">
        <is>
          <t>A 9533-2025</t>
        </is>
      </c>
      <c r="B45" s="1" t="n">
        <v>45715</v>
      </c>
      <c r="C45" s="1" t="n">
        <v>46198</v>
      </c>
      <c r="D45" t="inlineStr">
        <is>
          <t>UPPSALA LÄN</t>
        </is>
      </c>
      <c r="E45" t="inlineStr">
        <is>
          <t>ÄLVKARLEBY</t>
        </is>
      </c>
      <c r="G45" t="n">
        <v>2.1</v>
      </c>
      <c r="H45" t="n">
        <v>0</v>
      </c>
      <c r="I45" t="n">
        <v>0</v>
      </c>
      <c r="J45" t="n">
        <v>0</v>
      </c>
      <c r="K45" t="n">
        <v>0</v>
      </c>
      <c r="L45" t="n">
        <v>0</v>
      </c>
      <c r="M45" t="n">
        <v>0</v>
      </c>
      <c r="N45" t="n">
        <v>0</v>
      </c>
      <c r="O45" t="n">
        <v>0</v>
      </c>
      <c r="P45" t="n">
        <v>0</v>
      </c>
      <c r="Q45" t="n">
        <v>0</v>
      </c>
      <c r="R45" s="2" t="inlineStr"/>
    </row>
    <row r="46" ht="15" customHeight="1">
      <c r="A46" t="inlineStr">
        <is>
          <t>A 26664-2025</t>
        </is>
      </c>
      <c r="B46" s="1" t="n">
        <v>45810</v>
      </c>
      <c r="C46" s="1" t="n">
        <v>46198</v>
      </c>
      <c r="D46" t="inlineStr">
        <is>
          <t>UPPSALA LÄN</t>
        </is>
      </c>
      <c r="E46" t="inlineStr">
        <is>
          <t>ÄLVKARLEBY</t>
        </is>
      </c>
      <c r="F46" t="inlineStr">
        <is>
          <t>Bergvik skog väst AB</t>
        </is>
      </c>
      <c r="G46" t="n">
        <v>1.7</v>
      </c>
      <c r="H46" t="n">
        <v>0</v>
      </c>
      <c r="I46" t="n">
        <v>0</v>
      </c>
      <c r="J46" t="n">
        <v>0</v>
      </c>
      <c r="K46" t="n">
        <v>0</v>
      </c>
      <c r="L46" t="n">
        <v>0</v>
      </c>
      <c r="M46" t="n">
        <v>0</v>
      </c>
      <c r="N46" t="n">
        <v>0</v>
      </c>
      <c r="O46" t="n">
        <v>0</v>
      </c>
      <c r="P46" t="n">
        <v>0</v>
      </c>
      <c r="Q46" t="n">
        <v>0</v>
      </c>
      <c r="R46" s="2" t="inlineStr"/>
    </row>
    <row r="47" ht="15" customHeight="1">
      <c r="A47" t="inlineStr">
        <is>
          <t>A 45033-2025</t>
        </is>
      </c>
      <c r="B47" s="1" t="n">
        <v>45918</v>
      </c>
      <c r="C47" s="1" t="n">
        <v>46198</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46510-2025</t>
        </is>
      </c>
      <c r="B48" s="1" t="n">
        <v>45925</v>
      </c>
      <c r="C48" s="1" t="n">
        <v>46198</v>
      </c>
      <c r="D48" t="inlineStr">
        <is>
          <t>UPPSALA LÄN</t>
        </is>
      </c>
      <c r="E48" t="inlineStr">
        <is>
          <t>ÄLVKARLEBY</t>
        </is>
      </c>
      <c r="G48" t="n">
        <v>2.3</v>
      </c>
      <c r="H48" t="n">
        <v>0</v>
      </c>
      <c r="I48" t="n">
        <v>0</v>
      </c>
      <c r="J48" t="n">
        <v>0</v>
      </c>
      <c r="K48" t="n">
        <v>0</v>
      </c>
      <c r="L48" t="n">
        <v>0</v>
      </c>
      <c r="M48" t="n">
        <v>0</v>
      </c>
      <c r="N48" t="n">
        <v>0</v>
      </c>
      <c r="O48" t="n">
        <v>0</v>
      </c>
      <c r="P48" t="n">
        <v>0</v>
      </c>
      <c r="Q48" t="n">
        <v>0</v>
      </c>
      <c r="R48" s="2" t="inlineStr"/>
    </row>
    <row r="49" ht="15" customHeight="1">
      <c r="A49" t="inlineStr">
        <is>
          <t>A 14590-2023</t>
        </is>
      </c>
      <c r="B49" s="1" t="n">
        <v>45013</v>
      </c>
      <c r="C49" s="1" t="n">
        <v>46198</v>
      </c>
      <c r="D49" t="inlineStr">
        <is>
          <t>UPPSALA LÄN</t>
        </is>
      </c>
      <c r="E49" t="inlineStr">
        <is>
          <t>ÄLVKARLEBY</t>
        </is>
      </c>
      <c r="G49" t="n">
        <v>1.8</v>
      </c>
      <c r="H49" t="n">
        <v>0</v>
      </c>
      <c r="I49" t="n">
        <v>0</v>
      </c>
      <c r="J49" t="n">
        <v>0</v>
      </c>
      <c r="K49" t="n">
        <v>0</v>
      </c>
      <c r="L49" t="n">
        <v>0</v>
      </c>
      <c r="M49" t="n">
        <v>0</v>
      </c>
      <c r="N49" t="n">
        <v>0</v>
      </c>
      <c r="O49" t="n">
        <v>0</v>
      </c>
      <c r="P49" t="n">
        <v>0</v>
      </c>
      <c r="Q49" t="n">
        <v>0</v>
      </c>
      <c r="R49" s="2" t="inlineStr"/>
    </row>
    <row r="50" ht="15" customHeight="1">
      <c r="A50" t="inlineStr">
        <is>
          <t>A 28670-2025</t>
        </is>
      </c>
      <c r="B50" s="1" t="n">
        <v>45819</v>
      </c>
      <c r="C50" s="1" t="n">
        <v>46198</v>
      </c>
      <c r="D50" t="inlineStr">
        <is>
          <t>UPPSALA LÄN</t>
        </is>
      </c>
      <c r="E50" t="inlineStr">
        <is>
          <t>ÄLVKARLEBY</t>
        </is>
      </c>
      <c r="F50" t="inlineStr">
        <is>
          <t>Bergvik skog väst AB</t>
        </is>
      </c>
      <c r="G50" t="n">
        <v>1.6</v>
      </c>
      <c r="H50" t="n">
        <v>0</v>
      </c>
      <c r="I50" t="n">
        <v>0</v>
      </c>
      <c r="J50" t="n">
        <v>0</v>
      </c>
      <c r="K50" t="n">
        <v>0</v>
      </c>
      <c r="L50" t="n">
        <v>0</v>
      </c>
      <c r="M50" t="n">
        <v>0</v>
      </c>
      <c r="N50" t="n">
        <v>0</v>
      </c>
      <c r="O50" t="n">
        <v>0</v>
      </c>
      <c r="P50" t="n">
        <v>0</v>
      </c>
      <c r="Q50" t="n">
        <v>0</v>
      </c>
      <c r="R50" s="2" t="inlineStr"/>
    </row>
    <row r="51" ht="15" customHeight="1">
      <c r="A51" t="inlineStr">
        <is>
          <t>A 50398-2025</t>
        </is>
      </c>
      <c r="B51" s="1" t="n">
        <v>45944</v>
      </c>
      <c r="C51" s="1" t="n">
        <v>46198</v>
      </c>
      <c r="D51" t="inlineStr">
        <is>
          <t>UPPSALA LÄN</t>
        </is>
      </c>
      <c r="E51" t="inlineStr">
        <is>
          <t>ÄLVKARLEBY</t>
        </is>
      </c>
      <c r="F51" t="inlineStr">
        <is>
          <t>Bergvik skog väst AB</t>
        </is>
      </c>
      <c r="G51" t="n">
        <v>4.4</v>
      </c>
      <c r="H51" t="n">
        <v>0</v>
      </c>
      <c r="I51" t="n">
        <v>0</v>
      </c>
      <c r="J51" t="n">
        <v>0</v>
      </c>
      <c r="K51" t="n">
        <v>0</v>
      </c>
      <c r="L51" t="n">
        <v>0</v>
      </c>
      <c r="M51" t="n">
        <v>0</v>
      </c>
      <c r="N51" t="n">
        <v>0</v>
      </c>
      <c r="O51" t="n">
        <v>0</v>
      </c>
      <c r="P51" t="n">
        <v>0</v>
      </c>
      <c r="Q51" t="n">
        <v>0</v>
      </c>
      <c r="R51" s="2" t="inlineStr"/>
    </row>
    <row r="52" ht="15" customHeight="1">
      <c r="A52" t="inlineStr">
        <is>
          <t>A 50371-2025</t>
        </is>
      </c>
      <c r="B52" s="1" t="n">
        <v>45944</v>
      </c>
      <c r="C52" s="1" t="n">
        <v>46198</v>
      </c>
      <c r="D52" t="inlineStr">
        <is>
          <t>UPPSALA LÄN</t>
        </is>
      </c>
      <c r="E52" t="inlineStr">
        <is>
          <t>ÄLVKARLEBY</t>
        </is>
      </c>
      <c r="F52" t="inlineStr">
        <is>
          <t>Bergvik skog väst AB</t>
        </is>
      </c>
      <c r="G52" t="n">
        <v>1.4</v>
      </c>
      <c r="H52" t="n">
        <v>0</v>
      </c>
      <c r="I52" t="n">
        <v>0</v>
      </c>
      <c r="J52" t="n">
        <v>0</v>
      </c>
      <c r="K52" t="n">
        <v>0</v>
      </c>
      <c r="L52" t="n">
        <v>0</v>
      </c>
      <c r="M52" t="n">
        <v>0</v>
      </c>
      <c r="N52" t="n">
        <v>0</v>
      </c>
      <c r="O52" t="n">
        <v>0</v>
      </c>
      <c r="P52" t="n">
        <v>0</v>
      </c>
      <c r="Q52" t="n">
        <v>0</v>
      </c>
      <c r="R52" s="2" t="inlineStr"/>
    </row>
    <row r="53" ht="15" customHeight="1">
      <c r="A53" t="inlineStr">
        <is>
          <t>A 51237-2025</t>
        </is>
      </c>
      <c r="B53" s="1" t="n">
        <v>45947</v>
      </c>
      <c r="C53" s="1" t="n">
        <v>46198</v>
      </c>
      <c r="D53" t="inlineStr">
        <is>
          <t>UPPSALA LÄN</t>
        </is>
      </c>
      <c r="E53" t="inlineStr">
        <is>
          <t>ÄLVKARLEBY</t>
        </is>
      </c>
      <c r="F53" t="inlineStr">
        <is>
          <t>Bergvik skog väst AB</t>
        </is>
      </c>
      <c r="G53" t="n">
        <v>1.8</v>
      </c>
      <c r="H53" t="n">
        <v>0</v>
      </c>
      <c r="I53" t="n">
        <v>0</v>
      </c>
      <c r="J53" t="n">
        <v>0</v>
      </c>
      <c r="K53" t="n">
        <v>0</v>
      </c>
      <c r="L53" t="n">
        <v>0</v>
      </c>
      <c r="M53" t="n">
        <v>0</v>
      </c>
      <c r="N53" t="n">
        <v>0</v>
      </c>
      <c r="O53" t="n">
        <v>0</v>
      </c>
      <c r="P53" t="n">
        <v>0</v>
      </c>
      <c r="Q53" t="n">
        <v>0</v>
      </c>
      <c r="R53" s="2" t="inlineStr"/>
    </row>
    <row r="54" ht="15" customHeight="1">
      <c r="A54" t="inlineStr">
        <is>
          <t>A 52477-2025</t>
        </is>
      </c>
      <c r="B54" s="1" t="n">
        <v>45954</v>
      </c>
      <c r="C54" s="1" t="n">
        <v>46198</v>
      </c>
      <c r="D54" t="inlineStr">
        <is>
          <t>UPPSALA LÄN</t>
        </is>
      </c>
      <c r="E54" t="inlineStr">
        <is>
          <t>ÄLVKARLEBY</t>
        </is>
      </c>
      <c r="F54" t="inlineStr">
        <is>
          <t>Bergvik skog väst AB</t>
        </is>
      </c>
      <c r="G54" t="n">
        <v>5.3</v>
      </c>
      <c r="H54" t="n">
        <v>0</v>
      </c>
      <c r="I54" t="n">
        <v>0</v>
      </c>
      <c r="J54" t="n">
        <v>0</v>
      </c>
      <c r="K54" t="n">
        <v>0</v>
      </c>
      <c r="L54" t="n">
        <v>0</v>
      </c>
      <c r="M54" t="n">
        <v>0</v>
      </c>
      <c r="N54" t="n">
        <v>0</v>
      </c>
      <c r="O54" t="n">
        <v>0</v>
      </c>
      <c r="P54" t="n">
        <v>0</v>
      </c>
      <c r="Q54" t="n">
        <v>0</v>
      </c>
      <c r="R54" s="2" t="inlineStr"/>
    </row>
    <row r="55" ht="15" customHeight="1">
      <c r="A55" t="inlineStr">
        <is>
          <t>A 52498-2025</t>
        </is>
      </c>
      <c r="B55" s="1" t="n">
        <v>45954</v>
      </c>
      <c r="C55" s="1" t="n">
        <v>46198</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53184-2025</t>
        </is>
      </c>
      <c r="B56" s="1" t="n">
        <v>45958</v>
      </c>
      <c r="C56" s="1" t="n">
        <v>46198</v>
      </c>
      <c r="D56" t="inlineStr">
        <is>
          <t>UPPSALA LÄN</t>
        </is>
      </c>
      <c r="E56" t="inlineStr">
        <is>
          <t>ÄLVKARLEBY</t>
        </is>
      </c>
      <c r="F56" t="inlineStr">
        <is>
          <t>Bergvik skog väst AB</t>
        </is>
      </c>
      <c r="G56" t="n">
        <v>0.6</v>
      </c>
      <c r="H56" t="n">
        <v>0</v>
      </c>
      <c r="I56" t="n">
        <v>0</v>
      </c>
      <c r="J56" t="n">
        <v>0</v>
      </c>
      <c r="K56" t="n">
        <v>0</v>
      </c>
      <c r="L56" t="n">
        <v>0</v>
      </c>
      <c r="M56" t="n">
        <v>0</v>
      </c>
      <c r="N56" t="n">
        <v>0</v>
      </c>
      <c r="O56" t="n">
        <v>0</v>
      </c>
      <c r="P56" t="n">
        <v>0</v>
      </c>
      <c r="Q56" t="n">
        <v>0</v>
      </c>
      <c r="R56" s="2" t="inlineStr"/>
    </row>
    <row r="57" ht="15" customHeight="1">
      <c r="A57" t="inlineStr">
        <is>
          <t>A 53173-2025</t>
        </is>
      </c>
      <c r="B57" s="1" t="n">
        <v>45958</v>
      </c>
      <c r="C57" s="1" t="n">
        <v>46198</v>
      </c>
      <c r="D57" t="inlineStr">
        <is>
          <t>UPPSALA LÄN</t>
        </is>
      </c>
      <c r="E57" t="inlineStr">
        <is>
          <t>ÄLVKARLEBY</t>
        </is>
      </c>
      <c r="F57" t="inlineStr">
        <is>
          <t>Bergvik skog väst AB</t>
        </is>
      </c>
      <c r="G57" t="n">
        <v>2.3</v>
      </c>
      <c r="H57" t="n">
        <v>0</v>
      </c>
      <c r="I57" t="n">
        <v>0</v>
      </c>
      <c r="J57" t="n">
        <v>0</v>
      </c>
      <c r="K57" t="n">
        <v>0</v>
      </c>
      <c r="L57" t="n">
        <v>0</v>
      </c>
      <c r="M57" t="n">
        <v>0</v>
      </c>
      <c r="N57" t="n">
        <v>0</v>
      </c>
      <c r="O57" t="n">
        <v>0</v>
      </c>
      <c r="P57" t="n">
        <v>0</v>
      </c>
      <c r="Q57" t="n">
        <v>0</v>
      </c>
      <c r="R57" s="2" t="inlineStr"/>
    </row>
    <row r="58" ht="15" customHeight="1">
      <c r="A58" t="inlineStr">
        <is>
          <t>A 36216-2022</t>
        </is>
      </c>
      <c r="B58" s="1" t="n">
        <v>44803</v>
      </c>
      <c r="C58" s="1" t="n">
        <v>46198</v>
      </c>
      <c r="D58" t="inlineStr">
        <is>
          <t>UPPSALA LÄN</t>
        </is>
      </c>
      <c r="E58" t="inlineStr">
        <is>
          <t>ÄLVKARLEBY</t>
        </is>
      </c>
      <c r="F58" t="inlineStr">
        <is>
          <t>Bergvik skog väst AB</t>
        </is>
      </c>
      <c r="G58" t="n">
        <v>0.5</v>
      </c>
      <c r="H58" t="n">
        <v>0</v>
      </c>
      <c r="I58" t="n">
        <v>0</v>
      </c>
      <c r="J58" t="n">
        <v>0</v>
      </c>
      <c r="K58" t="n">
        <v>0</v>
      </c>
      <c r="L58" t="n">
        <v>0</v>
      </c>
      <c r="M58" t="n">
        <v>0</v>
      </c>
      <c r="N58" t="n">
        <v>0</v>
      </c>
      <c r="O58" t="n">
        <v>0</v>
      </c>
      <c r="P58" t="n">
        <v>0</v>
      </c>
      <c r="Q58" t="n">
        <v>0</v>
      </c>
      <c r="R58" s="2" t="inlineStr"/>
    </row>
    <row r="59" ht="15" customHeight="1">
      <c r="A59" t="inlineStr">
        <is>
          <t>A 56861-2025</t>
        </is>
      </c>
      <c r="B59" s="1" t="n">
        <v>45978</v>
      </c>
      <c r="C59" s="1" t="n">
        <v>46198</v>
      </c>
      <c r="D59" t="inlineStr">
        <is>
          <t>UPPSALA LÄN</t>
        </is>
      </c>
      <c r="E59" t="inlineStr">
        <is>
          <t>ÄLVKARLEBY</t>
        </is>
      </c>
      <c r="F59" t="inlineStr">
        <is>
          <t>Bergvik skog väst AB</t>
        </is>
      </c>
      <c r="G59" t="n">
        <v>1.6</v>
      </c>
      <c r="H59" t="n">
        <v>0</v>
      </c>
      <c r="I59" t="n">
        <v>0</v>
      </c>
      <c r="J59" t="n">
        <v>0</v>
      </c>
      <c r="K59" t="n">
        <v>0</v>
      </c>
      <c r="L59" t="n">
        <v>0</v>
      </c>
      <c r="M59" t="n">
        <v>0</v>
      </c>
      <c r="N59" t="n">
        <v>0</v>
      </c>
      <c r="O59" t="n">
        <v>0</v>
      </c>
      <c r="P59" t="n">
        <v>0</v>
      </c>
      <c r="Q59" t="n">
        <v>0</v>
      </c>
      <c r="R59" s="2" t="inlineStr"/>
    </row>
    <row r="60" ht="15" customHeight="1">
      <c r="A60" t="inlineStr">
        <is>
          <t>A 58168-2025</t>
        </is>
      </c>
      <c r="B60" s="1" t="n">
        <v>45982</v>
      </c>
      <c r="C60" s="1" t="n">
        <v>46198</v>
      </c>
      <c r="D60" t="inlineStr">
        <is>
          <t>UPPSALA LÄN</t>
        </is>
      </c>
      <c r="E60" t="inlineStr">
        <is>
          <t>ÄLVKARLEBY</t>
        </is>
      </c>
      <c r="F60" t="inlineStr">
        <is>
          <t>Bergvik skog väst AB</t>
        </is>
      </c>
      <c r="G60" t="n">
        <v>1.7</v>
      </c>
      <c r="H60" t="n">
        <v>0</v>
      </c>
      <c r="I60" t="n">
        <v>0</v>
      </c>
      <c r="J60" t="n">
        <v>0</v>
      </c>
      <c r="K60" t="n">
        <v>0</v>
      </c>
      <c r="L60" t="n">
        <v>0</v>
      </c>
      <c r="M60" t="n">
        <v>0</v>
      </c>
      <c r="N60" t="n">
        <v>0</v>
      </c>
      <c r="O60" t="n">
        <v>0</v>
      </c>
      <c r="P60" t="n">
        <v>0</v>
      </c>
      <c r="Q60" t="n">
        <v>0</v>
      </c>
      <c r="R60" s="2" t="inlineStr"/>
    </row>
    <row r="61" ht="15" customHeight="1">
      <c r="A61" t="inlineStr">
        <is>
          <t>A 58497-2025</t>
        </is>
      </c>
      <c r="B61" s="1" t="n">
        <v>45985</v>
      </c>
      <c r="C61" s="1" t="n">
        <v>46198</v>
      </c>
      <c r="D61" t="inlineStr">
        <is>
          <t>UPPSALA LÄN</t>
        </is>
      </c>
      <c r="E61" t="inlineStr">
        <is>
          <t>ÄLVKARLEBY</t>
        </is>
      </c>
      <c r="F61" t="inlineStr">
        <is>
          <t>Bergvik skog väst AB</t>
        </is>
      </c>
      <c r="G61" t="n">
        <v>4.6</v>
      </c>
      <c r="H61" t="n">
        <v>0</v>
      </c>
      <c r="I61" t="n">
        <v>0</v>
      </c>
      <c r="J61" t="n">
        <v>0</v>
      </c>
      <c r="K61" t="n">
        <v>0</v>
      </c>
      <c r="L61" t="n">
        <v>0</v>
      </c>
      <c r="M61" t="n">
        <v>0</v>
      </c>
      <c r="N61" t="n">
        <v>0</v>
      </c>
      <c r="O61" t="n">
        <v>0</v>
      </c>
      <c r="P61" t="n">
        <v>0</v>
      </c>
      <c r="Q61" t="n">
        <v>0</v>
      </c>
      <c r="R61" s="2" t="inlineStr"/>
    </row>
    <row r="62" ht="15" customHeight="1">
      <c r="A62" t="inlineStr">
        <is>
          <t>A 60256-2025</t>
        </is>
      </c>
      <c r="B62" s="1" t="n">
        <v>45994</v>
      </c>
      <c r="C62" s="1" t="n">
        <v>46198</v>
      </c>
      <c r="D62" t="inlineStr">
        <is>
          <t>UPPSALA LÄN</t>
        </is>
      </c>
      <c r="E62" t="inlineStr">
        <is>
          <t>ÄLVKARLEBY</t>
        </is>
      </c>
      <c r="G62" t="n">
        <v>1</v>
      </c>
      <c r="H62" t="n">
        <v>0</v>
      </c>
      <c r="I62" t="n">
        <v>0</v>
      </c>
      <c r="J62" t="n">
        <v>0</v>
      </c>
      <c r="K62" t="n">
        <v>0</v>
      </c>
      <c r="L62" t="n">
        <v>0</v>
      </c>
      <c r="M62" t="n">
        <v>0</v>
      </c>
      <c r="N62" t="n">
        <v>0</v>
      </c>
      <c r="O62" t="n">
        <v>0</v>
      </c>
      <c r="P62" t="n">
        <v>0</v>
      </c>
      <c r="Q62" t="n">
        <v>0</v>
      </c>
      <c r="R62" s="2" t="inlineStr"/>
    </row>
    <row r="63" ht="15" customHeight="1">
      <c r="A63" t="inlineStr">
        <is>
          <t>A 60842-2025</t>
        </is>
      </c>
      <c r="B63" s="1" t="n">
        <v>45999</v>
      </c>
      <c r="C63" s="1" t="n">
        <v>46198</v>
      </c>
      <c r="D63" t="inlineStr">
        <is>
          <t>UPPSALA LÄN</t>
        </is>
      </c>
      <c r="E63" t="inlineStr">
        <is>
          <t>ÄLVKARLEBY</t>
        </is>
      </c>
      <c r="F63" t="inlineStr">
        <is>
          <t>Bergvik skog väst AB</t>
        </is>
      </c>
      <c r="G63" t="n">
        <v>1.9</v>
      </c>
      <c r="H63" t="n">
        <v>0</v>
      </c>
      <c r="I63" t="n">
        <v>0</v>
      </c>
      <c r="J63" t="n">
        <v>0</v>
      </c>
      <c r="K63" t="n">
        <v>0</v>
      </c>
      <c r="L63" t="n">
        <v>0</v>
      </c>
      <c r="M63" t="n">
        <v>0</v>
      </c>
      <c r="N63" t="n">
        <v>0</v>
      </c>
      <c r="O63" t="n">
        <v>0</v>
      </c>
      <c r="P63" t="n">
        <v>0</v>
      </c>
      <c r="Q63" t="n">
        <v>0</v>
      </c>
      <c r="R63" s="2" t="inlineStr"/>
    </row>
    <row r="64" ht="15" customHeight="1">
      <c r="A64" t="inlineStr">
        <is>
          <t>A 61694-2025</t>
        </is>
      </c>
      <c r="B64" s="1" t="n">
        <v>46002</v>
      </c>
      <c r="C64" s="1" t="n">
        <v>46198</v>
      </c>
      <c r="D64" t="inlineStr">
        <is>
          <t>UPPSALA LÄN</t>
        </is>
      </c>
      <c r="E64" t="inlineStr">
        <is>
          <t>ÄLVKARLEBY</t>
        </is>
      </c>
      <c r="F64" t="inlineStr">
        <is>
          <t>Bergvik skog öst AB</t>
        </is>
      </c>
      <c r="G64" t="n">
        <v>1.5</v>
      </c>
      <c r="H64" t="n">
        <v>0</v>
      </c>
      <c r="I64" t="n">
        <v>0</v>
      </c>
      <c r="J64" t="n">
        <v>0</v>
      </c>
      <c r="K64" t="n">
        <v>0</v>
      </c>
      <c r="L64" t="n">
        <v>0</v>
      </c>
      <c r="M64" t="n">
        <v>0</v>
      </c>
      <c r="N64" t="n">
        <v>0</v>
      </c>
      <c r="O64" t="n">
        <v>0</v>
      </c>
      <c r="P64" t="n">
        <v>0</v>
      </c>
      <c r="Q64" t="n">
        <v>0</v>
      </c>
      <c r="R64" s="2" t="inlineStr"/>
    </row>
    <row r="65" ht="15" customHeight="1">
      <c r="A65" t="inlineStr">
        <is>
          <t>A 61691-2025</t>
        </is>
      </c>
      <c r="B65" s="1" t="n">
        <v>46002</v>
      </c>
      <c r="C65" s="1" t="n">
        <v>46198</v>
      </c>
      <c r="D65" t="inlineStr">
        <is>
          <t>UPPSALA LÄN</t>
        </is>
      </c>
      <c r="E65" t="inlineStr">
        <is>
          <t>ÄLVKARLEBY</t>
        </is>
      </c>
      <c r="F65" t="inlineStr">
        <is>
          <t>Bergvik skog öst AB</t>
        </is>
      </c>
      <c r="G65" t="n">
        <v>0.7</v>
      </c>
      <c r="H65" t="n">
        <v>0</v>
      </c>
      <c r="I65" t="n">
        <v>0</v>
      </c>
      <c r="J65" t="n">
        <v>0</v>
      </c>
      <c r="K65" t="n">
        <v>0</v>
      </c>
      <c r="L65" t="n">
        <v>0</v>
      </c>
      <c r="M65" t="n">
        <v>0</v>
      </c>
      <c r="N65" t="n">
        <v>0</v>
      </c>
      <c r="O65" t="n">
        <v>0</v>
      </c>
      <c r="P65" t="n">
        <v>0</v>
      </c>
      <c r="Q65" t="n">
        <v>0</v>
      </c>
      <c r="R65" s="2" t="inlineStr"/>
    </row>
    <row r="66" ht="15" customHeight="1">
      <c r="A66" t="inlineStr">
        <is>
          <t>A 62938-2025</t>
        </is>
      </c>
      <c r="B66" s="1" t="n">
        <v>46009</v>
      </c>
      <c r="C66" s="1" t="n">
        <v>46198</v>
      </c>
      <c r="D66" t="inlineStr">
        <is>
          <t>UPPSALA LÄN</t>
        </is>
      </c>
      <c r="E66" t="inlineStr">
        <is>
          <t>ÄLVKARLEBY</t>
        </is>
      </c>
      <c r="F66" t="inlineStr">
        <is>
          <t>Bergvik skog väst AB</t>
        </is>
      </c>
      <c r="G66" t="n">
        <v>10.2</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46198</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63365-2025</t>
        </is>
      </c>
      <c r="B68" s="1" t="n">
        <v>46010</v>
      </c>
      <c r="C68" s="1" t="n">
        <v>46198</v>
      </c>
      <c r="D68" t="inlineStr">
        <is>
          <t>UPPSALA LÄN</t>
        </is>
      </c>
      <c r="E68" t="inlineStr">
        <is>
          <t>ÄLVKARLEBY</t>
        </is>
      </c>
      <c r="F68" t="inlineStr">
        <is>
          <t>Bergvik skog väst AB</t>
        </is>
      </c>
      <c r="G68" t="n">
        <v>1.5</v>
      </c>
      <c r="H68" t="n">
        <v>0</v>
      </c>
      <c r="I68" t="n">
        <v>0</v>
      </c>
      <c r="J68" t="n">
        <v>0</v>
      </c>
      <c r="K68" t="n">
        <v>0</v>
      </c>
      <c r="L68" t="n">
        <v>0</v>
      </c>
      <c r="M68" t="n">
        <v>0</v>
      </c>
      <c r="N68" t="n">
        <v>0</v>
      </c>
      <c r="O68" t="n">
        <v>0</v>
      </c>
      <c r="P68" t="n">
        <v>0</v>
      </c>
      <c r="Q68" t="n">
        <v>0</v>
      </c>
      <c r="R68" s="2" t="inlineStr"/>
    </row>
    <row r="69" ht="15" customHeight="1">
      <c r="A69" t="inlineStr">
        <is>
          <t>A 61839-2025</t>
        </is>
      </c>
      <c r="B69" s="1" t="n">
        <v>46003</v>
      </c>
      <c r="C69" s="1" t="n">
        <v>46198</v>
      </c>
      <c r="D69" t="inlineStr">
        <is>
          <t>UPPSALA LÄN</t>
        </is>
      </c>
      <c r="E69" t="inlineStr">
        <is>
          <t>ÄLVKARLEBY</t>
        </is>
      </c>
      <c r="F69" t="inlineStr">
        <is>
          <t>Bergvik skog väst AB</t>
        </is>
      </c>
      <c r="G69" t="n">
        <v>2.3</v>
      </c>
      <c r="H69" t="n">
        <v>0</v>
      </c>
      <c r="I69" t="n">
        <v>0</v>
      </c>
      <c r="J69" t="n">
        <v>0</v>
      </c>
      <c r="K69" t="n">
        <v>0</v>
      </c>
      <c r="L69" t="n">
        <v>0</v>
      </c>
      <c r="M69" t="n">
        <v>0</v>
      </c>
      <c r="N69" t="n">
        <v>0</v>
      </c>
      <c r="O69" t="n">
        <v>0</v>
      </c>
      <c r="P69" t="n">
        <v>0</v>
      </c>
      <c r="Q69" t="n">
        <v>0</v>
      </c>
      <c r="R69" s="2" t="inlineStr"/>
    </row>
    <row r="70" ht="15" customHeight="1">
      <c r="A70" t="inlineStr">
        <is>
          <t>A 4134-2026</t>
        </is>
      </c>
      <c r="B70" s="1" t="n">
        <v>46044</v>
      </c>
      <c r="C70" s="1" t="n">
        <v>46198</v>
      </c>
      <c r="D70" t="inlineStr">
        <is>
          <t>UPPSALA LÄN</t>
        </is>
      </c>
      <c r="E70" t="inlineStr">
        <is>
          <t>ÄLVKARLEBY</t>
        </is>
      </c>
      <c r="F70" t="inlineStr">
        <is>
          <t>Bergvik skog öst AB</t>
        </is>
      </c>
      <c r="G70" t="n">
        <v>5.1</v>
      </c>
      <c r="H70" t="n">
        <v>0</v>
      </c>
      <c r="I70" t="n">
        <v>0</v>
      </c>
      <c r="J70" t="n">
        <v>0</v>
      </c>
      <c r="K70" t="n">
        <v>0</v>
      </c>
      <c r="L70" t="n">
        <v>0</v>
      </c>
      <c r="M70" t="n">
        <v>0</v>
      </c>
      <c r="N70" t="n">
        <v>0</v>
      </c>
      <c r="O70" t="n">
        <v>0</v>
      </c>
      <c r="P70" t="n">
        <v>0</v>
      </c>
      <c r="Q70" t="n">
        <v>0</v>
      </c>
      <c r="R70" s="2" t="inlineStr"/>
    </row>
    <row r="71" ht="15" customHeight="1">
      <c r="A71" t="inlineStr">
        <is>
          <t>A 38226-2023</t>
        </is>
      </c>
      <c r="B71" s="1" t="n">
        <v>45161</v>
      </c>
      <c r="C71" s="1" t="n">
        <v>46198</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9394-2026</t>
        </is>
      </c>
      <c r="B72" s="1" t="n">
        <v>46071</v>
      </c>
      <c r="C72" s="1" t="n">
        <v>46198</v>
      </c>
      <c r="D72" t="inlineStr">
        <is>
          <t>UPPSALA LÄN</t>
        </is>
      </c>
      <c r="E72" t="inlineStr">
        <is>
          <t>ÄLVKARLEBY</t>
        </is>
      </c>
      <c r="F72" t="inlineStr">
        <is>
          <t>Bergvik skog väst AB</t>
        </is>
      </c>
      <c r="G72" t="n">
        <v>2.2</v>
      </c>
      <c r="H72" t="n">
        <v>0</v>
      </c>
      <c r="I72" t="n">
        <v>0</v>
      </c>
      <c r="J72" t="n">
        <v>0</v>
      </c>
      <c r="K72" t="n">
        <v>0</v>
      </c>
      <c r="L72" t="n">
        <v>0</v>
      </c>
      <c r="M72" t="n">
        <v>0</v>
      </c>
      <c r="N72" t="n">
        <v>0</v>
      </c>
      <c r="O72" t="n">
        <v>0</v>
      </c>
      <c r="P72" t="n">
        <v>0</v>
      </c>
      <c r="Q72" t="n">
        <v>0</v>
      </c>
      <c r="R72" s="2" t="inlineStr"/>
    </row>
    <row r="73" ht="15" customHeight="1">
      <c r="A73" t="inlineStr">
        <is>
          <t>A 45372-2024</t>
        </is>
      </c>
      <c r="B73" s="1" t="n">
        <v>45576</v>
      </c>
      <c r="C73" s="1" t="n">
        <v>46198</v>
      </c>
      <c r="D73" t="inlineStr">
        <is>
          <t>UPPSALA LÄN</t>
        </is>
      </c>
      <c r="E73" t="inlineStr">
        <is>
          <t>ÄLVKARLEBY</t>
        </is>
      </c>
      <c r="F73" t="inlineStr">
        <is>
          <t>Bergvik skog väst AB</t>
        </is>
      </c>
      <c r="G73" t="n">
        <v>3.4</v>
      </c>
      <c r="H73" t="n">
        <v>0</v>
      </c>
      <c r="I73" t="n">
        <v>0</v>
      </c>
      <c r="J73" t="n">
        <v>0</v>
      </c>
      <c r="K73" t="n">
        <v>0</v>
      </c>
      <c r="L73" t="n">
        <v>0</v>
      </c>
      <c r="M73" t="n">
        <v>0</v>
      </c>
      <c r="N73" t="n">
        <v>0</v>
      </c>
      <c r="O73" t="n">
        <v>0</v>
      </c>
      <c r="P73" t="n">
        <v>0</v>
      </c>
      <c r="Q73" t="n">
        <v>0</v>
      </c>
      <c r="R73" s="2" t="inlineStr"/>
    </row>
    <row r="74" ht="15" customHeight="1">
      <c r="A74" t="inlineStr">
        <is>
          <t>A 11467-2026</t>
        </is>
      </c>
      <c r="B74" s="1" t="n">
        <v>46083</v>
      </c>
      <c r="C74" s="1" t="n">
        <v>46198</v>
      </c>
      <c r="D74" t="inlineStr">
        <is>
          <t>UPPSALA LÄN</t>
        </is>
      </c>
      <c r="E74" t="inlineStr">
        <is>
          <t>ÄLVKARLEBY</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41929-2024</t>
        </is>
      </c>
      <c r="B75" s="1" t="n">
        <v>45561</v>
      </c>
      <c r="C75" s="1" t="n">
        <v>46198</v>
      </c>
      <c r="D75" t="inlineStr">
        <is>
          <t>UPPSALA LÄN</t>
        </is>
      </c>
      <c r="E75" t="inlineStr">
        <is>
          <t>ÄLVKARLEBY</t>
        </is>
      </c>
      <c r="F75" t="inlineStr">
        <is>
          <t>Bergvik skog väst AB</t>
        </is>
      </c>
      <c r="G75" t="n">
        <v>4.9</v>
      </c>
      <c r="H75" t="n">
        <v>0</v>
      </c>
      <c r="I75" t="n">
        <v>0</v>
      </c>
      <c r="J75" t="n">
        <v>0</v>
      </c>
      <c r="K75" t="n">
        <v>0</v>
      </c>
      <c r="L75" t="n">
        <v>0</v>
      </c>
      <c r="M75" t="n">
        <v>0</v>
      </c>
      <c r="N75" t="n">
        <v>0</v>
      </c>
      <c r="O75" t="n">
        <v>0</v>
      </c>
      <c r="P75" t="n">
        <v>0</v>
      </c>
      <c r="Q75" t="n">
        <v>0</v>
      </c>
      <c r="R75" s="2" t="inlineStr"/>
    </row>
    <row r="76" ht="15" customHeight="1">
      <c r="A76" t="inlineStr">
        <is>
          <t>A 11848-2026</t>
        </is>
      </c>
      <c r="B76" s="1" t="n">
        <v>46085</v>
      </c>
      <c r="C76" s="1" t="n">
        <v>46198</v>
      </c>
      <c r="D76" t="inlineStr">
        <is>
          <t>UPPSALA LÄN</t>
        </is>
      </c>
      <c r="E76" t="inlineStr">
        <is>
          <t>ÄLVKARLEBY</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14091-2026</t>
        </is>
      </c>
      <c r="B77" s="1" t="n">
        <v>46099</v>
      </c>
      <c r="C77" s="1" t="n">
        <v>46198</v>
      </c>
      <c r="D77" t="inlineStr">
        <is>
          <t>UPPSALA LÄN</t>
        </is>
      </c>
      <c r="E77" t="inlineStr">
        <is>
          <t>ÄLVKARLEBY</t>
        </is>
      </c>
      <c r="G77" t="n">
        <v>0.7</v>
      </c>
      <c r="H77" t="n">
        <v>0</v>
      </c>
      <c r="I77" t="n">
        <v>0</v>
      </c>
      <c r="J77" t="n">
        <v>0</v>
      </c>
      <c r="K77" t="n">
        <v>0</v>
      </c>
      <c r="L77" t="n">
        <v>0</v>
      </c>
      <c r="M77" t="n">
        <v>0</v>
      </c>
      <c r="N77" t="n">
        <v>0</v>
      </c>
      <c r="O77" t="n">
        <v>0</v>
      </c>
      <c r="P77" t="n">
        <v>0</v>
      </c>
      <c r="Q77" t="n">
        <v>0</v>
      </c>
      <c r="R77" s="2" t="inlineStr"/>
    </row>
    <row r="78" ht="15" customHeight="1">
      <c r="A78" t="inlineStr">
        <is>
          <t>A 26815-2022</t>
        </is>
      </c>
      <c r="B78" s="1" t="n">
        <v>44740</v>
      </c>
      <c r="C78" s="1" t="n">
        <v>46198</v>
      </c>
      <c r="D78" t="inlineStr">
        <is>
          <t>UPPSALA LÄN</t>
        </is>
      </c>
      <c r="E78" t="inlineStr">
        <is>
          <t>ÄLVKARLEBY</t>
        </is>
      </c>
      <c r="G78" t="n">
        <v>5.8</v>
      </c>
      <c r="H78" t="n">
        <v>0</v>
      </c>
      <c r="I78" t="n">
        <v>0</v>
      </c>
      <c r="J78" t="n">
        <v>0</v>
      </c>
      <c r="K78" t="n">
        <v>0</v>
      </c>
      <c r="L78" t="n">
        <v>0</v>
      </c>
      <c r="M78" t="n">
        <v>0</v>
      </c>
      <c r="N78" t="n">
        <v>0</v>
      </c>
      <c r="O78" t="n">
        <v>0</v>
      </c>
      <c r="P78" t="n">
        <v>0</v>
      </c>
      <c r="Q78" t="n">
        <v>0</v>
      </c>
      <c r="R78" s="2" t="inlineStr"/>
    </row>
    <row r="79" ht="15" customHeight="1">
      <c r="A79" t="inlineStr">
        <is>
          <t>A 17851-2026</t>
        </is>
      </c>
      <c r="B79" s="1" t="n">
        <v>46122</v>
      </c>
      <c r="C79" s="1" t="n">
        <v>46198</v>
      </c>
      <c r="D79" t="inlineStr">
        <is>
          <t>UPPSALA LÄN</t>
        </is>
      </c>
      <c r="E79" t="inlineStr">
        <is>
          <t>ÄLVKARLEBY</t>
        </is>
      </c>
      <c r="F79" t="inlineStr">
        <is>
          <t>Bergvik skog öst AB</t>
        </is>
      </c>
      <c r="G79" t="n">
        <v>3.6</v>
      </c>
      <c r="H79" t="n">
        <v>0</v>
      </c>
      <c r="I79" t="n">
        <v>0</v>
      </c>
      <c r="J79" t="n">
        <v>0</v>
      </c>
      <c r="K79" t="n">
        <v>0</v>
      </c>
      <c r="L79" t="n">
        <v>0</v>
      </c>
      <c r="M79" t="n">
        <v>0</v>
      </c>
      <c r="N79" t="n">
        <v>0</v>
      </c>
      <c r="O79" t="n">
        <v>0</v>
      </c>
      <c r="P79" t="n">
        <v>0</v>
      </c>
      <c r="Q79" t="n">
        <v>0</v>
      </c>
      <c r="R79" s="2" t="inlineStr"/>
    </row>
    <row r="80" ht="15" customHeight="1">
      <c r="A80" t="inlineStr">
        <is>
          <t>A 41272-2023</t>
        </is>
      </c>
      <c r="B80" s="1" t="n">
        <v>45174</v>
      </c>
      <c r="C80" s="1" t="n">
        <v>46198</v>
      </c>
      <c r="D80" t="inlineStr">
        <is>
          <t>UPPSALA LÄN</t>
        </is>
      </c>
      <c r="E80" t="inlineStr">
        <is>
          <t>ÄLVKARLEBY</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41276-2023</t>
        </is>
      </c>
      <c r="B81" s="1" t="n">
        <v>45174</v>
      </c>
      <c r="C81" s="1" t="n">
        <v>46198</v>
      </c>
      <c r="D81" t="inlineStr">
        <is>
          <t>UPPSALA LÄN</t>
        </is>
      </c>
      <c r="E81" t="inlineStr">
        <is>
          <t>ÄLVKARLEBY</t>
        </is>
      </c>
      <c r="F81" t="inlineStr">
        <is>
          <t>Bergvik skog väst AB</t>
        </is>
      </c>
      <c r="G81" t="n">
        <v>0.3</v>
      </c>
      <c r="H81" t="n">
        <v>0</v>
      </c>
      <c r="I81" t="n">
        <v>0</v>
      </c>
      <c r="J81" t="n">
        <v>0</v>
      </c>
      <c r="K81" t="n">
        <v>0</v>
      </c>
      <c r="L81" t="n">
        <v>0</v>
      </c>
      <c r="M81" t="n">
        <v>0</v>
      </c>
      <c r="N81" t="n">
        <v>0</v>
      </c>
      <c r="O81" t="n">
        <v>0</v>
      </c>
      <c r="P81" t="n">
        <v>0</v>
      </c>
      <c r="Q81" t="n">
        <v>0</v>
      </c>
      <c r="R81" s="2" t="inlineStr"/>
    </row>
    <row r="82" ht="15" customHeight="1">
      <c r="A82" t="inlineStr">
        <is>
          <t>A 24591-2025</t>
        </is>
      </c>
      <c r="B82" s="1" t="n">
        <v>45798</v>
      </c>
      <c r="C82" s="1" t="n">
        <v>46198</v>
      </c>
      <c r="D82" t="inlineStr">
        <is>
          <t>UPPSALA LÄN</t>
        </is>
      </c>
      <c r="E82" t="inlineStr">
        <is>
          <t>ÄLVKARLEBY</t>
        </is>
      </c>
      <c r="F82" t="inlineStr">
        <is>
          <t>Bergvik skog väst AB</t>
        </is>
      </c>
      <c r="G82" t="n">
        <v>1.7</v>
      </c>
      <c r="H82" t="n">
        <v>0</v>
      </c>
      <c r="I82" t="n">
        <v>0</v>
      </c>
      <c r="J82" t="n">
        <v>0</v>
      </c>
      <c r="K82" t="n">
        <v>0</v>
      </c>
      <c r="L82" t="n">
        <v>0</v>
      </c>
      <c r="M82" t="n">
        <v>0</v>
      </c>
      <c r="N82" t="n">
        <v>0</v>
      </c>
      <c r="O82" t="n">
        <v>0</v>
      </c>
      <c r="P82" t="n">
        <v>0</v>
      </c>
      <c r="Q82" t="n">
        <v>0</v>
      </c>
      <c r="R82" s="2" t="inlineStr"/>
    </row>
    <row r="83" ht="15" customHeight="1">
      <c r="A83" t="inlineStr">
        <is>
          <t>A 25330-2025</t>
        </is>
      </c>
      <c r="B83" s="1" t="n">
        <v>45800</v>
      </c>
      <c r="C83" s="1" t="n">
        <v>46198</v>
      </c>
      <c r="D83" t="inlineStr">
        <is>
          <t>UPPSALA LÄN</t>
        </is>
      </c>
      <c r="E83" t="inlineStr">
        <is>
          <t>ÄLVKARLEBY</t>
        </is>
      </c>
      <c r="F83" t="inlineStr">
        <is>
          <t>Bergvik skog väst AB</t>
        </is>
      </c>
      <c r="G83" t="n">
        <v>5</v>
      </c>
      <c r="H83" t="n">
        <v>0</v>
      </c>
      <c r="I83" t="n">
        <v>0</v>
      </c>
      <c r="J83" t="n">
        <v>0</v>
      </c>
      <c r="K83" t="n">
        <v>0</v>
      </c>
      <c r="L83" t="n">
        <v>0</v>
      </c>
      <c r="M83" t="n">
        <v>0</v>
      </c>
      <c r="N83" t="n">
        <v>0</v>
      </c>
      <c r="O83" t="n">
        <v>0</v>
      </c>
      <c r="P83" t="n">
        <v>0</v>
      </c>
      <c r="Q83" t="n">
        <v>0</v>
      </c>
      <c r="R83" s="2" t="inlineStr"/>
    </row>
    <row r="84">
      <c r="A84" t="inlineStr">
        <is>
          <t>A 32187-2025</t>
        </is>
      </c>
      <c r="B84" s="1" t="n">
        <v>45835</v>
      </c>
      <c r="C84" s="1" t="n">
        <v>46198</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2026-06-25T00:47:06Z</dcterms:created>
  <dcterms:modified xmlns:dcterms="http://purl.org/dc/terms/" xmlns:xsi="http://www.w3.org/2001/XMLSchema-instance" xsi:type="dcterms:W3CDTF">2026-06-25T00:47:07Z</dcterms:modified>
</cp:coreProperties>
</file>