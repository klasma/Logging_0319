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46030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46030</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61693-2025</t>
        </is>
      </c>
      <c r="B14" s="1" t="n">
        <v>46002</v>
      </c>
      <c r="C14" s="1" t="n">
        <v>46030</v>
      </c>
      <c r="D14" t="inlineStr">
        <is>
          <t>UPPSALA LÄN</t>
        </is>
      </c>
      <c r="E14" t="inlineStr">
        <is>
          <t>ÄLVKARLEBY</t>
        </is>
      </c>
      <c r="F14" t="inlineStr">
        <is>
          <t>Bergvik skog öst AB</t>
        </is>
      </c>
      <c r="G14" t="n">
        <v>9.199999999999999</v>
      </c>
      <c r="H14" t="n">
        <v>0</v>
      </c>
      <c r="I14" t="n">
        <v>2</v>
      </c>
      <c r="J14" t="n">
        <v>1</v>
      </c>
      <c r="K14" t="n">
        <v>0</v>
      </c>
      <c r="L14" t="n">
        <v>0</v>
      </c>
      <c r="M14" t="n">
        <v>0</v>
      </c>
      <c r="N14" t="n">
        <v>0</v>
      </c>
      <c r="O14" t="n">
        <v>1</v>
      </c>
      <c r="P14" t="n">
        <v>0</v>
      </c>
      <c r="Q14" t="n">
        <v>3</v>
      </c>
      <c r="R14" s="2" t="inlineStr">
        <is>
          <t>Vedtrappmossa
Brandticka
Sårläka</t>
        </is>
      </c>
      <c r="S14">
        <f>HYPERLINK("https://klasma.github.io/Logging_0319/artfynd/A 61693-2025 artfynd.xlsx", "A 61693-2025")</f>
        <v/>
      </c>
      <c r="T14">
        <f>HYPERLINK("https://klasma.github.io/Logging_0319/kartor/A 61693-2025 karta.png", "A 61693-2025")</f>
        <v/>
      </c>
      <c r="V14">
        <f>HYPERLINK("https://klasma.github.io/Logging_0319/klagomål/A 61693-2025 FSC-klagomål.docx", "A 61693-2025")</f>
        <v/>
      </c>
      <c r="W14">
        <f>HYPERLINK("https://klasma.github.io/Logging_0319/klagomålsmail/A 61693-2025 FSC-klagomål mail.docx", "A 61693-2025")</f>
        <v/>
      </c>
      <c r="X14">
        <f>HYPERLINK("https://klasma.github.io/Logging_0319/tillsyn/A 61693-2025 tillsynsbegäran.docx", "A 61693-2025")</f>
        <v/>
      </c>
      <c r="Y14">
        <f>HYPERLINK("https://klasma.github.io/Logging_0319/tillsynsmail/A 61693-2025 tillsynsbegäran mail.docx", "A 61693-2025")</f>
        <v/>
      </c>
    </row>
    <row r="15" ht="15" customHeight="1">
      <c r="A15" t="inlineStr">
        <is>
          <t>A 70017-2021</t>
        </is>
      </c>
      <c r="B15" s="1" t="n">
        <v>44533</v>
      </c>
      <c r="C15" s="1" t="n">
        <v>46030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46030</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62278-2025</t>
        </is>
      </c>
      <c r="B17" s="1" t="n">
        <v>46006.63202546296</v>
      </c>
      <c r="C17" s="1" t="n">
        <v>46030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46030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46030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46030</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46030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46030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46030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46030</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46030</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46030</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46030</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46030</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46030</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46030</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46030</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46030</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63365-2025</t>
        </is>
      </c>
      <c r="B33" s="1" t="n">
        <v>46010.70717592593</v>
      </c>
      <c r="C33" s="1" t="n">
        <v>46030</v>
      </c>
      <c r="D33" t="inlineStr">
        <is>
          <t>UPPSALA LÄN</t>
        </is>
      </c>
      <c r="E33" t="inlineStr">
        <is>
          <t>ÄLVKARLEBY</t>
        </is>
      </c>
      <c r="F33" t="inlineStr">
        <is>
          <t>Bergvik skog väst AB</t>
        </is>
      </c>
      <c r="G33" t="n">
        <v>1.5</v>
      </c>
      <c r="H33" t="n">
        <v>0</v>
      </c>
      <c r="I33" t="n">
        <v>0</v>
      </c>
      <c r="J33" t="n">
        <v>0</v>
      </c>
      <c r="K33" t="n">
        <v>0</v>
      </c>
      <c r="L33" t="n">
        <v>0</v>
      </c>
      <c r="M33" t="n">
        <v>0</v>
      </c>
      <c r="N33" t="n">
        <v>0</v>
      </c>
      <c r="O33" t="n">
        <v>0</v>
      </c>
      <c r="P33" t="n">
        <v>0</v>
      </c>
      <c r="Q33" t="n">
        <v>0</v>
      </c>
      <c r="R33" s="2" t="inlineStr"/>
    </row>
    <row r="34" ht="15" customHeight="1">
      <c r="A34" t="inlineStr">
        <is>
          <t>A 63183-2025</t>
        </is>
      </c>
      <c r="B34" s="1" t="n">
        <v>46010.42908564815</v>
      </c>
      <c r="C34" s="1" t="n">
        <v>46030</v>
      </c>
      <c r="D34" t="inlineStr">
        <is>
          <t>UPPSALA LÄN</t>
        </is>
      </c>
      <c r="E34" t="inlineStr">
        <is>
          <t>ÄLVKARLEBY</t>
        </is>
      </c>
      <c r="F34" t="inlineStr">
        <is>
          <t>Bergvik skog väst AB</t>
        </is>
      </c>
      <c r="G34" t="n">
        <v>1</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46030</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18451-2025</t>
        </is>
      </c>
      <c r="B36" s="1" t="n">
        <v>45762</v>
      </c>
      <c r="C36" s="1" t="n">
        <v>46030</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46030</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46030</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56861-2025</t>
        </is>
      </c>
      <c r="B39" s="1" t="n">
        <v>45978.50824074074</v>
      </c>
      <c r="C39" s="1" t="n">
        <v>46030</v>
      </c>
      <c r="D39" t="inlineStr">
        <is>
          <t>UPPSALA LÄN</t>
        </is>
      </c>
      <c r="E39" t="inlineStr">
        <is>
          <t>ÄLVKARLEBY</t>
        </is>
      </c>
      <c r="F39" t="inlineStr">
        <is>
          <t>Bergvik skog väst AB</t>
        </is>
      </c>
      <c r="G39" t="n">
        <v>1.6</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46030</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46030</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25264-2025</t>
        </is>
      </c>
      <c r="B42" s="1" t="n">
        <v>45800.5334375</v>
      </c>
      <c r="C42" s="1" t="n">
        <v>46030</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46030</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46030</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46030</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46030</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46030</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43577-2025</t>
        </is>
      </c>
      <c r="B48" s="1" t="n">
        <v>45911.64219907407</v>
      </c>
      <c r="C48" s="1" t="n">
        <v>46030</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27741-2025</t>
        </is>
      </c>
      <c r="B49" s="1" t="n">
        <v>45815.5346875</v>
      </c>
      <c r="C49" s="1" t="n">
        <v>46030</v>
      </c>
      <c r="D49" t="inlineStr">
        <is>
          <t>UPPSALA LÄN</t>
        </is>
      </c>
      <c r="E49" t="inlineStr">
        <is>
          <t>ÄLVKARLEBY</t>
        </is>
      </c>
      <c r="F49" t="inlineStr">
        <is>
          <t>Bergvik skog väst AB</t>
        </is>
      </c>
      <c r="G49" t="n">
        <v>4.4</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46030</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27742-2025</t>
        </is>
      </c>
      <c r="B51" s="1" t="n">
        <v>45815.53724537037</v>
      </c>
      <c r="C51" s="1" t="n">
        <v>46030</v>
      </c>
      <c r="D51" t="inlineStr">
        <is>
          <t>UPPSALA LÄN</t>
        </is>
      </c>
      <c r="E51" t="inlineStr">
        <is>
          <t>ÄLVKARLEBY</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57734-2025</t>
        </is>
      </c>
      <c r="B52" s="1" t="n">
        <v>45981.51148148148</v>
      </c>
      <c r="C52" s="1" t="n">
        <v>46030</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28670-2025</t>
        </is>
      </c>
      <c r="B53" s="1" t="n">
        <v>45819.67130787037</v>
      </c>
      <c r="C53" s="1" t="n">
        <v>46030</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28668-2025</t>
        </is>
      </c>
      <c r="B54" s="1" t="n">
        <v>45819.66650462963</v>
      </c>
      <c r="C54" s="1" t="n">
        <v>46030</v>
      </c>
      <c r="D54" t="inlineStr">
        <is>
          <t>UPPSALA LÄN</t>
        </is>
      </c>
      <c r="E54" t="inlineStr">
        <is>
          <t>ÄLVKARLEBY</t>
        </is>
      </c>
      <c r="F54" t="inlineStr">
        <is>
          <t>Bergvik skog väst AB</t>
        </is>
      </c>
      <c r="G54" t="n">
        <v>8.300000000000001</v>
      </c>
      <c r="H54" t="n">
        <v>0</v>
      </c>
      <c r="I54" t="n">
        <v>0</v>
      </c>
      <c r="J54" t="n">
        <v>0</v>
      </c>
      <c r="K54" t="n">
        <v>0</v>
      </c>
      <c r="L54" t="n">
        <v>0</v>
      </c>
      <c r="M54" t="n">
        <v>0</v>
      </c>
      <c r="N54" t="n">
        <v>0</v>
      </c>
      <c r="O54" t="n">
        <v>0</v>
      </c>
      <c r="P54" t="n">
        <v>0</v>
      </c>
      <c r="Q54" t="n">
        <v>0</v>
      </c>
      <c r="R54" s="2" t="inlineStr"/>
    </row>
    <row r="55" ht="15" customHeight="1">
      <c r="A55" t="inlineStr">
        <is>
          <t>A 45033-2025</t>
        </is>
      </c>
      <c r="B55" s="1" t="n">
        <v>45918.70299768518</v>
      </c>
      <c r="C55" s="1" t="n">
        <v>46030</v>
      </c>
      <c r="D55" t="inlineStr">
        <is>
          <t>UPPSALA LÄN</t>
        </is>
      </c>
      <c r="E55" t="inlineStr">
        <is>
          <t>ÄLVKARLEBY</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45512-2025</t>
        </is>
      </c>
      <c r="B56" s="1" t="n">
        <v>45922.58106481482</v>
      </c>
      <c r="C56" s="1" t="n">
        <v>46030</v>
      </c>
      <c r="D56" t="inlineStr">
        <is>
          <t>UPPSALA LÄN</t>
        </is>
      </c>
      <c r="E56" t="inlineStr">
        <is>
          <t>ÄLVKARLEBY</t>
        </is>
      </c>
      <c r="F56" t="inlineStr">
        <is>
          <t>Bergvik skog väst AB</t>
        </is>
      </c>
      <c r="G56" t="n">
        <v>0.8</v>
      </c>
      <c r="H56" t="n">
        <v>0</v>
      </c>
      <c r="I56" t="n">
        <v>0</v>
      </c>
      <c r="J56" t="n">
        <v>0</v>
      </c>
      <c r="K56" t="n">
        <v>0</v>
      </c>
      <c r="L56" t="n">
        <v>0</v>
      </c>
      <c r="M56" t="n">
        <v>0</v>
      </c>
      <c r="N56" t="n">
        <v>0</v>
      </c>
      <c r="O56" t="n">
        <v>0</v>
      </c>
      <c r="P56" t="n">
        <v>0</v>
      </c>
      <c r="Q56" t="n">
        <v>0</v>
      </c>
      <c r="R56" s="2" t="inlineStr"/>
    </row>
    <row r="57" ht="15" customHeight="1">
      <c r="A57" t="inlineStr">
        <is>
          <t>A 58168-2025</t>
        </is>
      </c>
      <c r="B57" s="1" t="n">
        <v>45982.72024305556</v>
      </c>
      <c r="C57" s="1" t="n">
        <v>46030</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46030</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30483-2025</t>
        </is>
      </c>
      <c r="B59" s="1" t="n">
        <v>45828.68988425926</v>
      </c>
      <c r="C59" s="1" t="n">
        <v>46030</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30936-2025</t>
        </is>
      </c>
      <c r="B60" s="1" t="n">
        <v>45832.40586805555</v>
      </c>
      <c r="C60" s="1" t="n">
        <v>46030</v>
      </c>
      <c r="D60" t="inlineStr">
        <is>
          <t>UPPSALA LÄN</t>
        </is>
      </c>
      <c r="E60" t="inlineStr">
        <is>
          <t>ÄLVKARLEBY</t>
        </is>
      </c>
      <c r="F60" t="inlineStr">
        <is>
          <t>Bergvik skog öst AB</t>
        </is>
      </c>
      <c r="G60" t="n">
        <v>7.2</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46030</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30944-2025</t>
        </is>
      </c>
      <c r="B62" s="1" t="n">
        <v>45832.41182870371</v>
      </c>
      <c r="C62" s="1" t="n">
        <v>46030</v>
      </c>
      <c r="D62" t="inlineStr">
        <is>
          <t>UPPSALA LÄN</t>
        </is>
      </c>
      <c r="E62" t="inlineStr">
        <is>
          <t>ÄLVKARLEBY</t>
        </is>
      </c>
      <c r="F62" t="inlineStr">
        <is>
          <t>Bergvik skog öst AB</t>
        </is>
      </c>
      <c r="G62" t="n">
        <v>3.4</v>
      </c>
      <c r="H62" t="n">
        <v>0</v>
      </c>
      <c r="I62" t="n">
        <v>0</v>
      </c>
      <c r="J62" t="n">
        <v>0</v>
      </c>
      <c r="K62" t="n">
        <v>0</v>
      </c>
      <c r="L62" t="n">
        <v>0</v>
      </c>
      <c r="M62" t="n">
        <v>0</v>
      </c>
      <c r="N62" t="n">
        <v>0</v>
      </c>
      <c r="O62" t="n">
        <v>0</v>
      </c>
      <c r="P62" t="n">
        <v>0</v>
      </c>
      <c r="Q62" t="n">
        <v>0</v>
      </c>
      <c r="R62" s="2" t="inlineStr"/>
    </row>
    <row r="63" ht="15" customHeight="1">
      <c r="A63" t="inlineStr">
        <is>
          <t>A 32187-2025</t>
        </is>
      </c>
      <c r="B63" s="1" t="n">
        <v>45835.56949074074</v>
      </c>
      <c r="C63" s="1" t="n">
        <v>46030</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32203-2025</t>
        </is>
      </c>
      <c r="B64" s="1" t="n">
        <v>45835.57951388889</v>
      </c>
      <c r="C64" s="1" t="n">
        <v>46030</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46030</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46030</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46030</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43285-2023</t>
        </is>
      </c>
      <c r="B68" s="1" t="n">
        <v>45183.5630787037</v>
      </c>
      <c r="C68" s="1" t="n">
        <v>46030</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46030</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9533-2025</t>
        </is>
      </c>
      <c r="B70" s="1" t="n">
        <v>45715.57082175926</v>
      </c>
      <c r="C70" s="1" t="n">
        <v>46030</v>
      </c>
      <c r="D70" t="inlineStr">
        <is>
          <t>UPPSALA LÄN</t>
        </is>
      </c>
      <c r="E70" t="inlineStr">
        <is>
          <t>ÄLVKARLEBY</t>
        </is>
      </c>
      <c r="G70" t="n">
        <v>2.1</v>
      </c>
      <c r="H70" t="n">
        <v>0</v>
      </c>
      <c r="I70" t="n">
        <v>0</v>
      </c>
      <c r="J70" t="n">
        <v>0</v>
      </c>
      <c r="K70" t="n">
        <v>0</v>
      </c>
      <c r="L70" t="n">
        <v>0</v>
      </c>
      <c r="M70" t="n">
        <v>0</v>
      </c>
      <c r="N70" t="n">
        <v>0</v>
      </c>
      <c r="O70" t="n">
        <v>0</v>
      </c>
      <c r="P70" t="n">
        <v>0</v>
      </c>
      <c r="Q70" t="n">
        <v>0</v>
      </c>
      <c r="R70" s="2" t="inlineStr"/>
    </row>
    <row r="71" ht="15" customHeight="1">
      <c r="A71" t="inlineStr">
        <is>
          <t>A 2184-2024</t>
        </is>
      </c>
      <c r="B71" s="1" t="n">
        <v>45309</v>
      </c>
      <c r="C71" s="1" t="n">
        <v>46030</v>
      </c>
      <c r="D71" t="inlineStr">
        <is>
          <t>UPPSALA LÄN</t>
        </is>
      </c>
      <c r="E71" t="inlineStr">
        <is>
          <t>ÄLVKARLEBY</t>
        </is>
      </c>
      <c r="G71" t="n">
        <v>0.6</v>
      </c>
      <c r="H71" t="n">
        <v>0</v>
      </c>
      <c r="I71" t="n">
        <v>0</v>
      </c>
      <c r="J71" t="n">
        <v>0</v>
      </c>
      <c r="K71" t="n">
        <v>0</v>
      </c>
      <c r="L71" t="n">
        <v>0</v>
      </c>
      <c r="M71" t="n">
        <v>0</v>
      </c>
      <c r="N71" t="n">
        <v>0</v>
      </c>
      <c r="O71" t="n">
        <v>0</v>
      </c>
      <c r="P71" t="n">
        <v>0</v>
      </c>
      <c r="Q71" t="n">
        <v>0</v>
      </c>
      <c r="R71" s="2" t="inlineStr"/>
    </row>
    <row r="72" ht="15" customHeight="1">
      <c r="A72" t="inlineStr">
        <is>
          <t>A 50138-2025</t>
        </is>
      </c>
      <c r="B72" s="1" t="n">
        <v>45943.5653125</v>
      </c>
      <c r="C72" s="1" t="n">
        <v>46030</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46030</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50398-2025</t>
        </is>
      </c>
      <c r="B74" s="1" t="n">
        <v>45944.62854166667</v>
      </c>
      <c r="C74" s="1" t="n">
        <v>46030</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50371-2025</t>
        </is>
      </c>
      <c r="B75" s="1" t="n">
        <v>45944.58696759259</v>
      </c>
      <c r="C75" s="1" t="n">
        <v>46030</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51237-2025</t>
        </is>
      </c>
      <c r="B76" s="1" t="n">
        <v>45947.69307870371</v>
      </c>
      <c r="C76" s="1" t="n">
        <v>46030</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50869-2025</t>
        </is>
      </c>
      <c r="B77" s="1" t="n">
        <v>45946.60259259259</v>
      </c>
      <c r="C77" s="1" t="n">
        <v>46030</v>
      </c>
      <c r="D77" t="inlineStr">
        <is>
          <t>UPPSALA LÄN</t>
        </is>
      </c>
      <c r="E77" t="inlineStr">
        <is>
          <t>ÄLVKARLEBY</t>
        </is>
      </c>
      <c r="F77" t="inlineStr">
        <is>
          <t>Bergvik skog väst AB</t>
        </is>
      </c>
      <c r="G77" t="n">
        <v>11.4</v>
      </c>
      <c r="H77" t="n">
        <v>0</v>
      </c>
      <c r="I77" t="n">
        <v>0</v>
      </c>
      <c r="J77" t="n">
        <v>0</v>
      </c>
      <c r="K77" t="n">
        <v>0</v>
      </c>
      <c r="L77" t="n">
        <v>0</v>
      </c>
      <c r="M77" t="n">
        <v>0</v>
      </c>
      <c r="N77" t="n">
        <v>0</v>
      </c>
      <c r="O77" t="n">
        <v>0</v>
      </c>
      <c r="P77" t="n">
        <v>0</v>
      </c>
      <c r="Q77" t="n">
        <v>0</v>
      </c>
      <c r="R77" s="2" t="inlineStr"/>
    </row>
    <row r="78" ht="15" customHeight="1">
      <c r="A78" t="inlineStr">
        <is>
          <t>A 58497-2025</t>
        </is>
      </c>
      <c r="B78" s="1" t="n">
        <v>45985.67912037037</v>
      </c>
      <c r="C78" s="1" t="n">
        <v>46030</v>
      </c>
      <c r="D78" t="inlineStr">
        <is>
          <t>UPPSALA LÄN</t>
        </is>
      </c>
      <c r="E78" t="inlineStr">
        <is>
          <t>ÄLVKARLEBY</t>
        </is>
      </c>
      <c r="F78" t="inlineStr">
        <is>
          <t>Bergvik skog väst AB</t>
        </is>
      </c>
      <c r="G78" t="n">
        <v>4.6</v>
      </c>
      <c r="H78" t="n">
        <v>0</v>
      </c>
      <c r="I78" t="n">
        <v>0</v>
      </c>
      <c r="J78" t="n">
        <v>0</v>
      </c>
      <c r="K78" t="n">
        <v>0</v>
      </c>
      <c r="L78" t="n">
        <v>0</v>
      </c>
      <c r="M78" t="n">
        <v>0</v>
      </c>
      <c r="N78" t="n">
        <v>0</v>
      </c>
      <c r="O78" t="n">
        <v>0</v>
      </c>
      <c r="P78" t="n">
        <v>0</v>
      </c>
      <c r="Q78" t="n">
        <v>0</v>
      </c>
      <c r="R78" s="2" t="inlineStr"/>
    </row>
    <row r="79" ht="15" customHeight="1">
      <c r="A79" t="inlineStr">
        <is>
          <t>A 51238-2025</t>
        </is>
      </c>
      <c r="B79" s="1" t="n">
        <v>45947.69753472223</v>
      </c>
      <c r="C79" s="1" t="n">
        <v>46030</v>
      </c>
      <c r="D79" t="inlineStr">
        <is>
          <t>UPPSALA LÄN</t>
        </is>
      </c>
      <c r="E79" t="inlineStr">
        <is>
          <t>ÄLVKARLEBY</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46030</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46030</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60256-2025</t>
        </is>
      </c>
      <c r="B82" s="1" t="n">
        <v>45994.60216435185</v>
      </c>
      <c r="C82" s="1" t="n">
        <v>46030</v>
      </c>
      <c r="D82" t="inlineStr">
        <is>
          <t>UPPSALA LÄN</t>
        </is>
      </c>
      <c r="E82" t="inlineStr">
        <is>
          <t>ÄLVKARLEBY</t>
        </is>
      </c>
      <c r="G82" t="n">
        <v>1</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46030</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46030</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60829-2025</t>
        </is>
      </c>
      <c r="B85" s="1" t="n">
        <v>45999.46523148148</v>
      </c>
      <c r="C85" s="1" t="n">
        <v>46030</v>
      </c>
      <c r="D85" t="inlineStr">
        <is>
          <t>UPPSALA LÄN</t>
        </is>
      </c>
      <c r="E85" t="inlineStr">
        <is>
          <t>ÄLVKARLEBY</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52498-2025</t>
        </is>
      </c>
      <c r="B86" s="1" t="n">
        <v>45954.49314814815</v>
      </c>
      <c r="C86" s="1" t="n">
        <v>46030</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53184-2025</t>
        </is>
      </c>
      <c r="B87" s="1" t="n">
        <v>45958</v>
      </c>
      <c r="C87" s="1" t="n">
        <v>46030</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53173-2025</t>
        </is>
      </c>
      <c r="B88" s="1" t="n">
        <v>45958.51738425926</v>
      </c>
      <c r="C88" s="1" t="n">
        <v>46030</v>
      </c>
      <c r="D88" t="inlineStr">
        <is>
          <t>UPPSALA LÄN</t>
        </is>
      </c>
      <c r="E88" t="inlineStr">
        <is>
          <t>ÄLVKARLEBY</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46030</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61691-2025</t>
        </is>
      </c>
      <c r="B90" s="1" t="n">
        <v>46002.51318287037</v>
      </c>
      <c r="C90" s="1" t="n">
        <v>46030</v>
      </c>
      <c r="D90" t="inlineStr">
        <is>
          <t>UPPSALA LÄN</t>
        </is>
      </c>
      <c r="E90" t="inlineStr">
        <is>
          <t>ÄLVKARLEBY</t>
        </is>
      </c>
      <c r="F90" t="inlineStr">
        <is>
          <t>Bergvik skog öst AB</t>
        </is>
      </c>
      <c r="G90" t="n">
        <v>0.7</v>
      </c>
      <c r="H90" t="n">
        <v>0</v>
      </c>
      <c r="I90" t="n">
        <v>0</v>
      </c>
      <c r="J90" t="n">
        <v>0</v>
      </c>
      <c r="K90" t="n">
        <v>0</v>
      </c>
      <c r="L90" t="n">
        <v>0</v>
      </c>
      <c r="M90" t="n">
        <v>0</v>
      </c>
      <c r="N90" t="n">
        <v>0</v>
      </c>
      <c r="O90" t="n">
        <v>0</v>
      </c>
      <c r="P90" t="n">
        <v>0</v>
      </c>
      <c r="Q90" t="n">
        <v>0</v>
      </c>
      <c r="R90" s="2" t="inlineStr"/>
    </row>
    <row r="91" ht="15" customHeight="1">
      <c r="A91" t="inlineStr">
        <is>
          <t>A 61839-2025</t>
        </is>
      </c>
      <c r="B91" s="1" t="n">
        <v>46003.35768518518</v>
      </c>
      <c r="C91" s="1" t="n">
        <v>46030</v>
      </c>
      <c r="D91" t="inlineStr">
        <is>
          <t>UPPSALA LÄN</t>
        </is>
      </c>
      <c r="E91" t="inlineStr">
        <is>
          <t>ÄLVKARLEBY</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61685-2025</t>
        </is>
      </c>
      <c r="B92" s="1" t="n">
        <v>46002.503125</v>
      </c>
      <c r="C92" s="1" t="n">
        <v>46030</v>
      </c>
      <c r="D92" t="inlineStr">
        <is>
          <t>UPPSALA LÄN</t>
        </is>
      </c>
      <c r="E92" t="inlineStr">
        <is>
          <t>ÄLVKARLEBY</t>
        </is>
      </c>
      <c r="F92" t="inlineStr">
        <is>
          <t>Bergvik skog öst AB</t>
        </is>
      </c>
      <c r="G92" t="n">
        <v>1</v>
      </c>
      <c r="H92" t="n">
        <v>0</v>
      </c>
      <c r="I92" t="n">
        <v>0</v>
      </c>
      <c r="J92" t="n">
        <v>0</v>
      </c>
      <c r="K92" t="n">
        <v>0</v>
      </c>
      <c r="L92" t="n">
        <v>0</v>
      </c>
      <c r="M92" t="n">
        <v>0</v>
      </c>
      <c r="N92" t="n">
        <v>0</v>
      </c>
      <c r="O92" t="n">
        <v>0</v>
      </c>
      <c r="P92" t="n">
        <v>0</v>
      </c>
      <c r="Q92" t="n">
        <v>0</v>
      </c>
      <c r="R92" s="2" t="inlineStr"/>
    </row>
    <row r="93" ht="15" customHeight="1">
      <c r="A93" t="inlineStr">
        <is>
          <t>A 8030-2025</t>
        </is>
      </c>
      <c r="B93" s="1" t="n">
        <v>45707.59064814815</v>
      </c>
      <c r="C93" s="1" t="n">
        <v>46030</v>
      </c>
      <c r="D93" t="inlineStr">
        <is>
          <t>UPPSALA LÄN</t>
        </is>
      </c>
      <c r="E93" t="inlineStr">
        <is>
          <t>ÄLVKARLEBY</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63004-2025</t>
        </is>
      </c>
      <c r="B94" s="1" t="n">
        <v>46009.56873842593</v>
      </c>
      <c r="C94" s="1" t="n">
        <v>46030</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14590-2023</t>
        </is>
      </c>
      <c r="B95" s="1" t="n">
        <v>45013.54621527778</v>
      </c>
      <c r="C95" s="1" t="n">
        <v>46030</v>
      </c>
      <c r="D95" t="inlineStr">
        <is>
          <t>UPPSALA LÄN</t>
        </is>
      </c>
      <c r="E95" t="inlineStr">
        <is>
          <t>ÄLVKARLEBY</t>
        </is>
      </c>
      <c r="G95" t="n">
        <v>1.8</v>
      </c>
      <c r="H95" t="n">
        <v>0</v>
      </c>
      <c r="I95" t="n">
        <v>0</v>
      </c>
      <c r="J95" t="n">
        <v>0</v>
      </c>
      <c r="K95" t="n">
        <v>0</v>
      </c>
      <c r="L95" t="n">
        <v>0</v>
      </c>
      <c r="M95" t="n">
        <v>0</v>
      </c>
      <c r="N95" t="n">
        <v>0</v>
      </c>
      <c r="O95" t="n">
        <v>0</v>
      </c>
      <c r="P95" t="n">
        <v>0</v>
      </c>
      <c r="Q95" t="n">
        <v>0</v>
      </c>
      <c r="R95" s="2" t="inlineStr"/>
    </row>
    <row r="96" ht="15" customHeight="1">
      <c r="A96" t="inlineStr">
        <is>
          <t>A 62938-2025</t>
        </is>
      </c>
      <c r="B96" s="1" t="n">
        <v>46009.42092592592</v>
      </c>
      <c r="C96" s="1" t="n">
        <v>46030</v>
      </c>
      <c r="D96" t="inlineStr">
        <is>
          <t>UPPSALA LÄN</t>
        </is>
      </c>
      <c r="E96" t="inlineStr">
        <is>
          <t>ÄLVKARLEBY</t>
        </is>
      </c>
      <c r="F96" t="inlineStr">
        <is>
          <t>Bergvik skog väst AB</t>
        </is>
      </c>
      <c r="G96" t="n">
        <v>10.2</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46030</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7286-2023</t>
        </is>
      </c>
      <c r="B98" s="1" t="n">
        <v>44970</v>
      </c>
      <c r="C98" s="1" t="n">
        <v>46030</v>
      </c>
      <c r="D98" t="inlineStr">
        <is>
          <t>UPPSALA LÄN</t>
        </is>
      </c>
      <c r="E98" t="inlineStr">
        <is>
          <t>ÄLVKARLEBY</t>
        </is>
      </c>
      <c r="F98" t="inlineStr">
        <is>
          <t>Bergvik skog väst AB</t>
        </is>
      </c>
      <c r="G98" t="n">
        <v>2.5</v>
      </c>
      <c r="H98" t="n">
        <v>0</v>
      </c>
      <c r="I98" t="n">
        <v>0</v>
      </c>
      <c r="J98" t="n">
        <v>0</v>
      </c>
      <c r="K98" t="n">
        <v>0</v>
      </c>
      <c r="L98" t="n">
        <v>0</v>
      </c>
      <c r="M98" t="n">
        <v>0</v>
      </c>
      <c r="N98" t="n">
        <v>0</v>
      </c>
      <c r="O98" t="n">
        <v>0</v>
      </c>
      <c r="P98" t="n">
        <v>0</v>
      </c>
      <c r="Q98" t="n">
        <v>0</v>
      </c>
      <c r="R98" s="2" t="inlineStr"/>
    </row>
    <row r="99" ht="15" customHeight="1">
      <c r="A99" t="inlineStr">
        <is>
          <t>A 36216-2022</t>
        </is>
      </c>
      <c r="B99" s="1" t="n">
        <v>44803</v>
      </c>
      <c r="C99" s="1" t="n">
        <v>46030</v>
      </c>
      <c r="D99" t="inlineStr">
        <is>
          <t>UPPSALA LÄN</t>
        </is>
      </c>
      <c r="E99" t="inlineStr">
        <is>
          <t>ÄLVKARLEBY</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16990-2022</t>
        </is>
      </c>
      <c r="B100" s="1" t="n">
        <v>44676.6122337963</v>
      </c>
      <c r="C100" s="1" t="n">
        <v>46030</v>
      </c>
      <c r="D100" t="inlineStr">
        <is>
          <t>UPPSALA LÄN</t>
        </is>
      </c>
      <c r="E100" t="inlineStr">
        <is>
          <t>ÄLVKARLEBY</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38226-2023</t>
        </is>
      </c>
      <c r="B101" s="1" t="n">
        <v>45161</v>
      </c>
      <c r="C101" s="1" t="n">
        <v>46030</v>
      </c>
      <c r="D101" t="inlineStr">
        <is>
          <t>UPPSALA LÄN</t>
        </is>
      </c>
      <c r="E101" t="inlineStr">
        <is>
          <t>ÄLVKARLEBY</t>
        </is>
      </c>
      <c r="F101" t="inlineStr">
        <is>
          <t>Bergvik skog väst AB</t>
        </is>
      </c>
      <c r="G101" t="n">
        <v>4.5</v>
      </c>
      <c r="H101" t="n">
        <v>0</v>
      </c>
      <c r="I101" t="n">
        <v>0</v>
      </c>
      <c r="J101" t="n">
        <v>0</v>
      </c>
      <c r="K101" t="n">
        <v>0</v>
      </c>
      <c r="L101" t="n">
        <v>0</v>
      </c>
      <c r="M101" t="n">
        <v>0</v>
      </c>
      <c r="N101" t="n">
        <v>0</v>
      </c>
      <c r="O101" t="n">
        <v>0</v>
      </c>
      <c r="P101" t="n">
        <v>0</v>
      </c>
      <c r="Q101" t="n">
        <v>0</v>
      </c>
      <c r="R101" s="2" t="inlineStr"/>
    </row>
    <row r="102" ht="15" customHeight="1">
      <c r="A102" t="inlineStr">
        <is>
          <t>A 19303-2024</t>
        </is>
      </c>
      <c r="B102" s="1" t="n">
        <v>45428.70386574074</v>
      </c>
      <c r="C102" s="1" t="n">
        <v>46030</v>
      </c>
      <c r="D102" t="inlineStr">
        <is>
          <t>UPPSALA LÄN</t>
        </is>
      </c>
      <c r="E102" t="inlineStr">
        <is>
          <t>ÄLVKARLEBY</t>
        </is>
      </c>
      <c r="G102" t="n">
        <v>0.4</v>
      </c>
      <c r="H102" t="n">
        <v>0</v>
      </c>
      <c r="I102" t="n">
        <v>0</v>
      </c>
      <c r="J102" t="n">
        <v>0</v>
      </c>
      <c r="K102" t="n">
        <v>0</v>
      </c>
      <c r="L102" t="n">
        <v>0</v>
      </c>
      <c r="M102" t="n">
        <v>0</v>
      </c>
      <c r="N102" t="n">
        <v>0</v>
      </c>
      <c r="O102" t="n">
        <v>0</v>
      </c>
      <c r="P102" t="n">
        <v>0</v>
      </c>
      <c r="Q102" t="n">
        <v>0</v>
      </c>
      <c r="R102" s="2" t="inlineStr"/>
    </row>
    <row r="103" ht="15" customHeight="1">
      <c r="A103" t="inlineStr">
        <is>
          <t>A 3950-2025</t>
        </is>
      </c>
      <c r="B103" s="1" t="n">
        <v>45684</v>
      </c>
      <c r="C103" s="1" t="n">
        <v>46030</v>
      </c>
      <c r="D103" t="inlineStr">
        <is>
          <t>UPPSALA LÄN</t>
        </is>
      </c>
      <c r="E103" t="inlineStr">
        <is>
          <t>ÄLVKARLEBY</t>
        </is>
      </c>
      <c r="G103" t="n">
        <v>3.1</v>
      </c>
      <c r="H103" t="n">
        <v>0</v>
      </c>
      <c r="I103" t="n">
        <v>0</v>
      </c>
      <c r="J103" t="n">
        <v>0</v>
      </c>
      <c r="K103" t="n">
        <v>0</v>
      </c>
      <c r="L103" t="n">
        <v>0</v>
      </c>
      <c r="M103" t="n">
        <v>0</v>
      </c>
      <c r="N103" t="n">
        <v>0</v>
      </c>
      <c r="O103" t="n">
        <v>0</v>
      </c>
      <c r="P103" t="n">
        <v>0</v>
      </c>
      <c r="Q103" t="n">
        <v>0</v>
      </c>
      <c r="R103" s="2" t="inlineStr"/>
    </row>
    <row r="104" ht="15" customHeight="1">
      <c r="A104" t="inlineStr">
        <is>
          <t>A 19862-2025</t>
        </is>
      </c>
      <c r="B104" s="1" t="n">
        <v>45771.53560185185</v>
      </c>
      <c r="C104" s="1" t="n">
        <v>46030</v>
      </c>
      <c r="D104" t="inlineStr">
        <is>
          <t>UPPSALA LÄN</t>
        </is>
      </c>
      <c r="E104" t="inlineStr">
        <is>
          <t>ÄLVKARLEBY</t>
        </is>
      </c>
      <c r="F104" t="inlineStr">
        <is>
          <t>Kyrkan</t>
        </is>
      </c>
      <c r="G104" t="n">
        <v>3</v>
      </c>
      <c r="H104" t="n">
        <v>0</v>
      </c>
      <c r="I104" t="n">
        <v>0</v>
      </c>
      <c r="J104" t="n">
        <v>0</v>
      </c>
      <c r="K104" t="n">
        <v>0</v>
      </c>
      <c r="L104" t="n">
        <v>0</v>
      </c>
      <c r="M104" t="n">
        <v>0</v>
      </c>
      <c r="N104" t="n">
        <v>0</v>
      </c>
      <c r="O104" t="n">
        <v>0</v>
      </c>
      <c r="P104" t="n">
        <v>0</v>
      </c>
      <c r="Q104" t="n">
        <v>0</v>
      </c>
      <c r="R104" s="2" t="inlineStr"/>
    </row>
    <row r="105" ht="15" customHeight="1">
      <c r="A105" t="inlineStr">
        <is>
          <t>A 45372-2024</t>
        </is>
      </c>
      <c r="B105" s="1" t="n">
        <v>45576.51116898148</v>
      </c>
      <c r="C105" s="1" t="n">
        <v>46030</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41929-2024</t>
        </is>
      </c>
      <c r="B106" s="1" t="n">
        <v>45561</v>
      </c>
      <c r="C106" s="1" t="n">
        <v>46030</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39791-2021</t>
        </is>
      </c>
      <c r="B107" s="1" t="n">
        <v>44417</v>
      </c>
      <c r="C107" s="1" t="n">
        <v>46030</v>
      </c>
      <c r="D107" t="inlineStr">
        <is>
          <t>UPPSALA LÄN</t>
        </is>
      </c>
      <c r="E107" t="inlineStr">
        <is>
          <t>ÄLVKARLEBY</t>
        </is>
      </c>
      <c r="G107" t="n">
        <v>1.8</v>
      </c>
      <c r="H107" t="n">
        <v>0</v>
      </c>
      <c r="I107" t="n">
        <v>0</v>
      </c>
      <c r="J107" t="n">
        <v>0</v>
      </c>
      <c r="K107" t="n">
        <v>0</v>
      </c>
      <c r="L107" t="n">
        <v>0</v>
      </c>
      <c r="M107" t="n">
        <v>0</v>
      </c>
      <c r="N107" t="n">
        <v>0</v>
      </c>
      <c r="O107" t="n">
        <v>0</v>
      </c>
      <c r="P107" t="n">
        <v>0</v>
      </c>
      <c r="Q107" t="n">
        <v>0</v>
      </c>
      <c r="R107" s="2" t="inlineStr"/>
    </row>
    <row r="108" ht="15" customHeight="1">
      <c r="A108" t="inlineStr">
        <is>
          <t>A 26815-2022</t>
        </is>
      </c>
      <c r="B108" s="1" t="n">
        <v>44740.44644675926</v>
      </c>
      <c r="C108" s="1" t="n">
        <v>46030</v>
      </c>
      <c r="D108" t="inlineStr">
        <is>
          <t>UPPSALA LÄN</t>
        </is>
      </c>
      <c r="E108" t="inlineStr">
        <is>
          <t>ÄLVKARLEBY</t>
        </is>
      </c>
      <c r="G108" t="n">
        <v>5.8</v>
      </c>
      <c r="H108" t="n">
        <v>0</v>
      </c>
      <c r="I108" t="n">
        <v>0</v>
      </c>
      <c r="J108" t="n">
        <v>0</v>
      </c>
      <c r="K108" t="n">
        <v>0</v>
      </c>
      <c r="L108" t="n">
        <v>0</v>
      </c>
      <c r="M108" t="n">
        <v>0</v>
      </c>
      <c r="N108" t="n">
        <v>0</v>
      </c>
      <c r="O108" t="n">
        <v>0</v>
      </c>
      <c r="P108" t="n">
        <v>0</v>
      </c>
      <c r="Q108" t="n">
        <v>0</v>
      </c>
      <c r="R108" s="2" t="inlineStr"/>
    </row>
    <row r="109" ht="15" customHeight="1">
      <c r="A109" t="inlineStr">
        <is>
          <t>A 8031-2025</t>
        </is>
      </c>
      <c r="B109" s="1" t="n">
        <v>45707.59112268518</v>
      </c>
      <c r="C109" s="1" t="n">
        <v>46030</v>
      </c>
      <c r="D109" t="inlineStr">
        <is>
          <t>UPPSALA LÄN</t>
        </is>
      </c>
      <c r="E109" t="inlineStr">
        <is>
          <t>ÄLVKARLEBY</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41272-2023</t>
        </is>
      </c>
      <c r="B110" s="1" t="n">
        <v>45174</v>
      </c>
      <c r="C110" s="1" t="n">
        <v>46030</v>
      </c>
      <c r="D110" t="inlineStr">
        <is>
          <t>UPPSALA LÄN</t>
        </is>
      </c>
      <c r="E110" t="inlineStr">
        <is>
          <t>ÄLVKARLEBY</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11553-2021</t>
        </is>
      </c>
      <c r="B111" s="1" t="n">
        <v>44264.48725694444</v>
      </c>
      <c r="C111" s="1" t="n">
        <v>46030</v>
      </c>
      <c r="D111" t="inlineStr">
        <is>
          <t>UPPSALA LÄN</t>
        </is>
      </c>
      <c r="E111" t="inlineStr">
        <is>
          <t>ÄLVKARLEBY</t>
        </is>
      </c>
      <c r="F111" t="inlineStr">
        <is>
          <t>Bergvik skog väst AB</t>
        </is>
      </c>
      <c r="G111" t="n">
        <v>1.7</v>
      </c>
      <c r="H111" t="n">
        <v>0</v>
      </c>
      <c r="I111" t="n">
        <v>0</v>
      </c>
      <c r="J111" t="n">
        <v>0</v>
      </c>
      <c r="K111" t="n">
        <v>0</v>
      </c>
      <c r="L111" t="n">
        <v>0</v>
      </c>
      <c r="M111" t="n">
        <v>0</v>
      </c>
      <c r="N111" t="n">
        <v>0</v>
      </c>
      <c r="O111" t="n">
        <v>0</v>
      </c>
      <c r="P111" t="n">
        <v>0</v>
      </c>
      <c r="Q111" t="n">
        <v>0</v>
      </c>
      <c r="R111" s="2" t="inlineStr"/>
    </row>
    <row r="112" ht="15" customHeight="1">
      <c r="A112" t="inlineStr">
        <is>
          <t>A 967-2021</t>
        </is>
      </c>
      <c r="B112" s="1" t="n">
        <v>44207</v>
      </c>
      <c r="C112" s="1" t="n">
        <v>46030</v>
      </c>
      <c r="D112" t="inlineStr">
        <is>
          <t>UPPSALA LÄN</t>
        </is>
      </c>
      <c r="E112" t="inlineStr">
        <is>
          <t>ÄLVKARLEBY</t>
        </is>
      </c>
      <c r="G112" t="n">
        <v>0.7</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46030</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19304-2024</t>
        </is>
      </c>
      <c r="B114" s="1" t="n">
        <v>45428</v>
      </c>
      <c r="C114" s="1" t="n">
        <v>46030</v>
      </c>
      <c r="D114" t="inlineStr">
        <is>
          <t>UPPSALA LÄN</t>
        </is>
      </c>
      <c r="E114" t="inlineStr">
        <is>
          <t>ÄLVKARLEBY</t>
        </is>
      </c>
      <c r="G114" t="n">
        <v>0.2</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46030</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46030</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2026-01-08T10:46:36Z</dcterms:created>
  <dcterms:modified xmlns:dcterms="http://purl.org/dc/terms/" xmlns:xsi="http://www.w3.org/2001/XMLSchema-instance" xsi:type="dcterms:W3CDTF">2026-01-08T10:46:36Z</dcterms:modified>
</cp:coreProperties>
</file>