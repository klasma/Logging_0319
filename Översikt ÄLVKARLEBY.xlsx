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45584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45584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45584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45584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45584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45584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45584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45584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45584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46275-2024</t>
        </is>
      </c>
      <c r="B11" s="1" t="n">
        <v>45581</v>
      </c>
      <c r="C11" s="1" t="n">
        <v>45584</v>
      </c>
      <c r="D11" t="inlineStr">
        <is>
          <t>UPPSALA LÄN</t>
        </is>
      </c>
      <c r="E11" t="inlineStr">
        <is>
          <t>ÄLVKARLEBY</t>
        </is>
      </c>
      <c r="G11" t="n">
        <v>1.9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Violgubbe
Backklöver
Sårläka</t>
        </is>
      </c>
      <c r="S11">
        <f>HYPERLINK("https://klasma.github.io/Logging_0319/artfynd/A 46275-2024 artfynd.xlsx", "A 46275-2024")</f>
        <v/>
      </c>
      <c r="T11">
        <f>HYPERLINK("https://klasma.github.io/Logging_0319/kartor/A 46275-2024 karta.png", "A 46275-2024")</f>
        <v/>
      </c>
      <c r="V11">
        <f>HYPERLINK("https://klasma.github.io/Logging_0319/klagomål/A 46275-2024 FSC-klagomål.docx", "A 46275-2024")</f>
        <v/>
      </c>
      <c r="W11">
        <f>HYPERLINK("https://klasma.github.io/Logging_0319/klagomålsmail/A 46275-2024 FSC-klagomål mail.docx", "A 46275-2024")</f>
        <v/>
      </c>
      <c r="X11">
        <f>HYPERLINK("https://klasma.github.io/Logging_0319/tillsyn/A 46275-2024 tillsynsbegäran.docx", "A 46275-2024")</f>
        <v/>
      </c>
      <c r="Y11">
        <f>HYPERLINK("https://klasma.github.io/Logging_0319/tillsynsmail/A 46275-2024 tillsynsbegäran mail.docx", "A 46275-2024")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45584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45584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45584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45584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45584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45584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45584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61147-2019</t>
        </is>
      </c>
      <c r="B19" s="1" t="n">
        <v>43782</v>
      </c>
      <c r="C19" s="1" t="n">
        <v>45584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Violgubbe</t>
        </is>
      </c>
      <c r="S19">
        <f>HYPERLINK("https://klasma.github.io/Logging_0319/artfynd/A 61147-2019 artfynd.xlsx", "A 61147-2019")</f>
        <v/>
      </c>
      <c r="T19">
        <f>HYPERLINK("https://klasma.github.io/Logging_0319/kartor/A 61147-2019 karta.png", "A 61147-2019")</f>
        <v/>
      </c>
      <c r="V19">
        <f>HYPERLINK("https://klasma.github.io/Logging_0319/klagomål/A 61147-2019 FSC-klagomål.docx", "A 61147-2019")</f>
        <v/>
      </c>
      <c r="W19">
        <f>HYPERLINK("https://klasma.github.io/Logging_0319/klagomålsmail/A 61147-2019 FSC-klagomål mail.docx", "A 61147-2019")</f>
        <v/>
      </c>
      <c r="X19">
        <f>HYPERLINK("https://klasma.github.io/Logging_0319/tillsyn/A 61147-2019 tillsynsbegäran.docx", "A 61147-2019")</f>
        <v/>
      </c>
      <c r="Y19">
        <f>HYPERLINK("https://klasma.github.io/Logging_0319/tillsynsmail/A 61147-2019 tillsynsbegäran mail.docx", "A 61147-2019")</f>
        <v/>
      </c>
    </row>
    <row r="20" ht="15" customHeight="1">
      <c r="A20" t="inlineStr">
        <is>
          <t>A 42895-2020</t>
        </is>
      </c>
      <c r="B20" s="1" t="n">
        <v>44078</v>
      </c>
      <c r="C20" s="1" t="n">
        <v>45584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Gölgroda</t>
        </is>
      </c>
      <c r="S20">
        <f>HYPERLINK("https://klasma.github.io/Logging_0319/artfynd/A 42895-2020 artfynd.xlsx", "A 42895-2020")</f>
        <v/>
      </c>
      <c r="T20">
        <f>HYPERLINK("https://klasma.github.io/Logging_0319/kartor/A 42895-2020 karta.png", "A 42895-2020")</f>
        <v/>
      </c>
      <c r="V20">
        <f>HYPERLINK("https://klasma.github.io/Logging_0319/klagomål/A 42895-2020 FSC-klagomål.docx", "A 42895-2020")</f>
        <v/>
      </c>
      <c r="W20">
        <f>HYPERLINK("https://klasma.github.io/Logging_0319/klagomålsmail/A 42895-2020 FSC-klagomål mail.docx", "A 42895-2020")</f>
        <v/>
      </c>
      <c r="X20">
        <f>HYPERLINK("https://klasma.github.io/Logging_0319/tillsyn/A 42895-2020 tillsynsbegäran.docx", "A 42895-2020")</f>
        <v/>
      </c>
      <c r="Y20">
        <f>HYPERLINK("https://klasma.github.io/Logging_0319/tillsynsmail/A 42895-2020 tillsynsbegäran mail.docx", "A 42895-2020")</f>
        <v/>
      </c>
    </row>
    <row r="21" ht="15" customHeight="1">
      <c r="A21" t="inlineStr">
        <is>
          <t>A 66277-2020</t>
        </is>
      </c>
      <c r="B21" s="1" t="n">
        <v>44176</v>
      </c>
      <c r="C21" s="1" t="n">
        <v>45584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HYPERLINK("https://klasma.github.io/Logging_0319/artfynd/A 66277-2020 artfynd.xlsx", "A 66277-2020")</f>
        <v/>
      </c>
      <c r="T21">
        <f>HYPERLINK("https://klasma.github.io/Logging_0319/kartor/A 66277-2020 karta.png", "A 66277-2020")</f>
        <v/>
      </c>
      <c r="V21">
        <f>HYPERLINK("https://klasma.github.io/Logging_0319/klagomål/A 66277-2020 FSC-klagomål.docx", "A 66277-2020")</f>
        <v/>
      </c>
      <c r="W21">
        <f>HYPERLINK("https://klasma.github.io/Logging_0319/klagomålsmail/A 66277-2020 FSC-klagomål mail.docx", "A 66277-2020")</f>
        <v/>
      </c>
      <c r="X21">
        <f>HYPERLINK("https://klasma.github.io/Logging_0319/tillsyn/A 66277-2020 tillsynsbegäran.docx", "A 66277-2020")</f>
        <v/>
      </c>
      <c r="Y21">
        <f>HYPERLINK("https://klasma.github.io/Logging_0319/tillsynsmail/A 66277-2020 tillsynsbegäran mail.docx", "A 66277-2020")</f>
        <v/>
      </c>
    </row>
    <row r="22" ht="15" customHeight="1">
      <c r="A22" t="inlineStr">
        <is>
          <t>A 29748-2022</t>
        </is>
      </c>
      <c r="B22" s="1" t="n">
        <v>44755</v>
      </c>
      <c r="C22" s="1" t="n">
        <v>45584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 bockrot</t>
        </is>
      </c>
      <c r="S22">
        <f>HYPERLINK("https://klasma.github.io/Logging_0319/artfynd/A 29748-2022 artfynd.xlsx", "A 29748-2022")</f>
        <v/>
      </c>
      <c r="T22">
        <f>HYPERLINK("https://klasma.github.io/Logging_0319/kartor/A 29748-2022 karta.png", "A 29748-2022")</f>
        <v/>
      </c>
      <c r="V22">
        <f>HYPERLINK("https://klasma.github.io/Logging_0319/klagomål/A 29748-2022 FSC-klagomål.docx", "A 29748-2022")</f>
        <v/>
      </c>
      <c r="W22">
        <f>HYPERLINK("https://klasma.github.io/Logging_0319/klagomålsmail/A 29748-2022 FSC-klagomål mail.docx", "A 29748-2022")</f>
        <v/>
      </c>
      <c r="X22">
        <f>HYPERLINK("https://klasma.github.io/Logging_0319/tillsyn/A 29748-2022 tillsynsbegäran.docx", "A 29748-2022")</f>
        <v/>
      </c>
      <c r="Y22">
        <f>HYPERLINK("https://klasma.github.io/Logging_0319/tillsynsmail/A 29748-2022 tillsynsbegäran mail.docx", "A 29748-2022")</f>
        <v/>
      </c>
    </row>
    <row r="23" ht="15" customHeight="1">
      <c r="A23" t="inlineStr">
        <is>
          <t>A 12415-2023</t>
        </is>
      </c>
      <c r="B23" s="1" t="n">
        <v>44999</v>
      </c>
      <c r="C23" s="1" t="n">
        <v>45584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7.2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HYPERLINK("https://klasma.github.io/Logging_0319/artfynd/A 12415-2023 artfynd.xlsx", "A 12415-2023")</f>
        <v/>
      </c>
      <c r="T23">
        <f>HYPERLINK("https://klasma.github.io/Logging_0319/kartor/A 12415-2023 karta.png", "A 12415-2023")</f>
        <v/>
      </c>
      <c r="V23">
        <f>HYPERLINK("https://klasma.github.io/Logging_0319/klagomål/A 12415-2023 FSC-klagomål.docx", "A 12415-2023")</f>
        <v/>
      </c>
      <c r="W23">
        <f>HYPERLINK("https://klasma.github.io/Logging_0319/klagomålsmail/A 12415-2023 FSC-klagomål mail.docx", "A 12415-2023")</f>
        <v/>
      </c>
      <c r="X23">
        <f>HYPERLINK("https://klasma.github.io/Logging_0319/tillsyn/A 12415-2023 tillsynsbegäran.docx", "A 12415-2023")</f>
        <v/>
      </c>
      <c r="Y23">
        <f>HYPERLINK("https://klasma.github.io/Logging_0319/tillsynsmail/A 12415-2023 tillsynsbegäran mail.docx", "A 12415-2023")</f>
        <v/>
      </c>
    </row>
    <row r="24" ht="15" customHeight="1">
      <c r="A24" t="inlineStr">
        <is>
          <t>A 46354-2023</t>
        </is>
      </c>
      <c r="B24" s="1" t="n">
        <v>45197</v>
      </c>
      <c r="C24" s="1" t="n">
        <v>45584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2.3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Skogsknipprot</t>
        </is>
      </c>
      <c r="S24">
        <f>HYPERLINK("https://klasma.github.io/Logging_0319/artfynd/A 46354-2023 artfynd.xlsx", "A 46354-2023")</f>
        <v/>
      </c>
      <c r="T24">
        <f>HYPERLINK("https://klasma.github.io/Logging_0319/kartor/A 46354-2023 karta.png", "A 46354-2023")</f>
        <v/>
      </c>
      <c r="V24">
        <f>HYPERLINK("https://klasma.github.io/Logging_0319/klagomål/A 46354-2023 FSC-klagomål.docx", "A 46354-2023")</f>
        <v/>
      </c>
      <c r="W24">
        <f>HYPERLINK("https://klasma.github.io/Logging_0319/klagomålsmail/A 46354-2023 FSC-klagomål mail.docx", "A 46354-2023")</f>
        <v/>
      </c>
      <c r="X24">
        <f>HYPERLINK("https://klasma.github.io/Logging_0319/tillsyn/A 46354-2023 tillsynsbegäran.docx", "A 46354-2023")</f>
        <v/>
      </c>
      <c r="Y24">
        <f>HYPERLINK("https://klasma.github.io/Logging_0319/tillsynsmail/A 46354-2023 tillsynsbegäran mail.docx", "A 46354-2023")</f>
        <v/>
      </c>
    </row>
    <row r="25" ht="15" customHeight="1">
      <c r="A25" t="inlineStr">
        <is>
          <t>A 5209-2024</t>
        </is>
      </c>
      <c r="B25" s="1" t="n">
        <v>45330</v>
      </c>
      <c r="C25" s="1" t="n">
        <v>45584</v>
      </c>
      <c r="D25" t="inlineStr">
        <is>
          <t>UPPSALA LÄN</t>
        </is>
      </c>
      <c r="E25" t="inlineStr">
        <is>
          <t>ÄLVKARLEBY</t>
        </is>
      </c>
      <c r="G25" t="n">
        <v>6.3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Guckusko</t>
        </is>
      </c>
      <c r="S25">
        <f>HYPERLINK("https://klasma.github.io/Logging_0319/artfynd/A 5209-2024 artfynd.xlsx", "A 5209-2024")</f>
        <v/>
      </c>
      <c r="T25">
        <f>HYPERLINK("https://klasma.github.io/Logging_0319/kartor/A 5209-2024 karta.png", "A 5209-2024")</f>
        <v/>
      </c>
      <c r="V25">
        <f>HYPERLINK("https://klasma.github.io/Logging_0319/klagomål/A 5209-2024 FSC-klagomål.docx", "A 5209-2024")</f>
        <v/>
      </c>
      <c r="W25">
        <f>HYPERLINK("https://klasma.github.io/Logging_0319/klagomålsmail/A 5209-2024 FSC-klagomål mail.docx", "A 5209-2024")</f>
        <v/>
      </c>
      <c r="X25">
        <f>HYPERLINK("https://klasma.github.io/Logging_0319/tillsyn/A 5209-2024 tillsynsbegäran.docx", "A 5209-2024")</f>
        <v/>
      </c>
      <c r="Y25">
        <f>HYPERLINK("https://klasma.github.io/Logging_0319/tillsynsmail/A 5209-2024 tillsynsbegäran mail.docx", "A 5209-2024")</f>
        <v/>
      </c>
    </row>
    <row r="26" ht="15" customHeight="1">
      <c r="A26" t="inlineStr">
        <is>
          <t>A 21700-2024</t>
        </is>
      </c>
      <c r="B26" s="1" t="n">
        <v>45442</v>
      </c>
      <c r="C26" s="1" t="n">
        <v>45584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1.1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Töcknig trymal</t>
        </is>
      </c>
      <c r="S26">
        <f>HYPERLINK("https://klasma.github.io/Logging_0319/artfynd/A 21700-2024 artfynd.xlsx", "A 21700-2024")</f>
        <v/>
      </c>
      <c r="T26">
        <f>HYPERLINK("https://klasma.github.io/Logging_0319/kartor/A 21700-2024 karta.png", "A 21700-2024")</f>
        <v/>
      </c>
      <c r="V26">
        <f>HYPERLINK("https://klasma.github.io/Logging_0319/klagomål/A 21700-2024 FSC-klagomål.docx", "A 21700-2024")</f>
        <v/>
      </c>
      <c r="W26">
        <f>HYPERLINK("https://klasma.github.io/Logging_0319/klagomålsmail/A 21700-2024 FSC-klagomål mail.docx", "A 21700-2024")</f>
        <v/>
      </c>
      <c r="X26">
        <f>HYPERLINK("https://klasma.github.io/Logging_0319/tillsyn/A 21700-2024 tillsynsbegäran.docx", "A 21700-2024")</f>
        <v/>
      </c>
      <c r="Y26">
        <f>HYPERLINK("https://klasma.github.io/Logging_0319/tillsynsmail/A 21700-2024 tillsynsbegäran mail.docx", "A 21700-2024")</f>
        <v/>
      </c>
    </row>
    <row r="27" ht="15" customHeight="1">
      <c r="A27" t="inlineStr">
        <is>
          <t>A 26471-2024</t>
        </is>
      </c>
      <c r="B27" s="1" t="n">
        <v>45469</v>
      </c>
      <c r="C27" s="1" t="n">
        <v>45584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Slaguggla</t>
        </is>
      </c>
      <c r="S27">
        <f>HYPERLINK("https://klasma.github.io/Logging_0319/artfynd/A 26471-2024 artfynd.xlsx", "A 26471-2024")</f>
        <v/>
      </c>
      <c r="T27">
        <f>HYPERLINK("https://klasma.github.io/Logging_0319/kartor/A 26471-2024 karta.png", "A 26471-2024")</f>
        <v/>
      </c>
      <c r="V27">
        <f>HYPERLINK("https://klasma.github.io/Logging_0319/klagomål/A 26471-2024 FSC-klagomål.docx", "A 26471-2024")</f>
        <v/>
      </c>
      <c r="W27">
        <f>HYPERLINK("https://klasma.github.io/Logging_0319/klagomålsmail/A 26471-2024 FSC-klagomål mail.docx", "A 26471-2024")</f>
        <v/>
      </c>
      <c r="X27">
        <f>HYPERLINK("https://klasma.github.io/Logging_0319/tillsyn/A 26471-2024 tillsynsbegäran.docx", "A 26471-2024")</f>
        <v/>
      </c>
      <c r="Y27">
        <f>HYPERLINK("https://klasma.github.io/Logging_0319/tillsynsmail/A 26471-2024 tillsynsbegäran mail.docx", "A 26471-2024")</f>
        <v/>
      </c>
      <c r="Z27">
        <f>HYPERLINK("https://klasma.github.io/Logging_0319/fåglar/A 26471-2024 prioriterade fågelarter.docx", "A 26471-2024")</f>
        <v/>
      </c>
    </row>
    <row r="28" ht="15" customHeight="1">
      <c r="A28" t="inlineStr">
        <is>
          <t>A 33775-2024</t>
        </is>
      </c>
      <c r="B28" s="1" t="n">
        <v>45520</v>
      </c>
      <c r="C28" s="1" t="n">
        <v>45584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HYPERLINK("https://klasma.github.io/Logging_0319/artfynd/A 33775-2024 artfynd.xlsx", "A 33775-2024")</f>
        <v/>
      </c>
      <c r="T28">
        <f>HYPERLINK("https://klasma.github.io/Logging_0319/kartor/A 33775-2024 karta.png", "A 33775-2024")</f>
        <v/>
      </c>
      <c r="V28">
        <f>HYPERLINK("https://klasma.github.io/Logging_0319/klagomål/A 33775-2024 FSC-klagomål.docx", "A 33775-2024")</f>
        <v/>
      </c>
      <c r="W28">
        <f>HYPERLINK("https://klasma.github.io/Logging_0319/klagomålsmail/A 33775-2024 FSC-klagomål mail.docx", "A 33775-2024")</f>
        <v/>
      </c>
      <c r="X28">
        <f>HYPERLINK("https://klasma.github.io/Logging_0319/tillsyn/A 33775-2024 tillsynsbegäran.docx", "A 33775-2024")</f>
        <v/>
      </c>
      <c r="Y28">
        <f>HYPERLINK("https://klasma.github.io/Logging_0319/tillsynsmail/A 33775-2024 tillsynsbegäran mail.docx", "A 33775-2024")</f>
        <v/>
      </c>
    </row>
    <row r="29" ht="15" customHeight="1">
      <c r="A29" t="inlineStr">
        <is>
          <t>A 33796-2024</t>
        </is>
      </c>
      <c r="B29" s="1" t="n">
        <v>45520</v>
      </c>
      <c r="C29" s="1" t="n">
        <v>45584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HYPERLINK("https://klasma.github.io/Logging_0319/artfynd/A 33796-2024 artfynd.xlsx", "A 33796-2024")</f>
        <v/>
      </c>
      <c r="T29">
        <f>HYPERLINK("https://klasma.github.io/Logging_0319/kartor/A 33796-2024 karta.png", "A 33796-2024")</f>
        <v/>
      </c>
      <c r="V29">
        <f>HYPERLINK("https://klasma.github.io/Logging_0319/klagomål/A 33796-2024 FSC-klagomål.docx", "A 33796-2024")</f>
        <v/>
      </c>
      <c r="W29">
        <f>HYPERLINK("https://klasma.github.io/Logging_0319/klagomålsmail/A 33796-2024 FSC-klagomål mail.docx", "A 33796-2024")</f>
        <v/>
      </c>
      <c r="X29">
        <f>HYPERLINK("https://klasma.github.io/Logging_0319/tillsyn/A 33796-2024 tillsynsbegäran.docx", "A 33796-2024")</f>
        <v/>
      </c>
      <c r="Y29">
        <f>HYPERLINK("https://klasma.github.io/Logging_0319/tillsynsmail/A 33796-2024 tillsynsbegäran mail.docx", "A 33796-2024")</f>
        <v/>
      </c>
    </row>
    <row r="30" ht="15" customHeight="1">
      <c r="A30" t="inlineStr">
        <is>
          <t>A 19969-2019</t>
        </is>
      </c>
      <c r="B30" s="1" t="n">
        <v>43570</v>
      </c>
      <c r="C30" s="1" t="n">
        <v>45584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24105-2019</t>
        </is>
      </c>
      <c r="B31" s="1" t="n">
        <v>43598</v>
      </c>
      <c r="C31" s="1" t="n">
        <v>45584</v>
      </c>
      <c r="D31" t="inlineStr">
        <is>
          <t>UPPSALA LÄN</t>
        </is>
      </c>
      <c r="E31" t="inlineStr">
        <is>
          <t>ÄLVKARLEBY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25340-2019</t>
        </is>
      </c>
      <c r="B32" s="1" t="n">
        <v>43606</v>
      </c>
      <c r="C32" s="1" t="n">
        <v>45584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44457-2019</t>
        </is>
      </c>
      <c r="B33" s="1" t="n">
        <v>43711</v>
      </c>
      <c r="C33" s="1" t="n">
        <v>45584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48822-2019</t>
        </is>
      </c>
      <c r="B34" s="1" t="n">
        <v>43728</v>
      </c>
      <c r="C34" s="1" t="n">
        <v>45584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57745-2019</t>
        </is>
      </c>
      <c r="B35" s="1" t="n">
        <v>43768</v>
      </c>
      <c r="C35" s="1" t="n">
        <v>45584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5511-2020</t>
        </is>
      </c>
      <c r="B36" s="1" t="n">
        <v>43861</v>
      </c>
      <c r="C36" s="1" t="n">
        <v>45584</v>
      </c>
      <c r="D36" t="inlineStr">
        <is>
          <t>UPPSALA LÄN</t>
        </is>
      </c>
      <c r="E36" t="inlineStr">
        <is>
          <t>ÄLVKARLEBY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15213-2020</t>
        </is>
      </c>
      <c r="B37" s="1" t="n">
        <v>43913</v>
      </c>
      <c r="C37" s="1" t="n">
        <v>45584</v>
      </c>
      <c r="D37" t="inlineStr">
        <is>
          <t>UPPSALA LÄN</t>
        </is>
      </c>
      <c r="E37" t="inlineStr">
        <is>
          <t>ÄLVKARLEBY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32416-2020</t>
        </is>
      </c>
      <c r="B38" s="1" t="n">
        <v>44018</v>
      </c>
      <c r="C38" s="1" t="n">
        <v>45584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37193-2020</t>
        </is>
      </c>
      <c r="B39" s="1" t="n">
        <v>44054</v>
      </c>
      <c r="C39" s="1" t="n">
        <v>45584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40667-2020</t>
        </is>
      </c>
      <c r="B40" s="1" t="n">
        <v>44069</v>
      </c>
      <c r="C40" s="1" t="n">
        <v>45584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50413-2020</t>
        </is>
      </c>
      <c r="B41" s="1" t="n">
        <v>44110</v>
      </c>
      <c r="C41" s="1" t="n">
        <v>45584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50416-2020</t>
        </is>
      </c>
      <c r="B42" s="1" t="n">
        <v>44110</v>
      </c>
      <c r="C42" s="1" t="n">
        <v>45584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50409-2020</t>
        </is>
      </c>
      <c r="B43" s="1" t="n">
        <v>44110</v>
      </c>
      <c r="C43" s="1" t="n">
        <v>45584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66278-2020</t>
        </is>
      </c>
      <c r="B44" s="1" t="n">
        <v>44176</v>
      </c>
      <c r="C44" s="1" t="n">
        <v>45584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967-2021</t>
        </is>
      </c>
      <c r="B45" s="1" t="n">
        <v>44207</v>
      </c>
      <c r="C45" s="1" t="n">
        <v>45584</v>
      </c>
      <c r="D45" t="inlineStr">
        <is>
          <t>UPPSALA LÄN</t>
        </is>
      </c>
      <c r="E45" t="inlineStr">
        <is>
          <t>ÄLVKARLEBY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11553-2021</t>
        </is>
      </c>
      <c r="B46" s="1" t="n">
        <v>44264</v>
      </c>
      <c r="C46" s="1" t="n">
        <v>45584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13476-2021</t>
        </is>
      </c>
      <c r="B47" s="1" t="n">
        <v>44273</v>
      </c>
      <c r="C47" s="1" t="n">
        <v>45584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39791-2021</t>
        </is>
      </c>
      <c r="B48" s="1" t="n">
        <v>44417</v>
      </c>
      <c r="C48" s="1" t="n">
        <v>45584</v>
      </c>
      <c r="D48" t="inlineStr">
        <is>
          <t>UPPSALA LÄN</t>
        </is>
      </c>
      <c r="E48" t="inlineStr">
        <is>
          <t>ÄLVKARLEBY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47226-2021</t>
        </is>
      </c>
      <c r="B49" s="1" t="n">
        <v>44447</v>
      </c>
      <c r="C49" s="1" t="n">
        <v>45584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10455-2022</t>
        </is>
      </c>
      <c r="B50" s="1" t="n">
        <v>44623</v>
      </c>
      <c r="C50" s="1" t="n">
        <v>45584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16990-2022</t>
        </is>
      </c>
      <c r="B51" s="1" t="n">
        <v>44676</v>
      </c>
      <c r="C51" s="1" t="n">
        <v>45584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22916-2022</t>
        </is>
      </c>
      <c r="B52" s="1" t="n">
        <v>44715</v>
      </c>
      <c r="C52" s="1" t="n">
        <v>45584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26815-2022</t>
        </is>
      </c>
      <c r="B53" s="1" t="n">
        <v>44740</v>
      </c>
      <c r="C53" s="1" t="n">
        <v>45584</v>
      </c>
      <c r="D53" t="inlineStr">
        <is>
          <t>UPPSALA LÄN</t>
        </is>
      </c>
      <c r="E53" t="inlineStr">
        <is>
          <t>ÄLVKARLEBY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29116-2022</t>
        </is>
      </c>
      <c r="B54" s="1" t="n">
        <v>44750</v>
      </c>
      <c r="C54" s="1" t="n">
        <v>45584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29168-2022</t>
        </is>
      </c>
      <c r="B55" s="1" t="n">
        <v>44750</v>
      </c>
      <c r="C55" s="1" t="n">
        <v>45584</v>
      </c>
      <c r="D55" t="inlineStr">
        <is>
          <t>UPPSALA LÄN</t>
        </is>
      </c>
      <c r="E55" t="inlineStr">
        <is>
          <t>ÄLVKARLEBY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36216-2022</t>
        </is>
      </c>
      <c r="B56" s="1" t="n">
        <v>44803</v>
      </c>
      <c r="C56" s="1" t="n">
        <v>45584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36217-2022</t>
        </is>
      </c>
      <c r="B57" s="1" t="n">
        <v>44803</v>
      </c>
      <c r="C57" s="1" t="n">
        <v>45584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36282-2022</t>
        </is>
      </c>
      <c r="B58" s="1" t="n">
        <v>44803</v>
      </c>
      <c r="C58" s="1" t="n">
        <v>45584</v>
      </c>
      <c r="D58" t="inlineStr">
        <is>
          <t>UPPSALA LÄN</t>
        </is>
      </c>
      <c r="E58" t="inlineStr">
        <is>
          <t>ÄLVKARLEBY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41757-2022</t>
        </is>
      </c>
      <c r="B59" s="1" t="n">
        <v>44827</v>
      </c>
      <c r="C59" s="1" t="n">
        <v>45584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60837-2022</t>
        </is>
      </c>
      <c r="B60" s="1" t="n">
        <v>44914</v>
      </c>
      <c r="C60" s="1" t="n">
        <v>45584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6839-2023</t>
        </is>
      </c>
      <c r="B61" s="1" t="n">
        <v>44967</v>
      </c>
      <c r="C61" s="1" t="n">
        <v>45584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6834-2023</t>
        </is>
      </c>
      <c r="B62" s="1" t="n">
        <v>44967</v>
      </c>
      <c r="C62" s="1" t="n">
        <v>45584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7286-2023</t>
        </is>
      </c>
      <c r="B63" s="1" t="n">
        <v>44970</v>
      </c>
      <c r="C63" s="1" t="n">
        <v>45584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14590-2023</t>
        </is>
      </c>
      <c r="B64" s="1" t="n">
        <v>45013</v>
      </c>
      <c r="C64" s="1" t="n">
        <v>45584</v>
      </c>
      <c r="D64" t="inlineStr">
        <is>
          <t>UPPSALA LÄN</t>
        </is>
      </c>
      <c r="E64" t="inlineStr">
        <is>
          <t>ÄLVKARLEBY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21520-2023</t>
        </is>
      </c>
      <c r="B65" s="1" t="n">
        <v>45063</v>
      </c>
      <c r="C65" s="1" t="n">
        <v>45584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26983-2023</t>
        </is>
      </c>
      <c r="B66" s="1" t="n">
        <v>45093</v>
      </c>
      <c r="C66" s="1" t="n">
        <v>45584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38306-2023</t>
        </is>
      </c>
      <c r="B67" s="1" t="n">
        <v>45161</v>
      </c>
      <c r="C67" s="1" t="n">
        <v>45584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18.6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38226-2023</t>
        </is>
      </c>
      <c r="B68" s="1" t="n">
        <v>45161</v>
      </c>
      <c r="C68" s="1" t="n">
        <v>45584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38454-2023</t>
        </is>
      </c>
      <c r="B69" s="1" t="n">
        <v>45162</v>
      </c>
      <c r="C69" s="1" t="n">
        <v>45584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38453-2023</t>
        </is>
      </c>
      <c r="B70" s="1" t="n">
        <v>45162</v>
      </c>
      <c r="C70" s="1" t="n">
        <v>45584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38461-2023</t>
        </is>
      </c>
      <c r="B71" s="1" t="n">
        <v>45162</v>
      </c>
      <c r="C71" s="1" t="n">
        <v>45584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41000-2023</t>
        </is>
      </c>
      <c r="B72" s="1" t="n">
        <v>45173</v>
      </c>
      <c r="C72" s="1" t="n">
        <v>45584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41263-2023</t>
        </is>
      </c>
      <c r="B73" s="1" t="n">
        <v>45174</v>
      </c>
      <c r="C73" s="1" t="n">
        <v>45584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41272-2023</t>
        </is>
      </c>
      <c r="B74" s="1" t="n">
        <v>45174</v>
      </c>
      <c r="C74" s="1" t="n">
        <v>45584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41276-2023</t>
        </is>
      </c>
      <c r="B75" s="1" t="n">
        <v>45174</v>
      </c>
      <c r="C75" s="1" t="n">
        <v>45584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42600-2023</t>
        </is>
      </c>
      <c r="B76" s="1" t="n">
        <v>45181</v>
      </c>
      <c r="C76" s="1" t="n">
        <v>45584</v>
      </c>
      <c r="D76" t="inlineStr">
        <is>
          <t>UPPSALA LÄN</t>
        </is>
      </c>
      <c r="E76" t="inlineStr">
        <is>
          <t>ÄLVKARLEBY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HYPERLINK("https://klasma.github.io/Logging_0319/knärot/A 42600-2023 karta knärot.png", "A 42600-2023")</f>
        <v/>
      </c>
      <c r="V76">
        <f>HYPERLINK("https://klasma.github.io/Logging_0319/klagomål/A 42600-2023 FSC-klagomål.docx", "A 42600-2023")</f>
        <v/>
      </c>
      <c r="W76">
        <f>HYPERLINK("https://klasma.github.io/Logging_0319/klagomålsmail/A 42600-2023 FSC-klagomål mail.docx", "A 42600-2023")</f>
        <v/>
      </c>
      <c r="X76">
        <f>HYPERLINK("https://klasma.github.io/Logging_0319/tillsyn/A 42600-2023 tillsynsbegäran.docx", "A 42600-2023")</f>
        <v/>
      </c>
      <c r="Y76">
        <f>HYPERLINK("https://klasma.github.io/Logging_0319/tillsynsmail/A 42600-2023 tillsynsbegäran mail.docx", "A 42600-2023")</f>
        <v/>
      </c>
    </row>
    <row r="77" ht="15" customHeight="1">
      <c r="A77" t="inlineStr">
        <is>
          <t>A 43285-2023</t>
        </is>
      </c>
      <c r="B77" s="1" t="n">
        <v>45183</v>
      </c>
      <c r="C77" s="1" t="n">
        <v>45584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43288-2023</t>
        </is>
      </c>
      <c r="B78" s="1" t="n">
        <v>45183</v>
      </c>
      <c r="C78" s="1" t="n">
        <v>45584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45527-2023</t>
        </is>
      </c>
      <c r="B79" s="1" t="n">
        <v>45194</v>
      </c>
      <c r="C79" s="1" t="n">
        <v>45584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45529-2023</t>
        </is>
      </c>
      <c r="B80" s="1" t="n">
        <v>45194</v>
      </c>
      <c r="C80" s="1" t="n">
        <v>45584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45528-2023</t>
        </is>
      </c>
      <c r="B81" s="1" t="n">
        <v>45194</v>
      </c>
      <c r="C81" s="1" t="n">
        <v>45584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45871-2023</t>
        </is>
      </c>
      <c r="B82" s="1" t="n">
        <v>45195</v>
      </c>
      <c r="C82" s="1" t="n">
        <v>45584</v>
      </c>
      <c r="D82" t="inlineStr">
        <is>
          <t>UPPSALA LÄN</t>
        </is>
      </c>
      <c r="E82" t="inlineStr">
        <is>
          <t>ÄLVKARLEBY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46113-2023</t>
        </is>
      </c>
      <c r="B83" s="1" t="n">
        <v>45196</v>
      </c>
      <c r="C83" s="1" t="n">
        <v>45584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46106-2023</t>
        </is>
      </c>
      <c r="B84" s="1" t="n">
        <v>45196</v>
      </c>
      <c r="C84" s="1" t="n">
        <v>45584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46429-2023</t>
        </is>
      </c>
      <c r="B85" s="1" t="n">
        <v>45197</v>
      </c>
      <c r="C85" s="1" t="n">
        <v>45584</v>
      </c>
      <c r="D85" t="inlineStr">
        <is>
          <t>UPPSALA LÄN</t>
        </is>
      </c>
      <c r="E85" t="inlineStr">
        <is>
          <t>ÄLVKARLEBY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46436-2023</t>
        </is>
      </c>
      <c r="B86" s="1" t="n">
        <v>45197</v>
      </c>
      <c r="C86" s="1" t="n">
        <v>45584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46477-2023</t>
        </is>
      </c>
      <c r="B87" s="1" t="n">
        <v>45197</v>
      </c>
      <c r="C87" s="1" t="n">
        <v>45584</v>
      </c>
      <c r="D87" t="inlineStr">
        <is>
          <t>UPPSALA LÄN</t>
        </is>
      </c>
      <c r="E87" t="inlineStr">
        <is>
          <t>ÄLVKARLEBY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47548-2023</t>
        </is>
      </c>
      <c r="B88" s="1" t="n">
        <v>45203</v>
      </c>
      <c r="C88" s="1" t="n">
        <v>45584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47570-2023</t>
        </is>
      </c>
      <c r="B89" s="1" t="n">
        <v>45203</v>
      </c>
      <c r="C89" s="1" t="n">
        <v>45584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47554-2023</t>
        </is>
      </c>
      <c r="B90" s="1" t="n">
        <v>45203</v>
      </c>
      <c r="C90" s="1" t="n">
        <v>45584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47559-2023</t>
        </is>
      </c>
      <c r="B91" s="1" t="n">
        <v>45203</v>
      </c>
      <c r="C91" s="1" t="n">
        <v>45584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48614-2023</t>
        </is>
      </c>
      <c r="B92" s="1" t="n">
        <v>45208</v>
      </c>
      <c r="C92" s="1" t="n">
        <v>45584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48620-2023</t>
        </is>
      </c>
      <c r="B93" s="1" t="n">
        <v>45208</v>
      </c>
      <c r="C93" s="1" t="n">
        <v>45584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48674-2023</t>
        </is>
      </c>
      <c r="B94" s="1" t="n">
        <v>45208</v>
      </c>
      <c r="C94" s="1" t="n">
        <v>45584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49432-2023</t>
        </is>
      </c>
      <c r="B95" s="1" t="n">
        <v>45211</v>
      </c>
      <c r="C95" s="1" t="n">
        <v>45584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50048-2023</t>
        </is>
      </c>
      <c r="B96" s="1" t="n">
        <v>45215</v>
      </c>
      <c r="C96" s="1" t="n">
        <v>45584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54858-2023</t>
        </is>
      </c>
      <c r="B97" s="1" t="n">
        <v>45236</v>
      </c>
      <c r="C97" s="1" t="n">
        <v>45584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59004-2023</t>
        </is>
      </c>
      <c r="B98" s="1" t="n">
        <v>45252</v>
      </c>
      <c r="C98" s="1" t="n">
        <v>45584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60151-2023</t>
        </is>
      </c>
      <c r="B99" s="1" t="n">
        <v>45258</v>
      </c>
      <c r="C99" s="1" t="n">
        <v>45584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32.2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60455-2023</t>
        </is>
      </c>
      <c r="B100" s="1" t="n">
        <v>45259</v>
      </c>
      <c r="C100" s="1" t="n">
        <v>45584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öst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45584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996-2024</t>
        </is>
      </c>
      <c r="B102" s="1" t="n">
        <v>45301</v>
      </c>
      <c r="C102" s="1" t="n">
        <v>45584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väst AB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2183-2024</t>
        </is>
      </c>
      <c r="B103" s="1" t="n">
        <v>45309</v>
      </c>
      <c r="C103" s="1" t="n">
        <v>45584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2184-2024</t>
        </is>
      </c>
      <c r="B104" s="1" t="n">
        <v>45309</v>
      </c>
      <c r="C104" s="1" t="n">
        <v>45584</v>
      </c>
      <c r="D104" t="inlineStr">
        <is>
          <t>UPPSALA LÄN</t>
        </is>
      </c>
      <c r="E104" t="inlineStr">
        <is>
          <t>ÄLVKARLEBY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19300-2024</t>
        </is>
      </c>
      <c r="B105" s="1" t="n">
        <v>45428</v>
      </c>
      <c r="C105" s="1" t="n">
        <v>45584</v>
      </c>
      <c r="D105" t="inlineStr">
        <is>
          <t>UPPSALA LÄN</t>
        </is>
      </c>
      <c r="E105" t="inlineStr">
        <is>
          <t>ÄLVKARLEBY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19304-2024</t>
        </is>
      </c>
      <c r="B106" s="1" t="n">
        <v>45428</v>
      </c>
      <c r="C106" s="1" t="n">
        <v>45584</v>
      </c>
      <c r="D106" t="inlineStr">
        <is>
          <t>UPPSALA LÄN</t>
        </is>
      </c>
      <c r="E106" t="inlineStr">
        <is>
          <t>ÄLVKARLEBY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19303-2024</t>
        </is>
      </c>
      <c r="B107" s="1" t="n">
        <v>45428</v>
      </c>
      <c r="C107" s="1" t="n">
        <v>45584</v>
      </c>
      <c r="D107" t="inlineStr">
        <is>
          <t>UPPSALA LÄN</t>
        </is>
      </c>
      <c r="E107" t="inlineStr">
        <is>
          <t>ÄLVKARLEBY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19298-2024</t>
        </is>
      </c>
      <c r="B108" s="1" t="n">
        <v>45428</v>
      </c>
      <c r="C108" s="1" t="n">
        <v>45584</v>
      </c>
      <c r="D108" t="inlineStr">
        <is>
          <t>UPPSALA LÄN</t>
        </is>
      </c>
      <c r="E108" t="inlineStr">
        <is>
          <t>ÄLVKARLEBY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29899-2024</t>
        </is>
      </c>
      <c r="B109" s="1" t="n">
        <v>45487</v>
      </c>
      <c r="C109" s="1" t="n">
        <v>45584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33781-2024</t>
        </is>
      </c>
      <c r="B110" s="1" t="n">
        <v>45520</v>
      </c>
      <c r="C110" s="1" t="n">
        <v>45584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34963-2024</t>
        </is>
      </c>
      <c r="B111" s="1" t="n">
        <v>45527</v>
      </c>
      <c r="C111" s="1" t="n">
        <v>45584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35832-2024</t>
        </is>
      </c>
      <c r="B112" s="1" t="n">
        <v>45532</v>
      </c>
      <c r="C112" s="1" t="n">
        <v>45584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45584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45584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38217-2024</t>
        </is>
      </c>
      <c r="B115" s="1" t="n">
        <v>45545</v>
      </c>
      <c r="C115" s="1" t="n">
        <v>45584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41121-2024</t>
        </is>
      </c>
      <c r="B116" s="1" t="n">
        <v>45559</v>
      </c>
      <c r="C116" s="1" t="n">
        <v>45584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41929-2024</t>
        </is>
      </c>
      <c r="B117" s="1" t="n">
        <v>45561</v>
      </c>
      <c r="C117" s="1" t="n">
        <v>45584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41979-2024</t>
        </is>
      </c>
      <c r="B118" s="1" t="n">
        <v>45561</v>
      </c>
      <c r="C118" s="1" t="n">
        <v>45584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41894-2024</t>
        </is>
      </c>
      <c r="B119" s="1" t="n">
        <v>45561</v>
      </c>
      <c r="C119" s="1" t="n">
        <v>45584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41898-2024</t>
        </is>
      </c>
      <c r="B120" s="1" t="n">
        <v>45561</v>
      </c>
      <c r="C120" s="1" t="n">
        <v>45584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45039-2024</t>
        </is>
      </c>
      <c r="B121" s="1" t="n">
        <v>45575</v>
      </c>
      <c r="C121" s="1" t="n">
        <v>45584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45040-2024</t>
        </is>
      </c>
      <c r="B122" s="1" t="n">
        <v>45575</v>
      </c>
      <c r="C122" s="1" t="n">
        <v>45584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45372-2024</t>
        </is>
      </c>
      <c r="B123" s="1" t="n">
        <v>45576</v>
      </c>
      <c r="C123" s="1" t="n">
        <v>45584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45371-2024</t>
        </is>
      </c>
      <c r="B124" s="1" t="n">
        <v>45576</v>
      </c>
      <c r="C124" s="1" t="n">
        <v>45584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2024-10-19T12:19:17Z</dcterms:created>
  <dcterms:modified xmlns:dcterms="http://purl.org/dc/terms/" xmlns:xsi="http://www.w3.org/2001/XMLSchema-instance" xsi:type="dcterms:W3CDTF">2024-10-19T12:19:17Z</dcterms:modified>
</cp:coreProperties>
</file>