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46200</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46200</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46200</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46200</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46200</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46200</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46200</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46200</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46200</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46200</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46200</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46200</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39791-2021</t>
        </is>
      </c>
      <c r="B14" s="1" t="n">
        <v>44417</v>
      </c>
      <c r="C14" s="1" t="n">
        <v>46200</v>
      </c>
      <c r="D14" t="inlineStr">
        <is>
          <t>UPPSALA LÄN</t>
        </is>
      </c>
      <c r="E14" t="inlineStr">
        <is>
          <t>ÄLVKARLEBY</t>
        </is>
      </c>
      <c r="G14" t="n">
        <v>1.8</v>
      </c>
      <c r="H14" t="n">
        <v>3</v>
      </c>
      <c r="I14" t="n">
        <v>2</v>
      </c>
      <c r="J14" t="n">
        <v>1</v>
      </c>
      <c r="K14" t="n">
        <v>0</v>
      </c>
      <c r="L14" t="n">
        <v>0</v>
      </c>
      <c r="M14" t="n">
        <v>0</v>
      </c>
      <c r="N14" t="n">
        <v>0</v>
      </c>
      <c r="O14" t="n">
        <v>1</v>
      </c>
      <c r="P14" t="n">
        <v>0</v>
      </c>
      <c r="Q14" t="n">
        <v>4</v>
      </c>
      <c r="R14" s="2" t="inlineStr">
        <is>
          <t>Klasefibbla
Skogsknipprot
Tvåblad
Blåsippa</t>
        </is>
      </c>
      <c r="S14">
        <f>HYPERLINK("https://klasma.github.io/Logging_0319/artfynd/A 39791-2021 artfynd.xlsx", "A 39791-2021")</f>
        <v/>
      </c>
      <c r="T14">
        <f>HYPERLINK("https://klasma.github.io/Logging_0319/kartor/A 39791-2021 karta.png", "A 39791-2021")</f>
        <v/>
      </c>
      <c r="V14">
        <f>HYPERLINK("https://klasma.github.io/Logging_0319/klagomål/A 39791-2021 FSC-klagomål.docx", "A 39791-2021")</f>
        <v/>
      </c>
      <c r="W14">
        <f>HYPERLINK("https://klasma.github.io/Logging_0319/klagomålsmail/A 39791-2021 FSC-klagomål mail.docx", "A 39791-2021")</f>
        <v/>
      </c>
      <c r="X14">
        <f>HYPERLINK("https://klasma.github.io/Logging_0319/tillsyn/A 39791-2021 tillsynsbegäran.docx", "A 39791-2021")</f>
        <v/>
      </c>
      <c r="Y14">
        <f>HYPERLINK("https://klasma.github.io/Logging_0319/tillsynsmail/A 39791-2021 tillsynsbegäran mail.docx", "A 39791-2021")</f>
        <v/>
      </c>
    </row>
    <row r="15" ht="15" customHeight="1">
      <c r="A15" t="inlineStr">
        <is>
          <t>A 58480-2025</t>
        </is>
      </c>
      <c r="B15" s="1" t="n">
        <v>45985</v>
      </c>
      <c r="C15" s="1" t="n">
        <v>46200</v>
      </c>
      <c r="D15" t="inlineStr">
        <is>
          <t>UPPSALA LÄN</t>
        </is>
      </c>
      <c r="E15" t="inlineStr">
        <is>
          <t>ÄLVKARLEBY</t>
        </is>
      </c>
      <c r="F15" t="inlineStr">
        <is>
          <t>Bergvik skog väst AB</t>
        </is>
      </c>
      <c r="G15" t="n">
        <v>4.1</v>
      </c>
      <c r="H15" t="n">
        <v>1</v>
      </c>
      <c r="I15" t="n">
        <v>3</v>
      </c>
      <c r="J15" t="n">
        <v>0</v>
      </c>
      <c r="K15" t="n">
        <v>1</v>
      </c>
      <c r="L15" t="n">
        <v>0</v>
      </c>
      <c r="M15" t="n">
        <v>0</v>
      </c>
      <c r="N15" t="n">
        <v>0</v>
      </c>
      <c r="O15" t="n">
        <v>1</v>
      </c>
      <c r="P15" t="n">
        <v>1</v>
      </c>
      <c r="Q15" t="n">
        <v>4</v>
      </c>
      <c r="R15" s="2" t="inlineStr">
        <is>
          <t>Knärot
Svart trolldruva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62278-2025</t>
        </is>
      </c>
      <c r="B16" s="1" t="n">
        <v>46006</v>
      </c>
      <c r="C16" s="1" t="n">
        <v>46200</v>
      </c>
      <c r="D16" t="inlineStr">
        <is>
          <t>UPPSALA LÄN</t>
        </is>
      </c>
      <c r="E16" t="inlineStr">
        <is>
          <t>ÄLVKARLEBY</t>
        </is>
      </c>
      <c r="F16" t="inlineStr">
        <is>
          <t>Bergvik skog väst AB</t>
        </is>
      </c>
      <c r="G16" t="n">
        <v>6.3</v>
      </c>
      <c r="H16" t="n">
        <v>1</v>
      </c>
      <c r="I16" t="n">
        <v>0</v>
      </c>
      <c r="J16" t="n">
        <v>3</v>
      </c>
      <c r="K16" t="n">
        <v>1</v>
      </c>
      <c r="L16" t="n">
        <v>0</v>
      </c>
      <c r="M16" t="n">
        <v>0</v>
      </c>
      <c r="N16" t="n">
        <v>0</v>
      </c>
      <c r="O16" t="n">
        <v>4</v>
      </c>
      <c r="P16" t="n">
        <v>1</v>
      </c>
      <c r="Q16" t="n">
        <v>4</v>
      </c>
      <c r="R16" s="2" t="inlineStr">
        <is>
          <t>Knärot
Rökfingersvamp
Vanlig sandviol
Vårstarr</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21700-2024</t>
        </is>
      </c>
      <c r="B17" s="1" t="n">
        <v>45442</v>
      </c>
      <c r="C17" s="1" t="n">
        <v>46200</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61685-2025</t>
        </is>
      </c>
      <c r="B18" s="1" t="n">
        <v>46002</v>
      </c>
      <c r="C18" s="1" t="n">
        <v>46200</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61693-2025</t>
        </is>
      </c>
      <c r="B19" s="1" t="n">
        <v>46002</v>
      </c>
      <c r="C19" s="1" t="n">
        <v>46200</v>
      </c>
      <c r="D19" t="inlineStr">
        <is>
          <t>UPPSALA LÄN</t>
        </is>
      </c>
      <c r="E19" t="inlineStr">
        <is>
          <t>ÄLVKARLEBY</t>
        </is>
      </c>
      <c r="F19" t="inlineStr">
        <is>
          <t>Bergvik skog öst AB</t>
        </is>
      </c>
      <c r="G19" t="n">
        <v>9.199999999999999</v>
      </c>
      <c r="H19" t="n">
        <v>0</v>
      </c>
      <c r="I19" t="n">
        <v>1</v>
      </c>
      <c r="J19" t="n">
        <v>2</v>
      </c>
      <c r="K19" t="n">
        <v>0</v>
      </c>
      <c r="L19" t="n">
        <v>0</v>
      </c>
      <c r="M19" t="n">
        <v>0</v>
      </c>
      <c r="N19" t="n">
        <v>0</v>
      </c>
      <c r="O19" t="n">
        <v>2</v>
      </c>
      <c r="P19" t="n">
        <v>0</v>
      </c>
      <c r="Q19" t="n">
        <v>3</v>
      </c>
      <c r="R19" s="2" t="inlineStr">
        <is>
          <t>Sårläka
Vedtrappmossa
Brandticka</t>
        </is>
      </c>
      <c r="S19">
        <f>HYPERLINK("https://klasma.github.io/Logging_0319/artfynd/A 61693-2025 artfynd.xlsx", "A 61693-2025")</f>
        <v/>
      </c>
      <c r="T19">
        <f>HYPERLINK("https://klasma.github.io/Logging_0319/kartor/A 61693-2025 karta.png", "A 61693-2025")</f>
        <v/>
      </c>
      <c r="V19">
        <f>HYPERLINK("https://klasma.github.io/Logging_0319/klagomål/A 61693-2025 FSC-klagomål.docx", "A 61693-2025")</f>
        <v/>
      </c>
      <c r="W19">
        <f>HYPERLINK("https://klasma.github.io/Logging_0319/klagomålsmail/A 61693-2025 FSC-klagomål mail.docx", "A 61693-2025")</f>
        <v/>
      </c>
      <c r="X19">
        <f>HYPERLINK("https://klasma.github.io/Logging_0319/tillsyn/A 61693-2025 tillsynsbegäran.docx", "A 61693-2025")</f>
        <v/>
      </c>
      <c r="Y19">
        <f>HYPERLINK("https://klasma.github.io/Logging_0319/tillsynsmail/A 61693-2025 tillsynsbegäran mail.docx", "A 61693-2025")</f>
        <v/>
      </c>
    </row>
    <row r="20" ht="15" customHeight="1">
      <c r="A20" t="inlineStr">
        <is>
          <t>A 15739-2025</t>
        </is>
      </c>
      <c r="B20" s="1" t="n">
        <v>45748</v>
      </c>
      <c r="C20" s="1" t="n">
        <v>46200</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46200</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46200</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46200</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43285-2023</t>
        </is>
      </c>
      <c r="B24" s="1" t="n">
        <v>45183</v>
      </c>
      <c r="C24" s="1" t="n">
        <v>46200</v>
      </c>
      <c r="D24" t="inlineStr">
        <is>
          <t>UPPSALA LÄN</t>
        </is>
      </c>
      <c r="E24" t="inlineStr">
        <is>
          <t>ÄLVKARLEBY</t>
        </is>
      </c>
      <c r="F24" t="inlineStr">
        <is>
          <t>Bergvik skog väst AB</t>
        </is>
      </c>
      <c r="G24" t="n">
        <v>1.3</v>
      </c>
      <c r="H24" t="n">
        <v>1</v>
      </c>
      <c r="I24" t="n">
        <v>0</v>
      </c>
      <c r="J24" t="n">
        <v>0</v>
      </c>
      <c r="K24" t="n">
        <v>0</v>
      </c>
      <c r="L24" t="n">
        <v>0</v>
      </c>
      <c r="M24" t="n">
        <v>0</v>
      </c>
      <c r="N24" t="n">
        <v>0</v>
      </c>
      <c r="O24" t="n">
        <v>0</v>
      </c>
      <c r="P24" t="n">
        <v>0</v>
      </c>
      <c r="Q24" t="n">
        <v>1</v>
      </c>
      <c r="R24" s="2" t="inlineStr">
        <is>
          <t>Vanlig groda</t>
        </is>
      </c>
      <c r="S24">
        <f>HYPERLINK("https://klasma.github.io/Logging_0319/artfynd/A 43285-2023 artfynd.xlsx", "A 43285-2023")</f>
        <v/>
      </c>
      <c r="T24">
        <f>HYPERLINK("https://klasma.github.io/Logging_0319/kartor/A 43285-2023 karta.png", "A 43285-2023")</f>
        <v/>
      </c>
      <c r="V24">
        <f>HYPERLINK("https://klasma.github.io/Logging_0319/klagomål/A 43285-2023 FSC-klagomål.docx", "A 43285-2023")</f>
        <v/>
      </c>
      <c r="W24">
        <f>HYPERLINK("https://klasma.github.io/Logging_0319/klagomålsmail/A 43285-2023 FSC-klagomål mail.docx", "A 43285-2023")</f>
        <v/>
      </c>
      <c r="X24">
        <f>HYPERLINK("https://klasma.github.io/Logging_0319/tillsyn/A 43285-2023 tillsynsbegäran.docx", "A 43285-2023")</f>
        <v/>
      </c>
      <c r="Y24">
        <f>HYPERLINK("https://klasma.github.io/Logging_0319/tillsynsmail/A 43285-2023 tillsynsbegäran mail.docx", "A 43285-2023")</f>
        <v/>
      </c>
    </row>
    <row r="25" ht="15" customHeight="1">
      <c r="A25" t="inlineStr">
        <is>
          <t>A 70017-2021</t>
        </is>
      </c>
      <c r="B25" s="1" t="n">
        <v>44533</v>
      </c>
      <c r="C25" s="1" t="n">
        <v>46200</v>
      </c>
      <c r="D25" t="inlineStr">
        <is>
          <t>UPPSALA LÄN</t>
        </is>
      </c>
      <c r="E25" t="inlineStr">
        <is>
          <t>ÄLVKARLEBY</t>
        </is>
      </c>
      <c r="G25" t="n">
        <v>2.1</v>
      </c>
      <c r="H25" t="n">
        <v>1</v>
      </c>
      <c r="I25" t="n">
        <v>0</v>
      </c>
      <c r="J25" t="n">
        <v>0</v>
      </c>
      <c r="K25" t="n">
        <v>0</v>
      </c>
      <c r="L25" t="n">
        <v>0</v>
      </c>
      <c r="M25" t="n">
        <v>0</v>
      </c>
      <c r="N25" t="n">
        <v>0</v>
      </c>
      <c r="O25" t="n">
        <v>0</v>
      </c>
      <c r="P25" t="n">
        <v>0</v>
      </c>
      <c r="Q25" t="n">
        <v>1</v>
      </c>
      <c r="R25" s="2" t="inlineStr">
        <is>
          <t>Trana</t>
        </is>
      </c>
      <c r="S25">
        <f>HYPERLINK("https://klasma.github.io/Logging_0319/artfynd/A 70017-2021 artfynd.xlsx", "A 70017-2021")</f>
        <v/>
      </c>
      <c r="T25">
        <f>HYPERLINK("https://klasma.github.io/Logging_0319/kartor/A 70017-2021 karta.png", "A 70017-2021")</f>
        <v/>
      </c>
      <c r="V25">
        <f>HYPERLINK("https://klasma.github.io/Logging_0319/klagomål/A 70017-2021 FSC-klagomål.docx", "A 70017-2021")</f>
        <v/>
      </c>
      <c r="W25">
        <f>HYPERLINK("https://klasma.github.io/Logging_0319/klagomålsmail/A 70017-2021 FSC-klagomål mail.docx", "A 70017-2021")</f>
        <v/>
      </c>
      <c r="X25">
        <f>HYPERLINK("https://klasma.github.io/Logging_0319/tillsyn/A 70017-2021 tillsynsbegäran.docx", "A 70017-2021")</f>
        <v/>
      </c>
      <c r="Y25">
        <f>HYPERLINK("https://klasma.github.io/Logging_0319/tillsynsmail/A 70017-2021 tillsynsbegäran mail.docx", "A 70017-2021")</f>
        <v/>
      </c>
      <c r="Z25">
        <f>HYPERLINK("https://klasma.github.io/Logging_0319/fåglar/A 70017-2021 prioriterade fågelarter.docx", "A 70017-2021")</f>
        <v/>
      </c>
    </row>
    <row r="26" ht="15" customHeight="1">
      <c r="A26" t="inlineStr">
        <is>
          <t>A 10455-2022</t>
        </is>
      </c>
      <c r="B26" s="1" t="n">
        <v>44623</v>
      </c>
      <c r="C26" s="1" t="n">
        <v>46200</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19303-2024</t>
        </is>
      </c>
      <c r="B27" s="1" t="n">
        <v>45428</v>
      </c>
      <c r="C27" s="1" t="n">
        <v>46200</v>
      </c>
      <c r="D27" t="inlineStr">
        <is>
          <t>UPPSALA LÄN</t>
        </is>
      </c>
      <c r="E27" t="inlineStr">
        <is>
          <t>ÄLVKARLEBY</t>
        </is>
      </c>
      <c r="G27" t="n">
        <v>0.4</v>
      </c>
      <c r="H27" t="n">
        <v>1</v>
      </c>
      <c r="I27" t="n">
        <v>0</v>
      </c>
      <c r="J27" t="n">
        <v>0</v>
      </c>
      <c r="K27" t="n">
        <v>1</v>
      </c>
      <c r="L27" t="n">
        <v>0</v>
      </c>
      <c r="M27" t="n">
        <v>0</v>
      </c>
      <c r="N27" t="n">
        <v>0</v>
      </c>
      <c r="O27" t="n">
        <v>1</v>
      </c>
      <c r="P27" t="n">
        <v>1</v>
      </c>
      <c r="Q27" t="n">
        <v>1</v>
      </c>
      <c r="R27" s="2" t="inlineStr">
        <is>
          <t>Gölgroda</t>
        </is>
      </c>
      <c r="S27">
        <f>HYPERLINK("https://klasma.github.io/Logging_0319/artfynd/A 19303-2024 artfynd.xlsx", "A 19303-2024")</f>
        <v/>
      </c>
      <c r="T27">
        <f>HYPERLINK("https://klasma.github.io/Logging_0319/kartor/A 19303-2024 karta.png", "A 19303-2024")</f>
        <v/>
      </c>
      <c r="V27">
        <f>HYPERLINK("https://klasma.github.io/Logging_0319/klagomål/A 19303-2024 FSC-klagomål.docx", "A 19303-2024")</f>
        <v/>
      </c>
      <c r="W27">
        <f>HYPERLINK("https://klasma.github.io/Logging_0319/klagomålsmail/A 19303-2024 FSC-klagomål mail.docx", "A 19303-2024")</f>
        <v/>
      </c>
      <c r="X27">
        <f>HYPERLINK("https://klasma.github.io/Logging_0319/tillsyn/A 19303-2024 tillsynsbegäran.docx", "A 19303-2024")</f>
        <v/>
      </c>
      <c r="Y27">
        <f>HYPERLINK("https://klasma.github.io/Logging_0319/tillsynsmail/A 19303-2024 tillsynsbegäran mail.docx", "A 19303-2024")</f>
        <v/>
      </c>
    </row>
    <row r="28" ht="15" customHeight="1">
      <c r="A28" t="inlineStr">
        <is>
          <t>A 3950-2025</t>
        </is>
      </c>
      <c r="B28" s="1" t="n">
        <v>45684</v>
      </c>
      <c r="C28" s="1" t="n">
        <v>46200</v>
      </c>
      <c r="D28" t="inlineStr">
        <is>
          <t>UPPSALA LÄN</t>
        </is>
      </c>
      <c r="E28" t="inlineStr">
        <is>
          <t>ÄLVKARLEBY</t>
        </is>
      </c>
      <c r="G28" t="n">
        <v>3.1</v>
      </c>
      <c r="H28" t="n">
        <v>0</v>
      </c>
      <c r="I28" t="n">
        <v>0</v>
      </c>
      <c r="J28" t="n">
        <v>1</v>
      </c>
      <c r="K28" t="n">
        <v>0</v>
      </c>
      <c r="L28" t="n">
        <v>0</v>
      </c>
      <c r="M28" t="n">
        <v>0</v>
      </c>
      <c r="N28" t="n">
        <v>0</v>
      </c>
      <c r="O28" t="n">
        <v>1</v>
      </c>
      <c r="P28" t="n">
        <v>0</v>
      </c>
      <c r="Q28" t="n">
        <v>1</v>
      </c>
      <c r="R28" s="2" t="inlineStr">
        <is>
          <t>Månlåsbräken</t>
        </is>
      </c>
      <c r="S28">
        <f>HYPERLINK("https://klasma.github.io/Logging_0319/artfynd/A 3950-2025 artfynd.xlsx", "A 3950-2025")</f>
        <v/>
      </c>
      <c r="T28">
        <f>HYPERLINK("https://klasma.github.io/Logging_0319/kartor/A 3950-2025 karta.png", "A 3950-2025")</f>
        <v/>
      </c>
      <c r="V28">
        <f>HYPERLINK("https://klasma.github.io/Logging_0319/klagomål/A 3950-2025 FSC-klagomål.docx", "A 3950-2025")</f>
        <v/>
      </c>
      <c r="W28">
        <f>HYPERLINK("https://klasma.github.io/Logging_0319/klagomålsmail/A 3950-2025 FSC-klagomål mail.docx", "A 3950-2025")</f>
        <v/>
      </c>
      <c r="X28">
        <f>HYPERLINK("https://klasma.github.io/Logging_0319/tillsyn/A 3950-2025 tillsynsbegäran.docx", "A 3950-2025")</f>
        <v/>
      </c>
      <c r="Y28">
        <f>HYPERLINK("https://klasma.github.io/Logging_0319/tillsynsmail/A 3950-2025 tillsynsbegäran mail.docx", "A 3950-2025")</f>
        <v/>
      </c>
    </row>
    <row r="29" ht="15" customHeight="1">
      <c r="A29" t="inlineStr">
        <is>
          <t>A 7286-2023</t>
        </is>
      </c>
      <c r="B29" s="1" t="n">
        <v>44970</v>
      </c>
      <c r="C29" s="1" t="n">
        <v>46200</v>
      </c>
      <c r="D29" t="inlineStr">
        <is>
          <t>UPPSALA LÄN</t>
        </is>
      </c>
      <c r="E29" t="inlineStr">
        <is>
          <t>ÄLVKARLEBY</t>
        </is>
      </c>
      <c r="F29" t="inlineStr">
        <is>
          <t>Bergvik skog väst AB</t>
        </is>
      </c>
      <c r="G29" t="n">
        <v>2.5</v>
      </c>
      <c r="H29" t="n">
        <v>0</v>
      </c>
      <c r="I29" t="n">
        <v>1</v>
      </c>
      <c r="J29" t="n">
        <v>0</v>
      </c>
      <c r="K29" t="n">
        <v>0</v>
      </c>
      <c r="L29" t="n">
        <v>0</v>
      </c>
      <c r="M29" t="n">
        <v>0</v>
      </c>
      <c r="N29" t="n">
        <v>0</v>
      </c>
      <c r="O29" t="n">
        <v>0</v>
      </c>
      <c r="P29" t="n">
        <v>0</v>
      </c>
      <c r="Q29" t="n">
        <v>1</v>
      </c>
      <c r="R29" s="2" t="inlineStr">
        <is>
          <t>Grönpyrola</t>
        </is>
      </c>
      <c r="S29">
        <f>HYPERLINK("https://klasma.github.io/Logging_0319/artfynd/A 7286-2023 artfynd.xlsx", "A 7286-2023")</f>
        <v/>
      </c>
      <c r="T29">
        <f>HYPERLINK("https://klasma.github.io/Logging_0319/kartor/A 7286-2023 karta.png", "A 7286-2023")</f>
        <v/>
      </c>
      <c r="V29">
        <f>HYPERLINK("https://klasma.github.io/Logging_0319/klagomål/A 7286-2023 FSC-klagomål.docx", "A 7286-2023")</f>
        <v/>
      </c>
      <c r="W29">
        <f>HYPERLINK("https://klasma.github.io/Logging_0319/klagomålsmail/A 7286-2023 FSC-klagomål mail.docx", "A 7286-2023")</f>
        <v/>
      </c>
      <c r="X29">
        <f>HYPERLINK("https://klasma.github.io/Logging_0319/tillsyn/A 7286-2023 tillsynsbegäran.docx", "A 7286-2023")</f>
        <v/>
      </c>
      <c r="Y29">
        <f>HYPERLINK("https://klasma.github.io/Logging_0319/tillsynsmail/A 7286-2023 tillsynsbegäran mail.docx", "A 7286-2023")</f>
        <v/>
      </c>
    </row>
    <row r="30" ht="15" customHeight="1">
      <c r="A30" t="inlineStr">
        <is>
          <t>A 19300-2024</t>
        </is>
      </c>
      <c r="B30" s="1" t="n">
        <v>45428</v>
      </c>
      <c r="C30" s="1" t="n">
        <v>46200</v>
      </c>
      <c r="D30" t="inlineStr">
        <is>
          <t>UPPSALA LÄN</t>
        </is>
      </c>
      <c r="E30" t="inlineStr">
        <is>
          <t>ÄLVKARLEBY</t>
        </is>
      </c>
      <c r="G30" t="n">
        <v>0.9</v>
      </c>
      <c r="H30" t="n">
        <v>1</v>
      </c>
      <c r="I30" t="n">
        <v>0</v>
      </c>
      <c r="J30" t="n">
        <v>1</v>
      </c>
      <c r="K30" t="n">
        <v>0</v>
      </c>
      <c r="L30" t="n">
        <v>0</v>
      </c>
      <c r="M30" t="n">
        <v>0</v>
      </c>
      <c r="N30" t="n">
        <v>0</v>
      </c>
      <c r="O30" t="n">
        <v>1</v>
      </c>
      <c r="P30" t="n">
        <v>0</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19304-2024</t>
        </is>
      </c>
      <c r="B31" s="1" t="n">
        <v>45428</v>
      </c>
      <c r="C31" s="1" t="n">
        <v>46200</v>
      </c>
      <c r="D31" t="inlineStr">
        <is>
          <t>UPPSALA LÄN</t>
        </is>
      </c>
      <c r="E31" t="inlineStr">
        <is>
          <t>ÄLVKARLEBY</t>
        </is>
      </c>
      <c r="G31" t="n">
        <v>0.2</v>
      </c>
      <c r="H31" t="n">
        <v>0</v>
      </c>
      <c r="I31" t="n">
        <v>0</v>
      </c>
      <c r="J31" t="n">
        <v>0</v>
      </c>
      <c r="K31" t="n">
        <v>1</v>
      </c>
      <c r="L31" t="n">
        <v>0</v>
      </c>
      <c r="M31" t="n">
        <v>0</v>
      </c>
      <c r="N31" t="n">
        <v>0</v>
      </c>
      <c r="O31" t="n">
        <v>1</v>
      </c>
      <c r="P31" t="n">
        <v>1</v>
      </c>
      <c r="Q31" t="n">
        <v>1</v>
      </c>
      <c r="R31" s="2" t="inlineStr">
        <is>
          <t>Mindre bastardsvärmare</t>
        </is>
      </c>
      <c r="S31">
        <f>HYPERLINK("https://klasma.github.io/Logging_0319/artfynd/A 19304-2024 artfynd.xlsx", "A 19304-2024")</f>
        <v/>
      </c>
      <c r="T31">
        <f>HYPERLINK("https://klasma.github.io/Logging_0319/kartor/A 19304-2024 karta.png", "A 19304-2024")</f>
        <v/>
      </c>
      <c r="V31">
        <f>HYPERLINK("https://klasma.github.io/Logging_0319/klagomål/A 19304-2024 FSC-klagomål.docx", "A 19304-2024")</f>
        <v/>
      </c>
      <c r="W31">
        <f>HYPERLINK("https://klasma.github.io/Logging_0319/klagomålsmail/A 19304-2024 FSC-klagomål mail.docx", "A 19304-2024")</f>
        <v/>
      </c>
      <c r="X31">
        <f>HYPERLINK("https://klasma.github.io/Logging_0319/tillsyn/A 19304-2024 tillsynsbegäran.docx", "A 19304-2024")</f>
        <v/>
      </c>
      <c r="Y31">
        <f>HYPERLINK("https://klasma.github.io/Logging_0319/tillsynsmail/A 19304-2024 tillsynsbegäran mail.docx", "A 19304-2024")</f>
        <v/>
      </c>
    </row>
    <row r="32" ht="15" customHeight="1">
      <c r="A32" t="inlineStr">
        <is>
          <t>A 51238-2025</t>
        </is>
      </c>
      <c r="B32" s="1" t="n">
        <v>45947</v>
      </c>
      <c r="C32" s="1" t="n">
        <v>46200</v>
      </c>
      <c r="D32" t="inlineStr">
        <is>
          <t>UPPSALA LÄN</t>
        </is>
      </c>
      <c r="E32" t="inlineStr">
        <is>
          <t>ÄLVKARLEBY</t>
        </is>
      </c>
      <c r="F32" t="inlineStr">
        <is>
          <t>Bergvik skog väst AB</t>
        </is>
      </c>
      <c r="G32" t="n">
        <v>6</v>
      </c>
      <c r="H32" t="n">
        <v>1</v>
      </c>
      <c r="I32" t="n">
        <v>0</v>
      </c>
      <c r="J32" t="n">
        <v>0</v>
      </c>
      <c r="K32" t="n">
        <v>0</v>
      </c>
      <c r="L32" t="n">
        <v>0</v>
      </c>
      <c r="M32" t="n">
        <v>0</v>
      </c>
      <c r="N32" t="n">
        <v>0</v>
      </c>
      <c r="O32" t="n">
        <v>0</v>
      </c>
      <c r="P32" t="n">
        <v>0</v>
      </c>
      <c r="Q32" t="n">
        <v>1</v>
      </c>
      <c r="R32" s="2" t="inlineStr">
        <is>
          <t>Lopplummer (aggregat)</t>
        </is>
      </c>
      <c r="S32">
        <f>HYPERLINK("https://klasma.github.io/Logging_0319/artfynd/A 51238-2025 artfynd.xlsx", "A 51238-2025")</f>
        <v/>
      </c>
      <c r="T32">
        <f>HYPERLINK("https://klasma.github.io/Logging_0319/kartor/A 51238-2025 karta.png", "A 51238-2025")</f>
        <v/>
      </c>
      <c r="V32">
        <f>HYPERLINK("https://klasma.github.io/Logging_0319/klagomål/A 51238-2025 FSC-klagomål.docx", "A 51238-2025")</f>
        <v/>
      </c>
      <c r="W32">
        <f>HYPERLINK("https://klasma.github.io/Logging_0319/klagomålsmail/A 51238-2025 FSC-klagomål mail.docx", "A 51238-2025")</f>
        <v/>
      </c>
      <c r="X32">
        <f>HYPERLINK("https://klasma.github.io/Logging_0319/tillsyn/A 51238-2025 tillsynsbegäran.docx", "A 51238-2025")</f>
        <v/>
      </c>
      <c r="Y32">
        <f>HYPERLINK("https://klasma.github.io/Logging_0319/tillsynsmail/A 51238-2025 tillsynsbegäran mail.docx", "A 51238-2025")</f>
        <v/>
      </c>
    </row>
    <row r="33" ht="15" customHeight="1">
      <c r="A33" t="inlineStr">
        <is>
          <t>A 57734-2025</t>
        </is>
      </c>
      <c r="B33" s="1" t="n">
        <v>45981</v>
      </c>
      <c r="C33" s="1" t="n">
        <v>46200</v>
      </c>
      <c r="D33" t="inlineStr">
        <is>
          <t>UPPSALA LÄN</t>
        </is>
      </c>
      <c r="E33" t="inlineStr">
        <is>
          <t>ÄLVKARLEBY</t>
        </is>
      </c>
      <c r="F33" t="inlineStr">
        <is>
          <t>Bergvik skog väst AB</t>
        </is>
      </c>
      <c r="G33" t="n">
        <v>1.3</v>
      </c>
      <c r="H33" t="n">
        <v>1</v>
      </c>
      <c r="I33" t="n">
        <v>0</v>
      </c>
      <c r="J33" t="n">
        <v>0</v>
      </c>
      <c r="K33" t="n">
        <v>1</v>
      </c>
      <c r="L33" t="n">
        <v>0</v>
      </c>
      <c r="M33" t="n">
        <v>0</v>
      </c>
      <c r="N33" t="n">
        <v>0</v>
      </c>
      <c r="O33" t="n">
        <v>1</v>
      </c>
      <c r="P33" t="n">
        <v>1</v>
      </c>
      <c r="Q33" t="n">
        <v>1</v>
      </c>
      <c r="R33" s="2" t="inlineStr">
        <is>
          <t>Gölgroda</t>
        </is>
      </c>
      <c r="S33">
        <f>HYPERLINK("https://klasma.github.io/Logging_0319/artfynd/A 57734-2025 artfynd.xlsx", "A 57734-2025")</f>
        <v/>
      </c>
      <c r="T33">
        <f>HYPERLINK("https://klasma.github.io/Logging_0319/kartor/A 57734-2025 karta.png", "A 57734-2025")</f>
        <v/>
      </c>
      <c r="V33">
        <f>HYPERLINK("https://klasma.github.io/Logging_0319/klagomål/A 57734-2025 FSC-klagomål.docx", "A 57734-2025")</f>
        <v/>
      </c>
      <c r="W33">
        <f>HYPERLINK("https://klasma.github.io/Logging_0319/klagomålsmail/A 57734-2025 FSC-klagomål mail.docx", "A 57734-2025")</f>
        <v/>
      </c>
      <c r="X33">
        <f>HYPERLINK("https://klasma.github.io/Logging_0319/tillsyn/A 57734-2025 tillsynsbegäran.docx", "A 57734-2025")</f>
        <v/>
      </c>
      <c r="Y33">
        <f>HYPERLINK("https://klasma.github.io/Logging_0319/tillsynsmail/A 57734-2025 tillsynsbegäran mail.docx", "A 57734-2025")</f>
        <v/>
      </c>
    </row>
    <row r="34" ht="15" customHeight="1">
      <c r="A34" t="inlineStr">
        <is>
          <t>A 59993-2025</t>
        </is>
      </c>
      <c r="B34" s="1" t="n">
        <v>45993</v>
      </c>
      <c r="C34" s="1" t="n">
        <v>46200</v>
      </c>
      <c r="D34" t="inlineStr">
        <is>
          <t>UPPSALA LÄN</t>
        </is>
      </c>
      <c r="E34" t="inlineStr">
        <is>
          <t>ÄLVKARLEBY</t>
        </is>
      </c>
      <c r="F34" t="inlineStr">
        <is>
          <t>Bergvik skog väst AB</t>
        </is>
      </c>
      <c r="G34" t="n">
        <v>18.6</v>
      </c>
      <c r="H34" t="n">
        <v>1</v>
      </c>
      <c r="I34" t="n">
        <v>1</v>
      </c>
      <c r="J34" t="n">
        <v>0</v>
      </c>
      <c r="K34" t="n">
        <v>0</v>
      </c>
      <c r="L34" t="n">
        <v>0</v>
      </c>
      <c r="M34" t="n">
        <v>0</v>
      </c>
      <c r="N34" t="n">
        <v>0</v>
      </c>
      <c r="O34" t="n">
        <v>0</v>
      </c>
      <c r="P34" t="n">
        <v>0</v>
      </c>
      <c r="Q34" t="n">
        <v>1</v>
      </c>
      <c r="R34" s="2" t="inlineStr">
        <is>
          <t>Skogsknipprot</t>
        </is>
      </c>
      <c r="S34">
        <f>HYPERLINK("https://klasma.github.io/Logging_0319/artfynd/A 59993-2025 artfynd.xlsx", "A 59993-2025")</f>
        <v/>
      </c>
      <c r="T34">
        <f>HYPERLINK("https://klasma.github.io/Logging_0319/kartor/A 59993-2025 karta.png", "A 59993-2025")</f>
        <v/>
      </c>
      <c r="V34">
        <f>HYPERLINK("https://klasma.github.io/Logging_0319/klagomål/A 59993-2025 FSC-klagomål.docx", "A 59993-2025")</f>
        <v/>
      </c>
      <c r="W34">
        <f>HYPERLINK("https://klasma.github.io/Logging_0319/klagomålsmail/A 59993-2025 FSC-klagomål mail.docx", "A 59993-2025")</f>
        <v/>
      </c>
      <c r="X34">
        <f>HYPERLINK("https://klasma.github.io/Logging_0319/tillsyn/A 59993-2025 tillsynsbegäran.docx", "A 59993-2025")</f>
        <v/>
      </c>
      <c r="Y34">
        <f>HYPERLINK("https://klasma.github.io/Logging_0319/tillsynsmail/A 59993-2025 tillsynsbegäran mail.docx", "A 59993-2025")</f>
        <v/>
      </c>
    </row>
    <row r="35" ht="15" customHeight="1">
      <c r="A35" t="inlineStr">
        <is>
          <t>A 60829-2025</t>
        </is>
      </c>
      <c r="B35" s="1" t="n">
        <v>45999</v>
      </c>
      <c r="C35" s="1" t="n">
        <v>46200</v>
      </c>
      <c r="D35" t="inlineStr">
        <is>
          <t>UPPSALA LÄN</t>
        </is>
      </c>
      <c r="E35" t="inlineStr">
        <is>
          <t>ÄLVKARLEBY</t>
        </is>
      </c>
      <c r="F35" t="inlineStr">
        <is>
          <t>Bergvik skog väst AB</t>
        </is>
      </c>
      <c r="G35" t="n">
        <v>5.5</v>
      </c>
      <c r="H35" t="n">
        <v>1</v>
      </c>
      <c r="I35" t="n">
        <v>0</v>
      </c>
      <c r="J35" t="n">
        <v>1</v>
      </c>
      <c r="K35" t="n">
        <v>0</v>
      </c>
      <c r="L35" t="n">
        <v>0</v>
      </c>
      <c r="M35" t="n">
        <v>0</v>
      </c>
      <c r="N35" t="n">
        <v>0</v>
      </c>
      <c r="O35" t="n">
        <v>1</v>
      </c>
      <c r="P35" t="n">
        <v>0</v>
      </c>
      <c r="Q35" t="n">
        <v>1</v>
      </c>
      <c r="R35" s="2" t="inlineStr">
        <is>
          <t>Sparvuggla</t>
        </is>
      </c>
      <c r="S35">
        <f>HYPERLINK("https://klasma.github.io/Logging_0319/artfynd/A 60829-2025 artfynd.xlsx", "A 60829-2025")</f>
        <v/>
      </c>
      <c r="T35">
        <f>HYPERLINK("https://klasma.github.io/Logging_0319/kartor/A 60829-2025 karta.png", "A 60829-2025")</f>
        <v/>
      </c>
      <c r="V35">
        <f>HYPERLINK("https://klasma.github.io/Logging_0319/klagomål/A 60829-2025 FSC-klagomål.docx", "A 60829-2025")</f>
        <v/>
      </c>
      <c r="W35">
        <f>HYPERLINK("https://klasma.github.io/Logging_0319/klagomålsmail/A 60829-2025 FSC-klagomål mail.docx", "A 60829-2025")</f>
        <v/>
      </c>
      <c r="X35">
        <f>HYPERLINK("https://klasma.github.io/Logging_0319/tillsyn/A 60829-2025 tillsynsbegäran.docx", "A 60829-2025")</f>
        <v/>
      </c>
      <c r="Y35">
        <f>HYPERLINK("https://klasma.github.io/Logging_0319/tillsynsmail/A 60829-2025 tillsynsbegäran mail.docx", "A 60829-2025")</f>
        <v/>
      </c>
      <c r="Z35">
        <f>HYPERLINK("https://klasma.github.io/Logging_0319/fåglar/A 60829-2025 prioriterade fågelarter.docx", "A 60829-2025")</f>
        <v/>
      </c>
    </row>
    <row r="36" ht="15" customHeight="1">
      <c r="A36" t="inlineStr">
        <is>
          <t>A 63004-2025</t>
        </is>
      </c>
      <c r="B36" s="1" t="n">
        <v>46009</v>
      </c>
      <c r="C36" s="1" t="n">
        <v>46200</v>
      </c>
      <c r="D36" t="inlineStr">
        <is>
          <t>UPPSALA LÄN</t>
        </is>
      </c>
      <c r="E36" t="inlineStr">
        <is>
          <t>ÄLVKARLEBY</t>
        </is>
      </c>
      <c r="F36" t="inlineStr">
        <is>
          <t>Bergvik skog väst AB</t>
        </is>
      </c>
      <c r="G36" t="n">
        <v>2.2</v>
      </c>
      <c r="H36" t="n">
        <v>1</v>
      </c>
      <c r="I36" t="n">
        <v>1</v>
      </c>
      <c r="J36" t="n">
        <v>0</v>
      </c>
      <c r="K36" t="n">
        <v>0</v>
      </c>
      <c r="L36" t="n">
        <v>0</v>
      </c>
      <c r="M36" t="n">
        <v>0</v>
      </c>
      <c r="N36" t="n">
        <v>0</v>
      </c>
      <c r="O36" t="n">
        <v>0</v>
      </c>
      <c r="P36" t="n">
        <v>0</v>
      </c>
      <c r="Q36" t="n">
        <v>1</v>
      </c>
      <c r="R36" s="2" t="inlineStr">
        <is>
          <t>Skogsknipprot</t>
        </is>
      </c>
      <c r="S36">
        <f>HYPERLINK("https://klasma.github.io/Logging_0319/artfynd/A 63004-2025 artfynd.xlsx", "A 63004-2025")</f>
        <v/>
      </c>
      <c r="T36">
        <f>HYPERLINK("https://klasma.github.io/Logging_0319/kartor/A 63004-2025 karta.png", "A 63004-2025")</f>
        <v/>
      </c>
      <c r="V36">
        <f>HYPERLINK("https://klasma.github.io/Logging_0319/klagomål/A 63004-2025 FSC-klagomål.docx", "A 63004-2025")</f>
        <v/>
      </c>
      <c r="W36">
        <f>HYPERLINK("https://klasma.github.io/Logging_0319/klagomålsmail/A 63004-2025 FSC-klagomål mail.docx", "A 63004-2025")</f>
        <v/>
      </c>
      <c r="X36">
        <f>HYPERLINK("https://klasma.github.io/Logging_0319/tillsyn/A 63004-2025 tillsynsbegäran.docx", "A 63004-2025")</f>
        <v/>
      </c>
      <c r="Y36">
        <f>HYPERLINK("https://klasma.github.io/Logging_0319/tillsynsmail/A 63004-2025 tillsynsbegäran mail.docx", "A 63004-2025")</f>
        <v/>
      </c>
    </row>
    <row r="37" ht="15" customHeight="1">
      <c r="A37" t="inlineStr">
        <is>
          <t>A 1673-2026</t>
        </is>
      </c>
      <c r="B37" s="1" t="n">
        <v>46034</v>
      </c>
      <c r="C37" s="1" t="n">
        <v>46200</v>
      </c>
      <c r="D37" t="inlineStr">
        <is>
          <t>UPPSALA LÄN</t>
        </is>
      </c>
      <c r="E37" t="inlineStr">
        <is>
          <t>ÄLVKARLEBY</t>
        </is>
      </c>
      <c r="F37" t="inlineStr">
        <is>
          <t>Bergvik skog väst AB</t>
        </is>
      </c>
      <c r="G37" t="n">
        <v>1.9</v>
      </c>
      <c r="H37" t="n">
        <v>0</v>
      </c>
      <c r="I37" t="n">
        <v>1</v>
      </c>
      <c r="J37" t="n">
        <v>0</v>
      </c>
      <c r="K37" t="n">
        <v>0</v>
      </c>
      <c r="L37" t="n">
        <v>0</v>
      </c>
      <c r="M37" t="n">
        <v>0</v>
      </c>
      <c r="N37" t="n">
        <v>0</v>
      </c>
      <c r="O37" t="n">
        <v>0</v>
      </c>
      <c r="P37" t="n">
        <v>0</v>
      </c>
      <c r="Q37" t="n">
        <v>1</v>
      </c>
      <c r="R37" s="2" t="inlineStr">
        <is>
          <t>Tibast</t>
        </is>
      </c>
      <c r="S37">
        <f>HYPERLINK("https://klasma.github.io/Logging_0319/artfynd/A 1673-2026 artfynd.xlsx", "A 1673-2026")</f>
        <v/>
      </c>
      <c r="T37">
        <f>HYPERLINK("https://klasma.github.io/Logging_0319/kartor/A 1673-2026 karta.png", "A 1673-2026")</f>
        <v/>
      </c>
      <c r="V37">
        <f>HYPERLINK("https://klasma.github.io/Logging_0319/klagomål/A 1673-2026 FSC-klagomål.docx", "A 1673-2026")</f>
        <v/>
      </c>
      <c r="W37">
        <f>HYPERLINK("https://klasma.github.io/Logging_0319/klagomålsmail/A 1673-2026 FSC-klagomål mail.docx", "A 1673-2026")</f>
        <v/>
      </c>
      <c r="X37">
        <f>HYPERLINK("https://klasma.github.io/Logging_0319/tillsyn/A 1673-2026 tillsynsbegäran.docx", "A 1673-2026")</f>
        <v/>
      </c>
      <c r="Y37">
        <f>HYPERLINK("https://klasma.github.io/Logging_0319/tillsynsmail/A 1673-2026 tillsynsbegäran mail.docx", "A 1673-2026")</f>
        <v/>
      </c>
    </row>
    <row r="38" ht="15" customHeight="1">
      <c r="A38" t="inlineStr">
        <is>
          <t>A 4131-2026</t>
        </is>
      </c>
      <c r="B38" s="1" t="n">
        <v>46044</v>
      </c>
      <c r="C38" s="1" t="n">
        <v>46200</v>
      </c>
      <c r="D38" t="inlineStr">
        <is>
          <t>UPPSALA LÄN</t>
        </is>
      </c>
      <c r="E38" t="inlineStr">
        <is>
          <t>ÄLVKARLEBY</t>
        </is>
      </c>
      <c r="F38" t="inlineStr">
        <is>
          <t>Bergvik skog öst AB</t>
        </is>
      </c>
      <c r="G38" t="n">
        <v>2.4</v>
      </c>
      <c r="H38" t="n">
        <v>1</v>
      </c>
      <c r="I38" t="n">
        <v>1</v>
      </c>
      <c r="J38" t="n">
        <v>0</v>
      </c>
      <c r="K38" t="n">
        <v>0</v>
      </c>
      <c r="L38" t="n">
        <v>0</v>
      </c>
      <c r="M38" t="n">
        <v>0</v>
      </c>
      <c r="N38" t="n">
        <v>0</v>
      </c>
      <c r="O38" t="n">
        <v>0</v>
      </c>
      <c r="P38" t="n">
        <v>0</v>
      </c>
      <c r="Q38" t="n">
        <v>1</v>
      </c>
      <c r="R38" s="2" t="inlineStr">
        <is>
          <t>Nästrot</t>
        </is>
      </c>
      <c r="S38">
        <f>HYPERLINK("https://klasma.github.io/Logging_0319/artfynd/A 4131-2026 artfynd.xlsx", "A 4131-2026")</f>
        <v/>
      </c>
      <c r="T38">
        <f>HYPERLINK("https://klasma.github.io/Logging_0319/kartor/A 4131-2026 karta.png", "A 4131-2026")</f>
        <v/>
      </c>
      <c r="V38">
        <f>HYPERLINK("https://klasma.github.io/Logging_0319/klagomål/A 4131-2026 FSC-klagomål.docx", "A 4131-2026")</f>
        <v/>
      </c>
      <c r="W38">
        <f>HYPERLINK("https://klasma.github.io/Logging_0319/klagomålsmail/A 4131-2026 FSC-klagomål mail.docx", "A 4131-2026")</f>
        <v/>
      </c>
      <c r="X38">
        <f>HYPERLINK("https://klasma.github.io/Logging_0319/tillsyn/A 4131-2026 tillsynsbegäran.docx", "A 4131-2026")</f>
        <v/>
      </c>
      <c r="Y38">
        <f>HYPERLINK("https://klasma.github.io/Logging_0319/tillsynsmail/A 4131-2026 tillsynsbegäran mail.docx", "A 4131-2026")</f>
        <v/>
      </c>
    </row>
    <row r="39" ht="15" customHeight="1">
      <c r="A39" t="inlineStr">
        <is>
          <t>A 14127-2026</t>
        </is>
      </c>
      <c r="B39" s="1" t="n">
        <v>46099</v>
      </c>
      <c r="C39" s="1" t="n">
        <v>46200</v>
      </c>
      <c r="D39" t="inlineStr">
        <is>
          <t>UPPSALA LÄN</t>
        </is>
      </c>
      <c r="E39" t="inlineStr">
        <is>
          <t>ÄLVKARLEBY</t>
        </is>
      </c>
      <c r="G39" t="n">
        <v>1.7</v>
      </c>
      <c r="H39" t="n">
        <v>0</v>
      </c>
      <c r="I39" t="n">
        <v>0</v>
      </c>
      <c r="J39" t="n">
        <v>0</v>
      </c>
      <c r="K39" t="n">
        <v>1</v>
      </c>
      <c r="L39" t="n">
        <v>0</v>
      </c>
      <c r="M39" t="n">
        <v>0</v>
      </c>
      <c r="N39" t="n">
        <v>0</v>
      </c>
      <c r="O39" t="n">
        <v>1</v>
      </c>
      <c r="P39" t="n">
        <v>1</v>
      </c>
      <c r="Q39" t="n">
        <v>1</v>
      </c>
      <c r="R39" s="2" t="inlineStr">
        <is>
          <t>Grangråticka</t>
        </is>
      </c>
      <c r="S39">
        <f>HYPERLINK("https://klasma.github.io/Logging_0319/artfynd/A 14127-2026 artfynd.xlsx", "A 14127-2026")</f>
        <v/>
      </c>
      <c r="T39">
        <f>HYPERLINK("https://klasma.github.io/Logging_0319/kartor/A 14127-2026 karta.png", "A 14127-2026")</f>
        <v/>
      </c>
      <c r="V39">
        <f>HYPERLINK("https://klasma.github.io/Logging_0319/klagomål/A 14127-2026 FSC-klagomål.docx", "A 14127-2026")</f>
        <v/>
      </c>
      <c r="W39">
        <f>HYPERLINK("https://klasma.github.io/Logging_0319/klagomålsmail/A 14127-2026 FSC-klagomål mail.docx", "A 14127-2026")</f>
        <v/>
      </c>
      <c r="X39">
        <f>HYPERLINK("https://klasma.github.io/Logging_0319/tillsyn/A 14127-2026 tillsynsbegäran.docx", "A 14127-2026")</f>
        <v/>
      </c>
      <c r="Y39">
        <f>HYPERLINK("https://klasma.github.io/Logging_0319/tillsynsmail/A 14127-2026 tillsynsbegäran mail.docx", "A 14127-2026")</f>
        <v/>
      </c>
    </row>
    <row r="40" ht="15" customHeight="1">
      <c r="A40" t="inlineStr">
        <is>
          <t>A 36217-2022</t>
        </is>
      </c>
      <c r="B40" s="1" t="n">
        <v>44803</v>
      </c>
      <c r="C40" s="1" t="n">
        <v>46200</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46200</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16990-2022</t>
        </is>
      </c>
      <c r="B42" s="1" t="n">
        <v>44676</v>
      </c>
      <c r="C42" s="1" t="n">
        <v>46200</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46113-2023</t>
        </is>
      </c>
      <c r="B43" s="1" t="n">
        <v>45196</v>
      </c>
      <c r="C43" s="1" t="n">
        <v>46200</v>
      </c>
      <c r="D43" t="inlineStr">
        <is>
          <t>UPPSALA LÄN</t>
        </is>
      </c>
      <c r="E43" t="inlineStr">
        <is>
          <t>ÄLVKARLEBY</t>
        </is>
      </c>
      <c r="F43" t="inlineStr">
        <is>
          <t>Bergvik skog väst AB</t>
        </is>
      </c>
      <c r="G43" t="n">
        <v>0.6</v>
      </c>
      <c r="H43" t="n">
        <v>0</v>
      </c>
      <c r="I43" t="n">
        <v>0</v>
      </c>
      <c r="J43" t="n">
        <v>0</v>
      </c>
      <c r="K43" t="n">
        <v>0</v>
      </c>
      <c r="L43" t="n">
        <v>0</v>
      </c>
      <c r="M43" t="n">
        <v>0</v>
      </c>
      <c r="N43" t="n">
        <v>0</v>
      </c>
      <c r="O43" t="n">
        <v>0</v>
      </c>
      <c r="P43" t="n">
        <v>0</v>
      </c>
      <c r="Q43" t="n">
        <v>0</v>
      </c>
      <c r="R43" s="2" t="inlineStr"/>
    </row>
    <row r="44" ht="15" customHeight="1">
      <c r="A44" t="inlineStr">
        <is>
          <t>A 9533-2025</t>
        </is>
      </c>
      <c r="B44" s="1" t="n">
        <v>45715</v>
      </c>
      <c r="C44" s="1" t="n">
        <v>46200</v>
      </c>
      <c r="D44" t="inlineStr">
        <is>
          <t>UPPSALA LÄN</t>
        </is>
      </c>
      <c r="E44" t="inlineStr">
        <is>
          <t>ÄLVKARLEBY</t>
        </is>
      </c>
      <c r="G44" t="n">
        <v>2.1</v>
      </c>
      <c r="H44" t="n">
        <v>0</v>
      </c>
      <c r="I44" t="n">
        <v>0</v>
      </c>
      <c r="J44" t="n">
        <v>0</v>
      </c>
      <c r="K44" t="n">
        <v>0</v>
      </c>
      <c r="L44" t="n">
        <v>0</v>
      </c>
      <c r="M44" t="n">
        <v>0</v>
      </c>
      <c r="N44" t="n">
        <v>0</v>
      </c>
      <c r="O44" t="n">
        <v>0</v>
      </c>
      <c r="P44" t="n">
        <v>0</v>
      </c>
      <c r="Q44" t="n">
        <v>0</v>
      </c>
      <c r="R44" s="2" t="inlineStr"/>
    </row>
    <row r="45" ht="15" customHeight="1">
      <c r="A45" t="inlineStr">
        <is>
          <t>A 2184-2024</t>
        </is>
      </c>
      <c r="B45" s="1" t="n">
        <v>45309</v>
      </c>
      <c r="C45" s="1" t="n">
        <v>46200</v>
      </c>
      <c r="D45" t="inlineStr">
        <is>
          <t>UPPSALA LÄN</t>
        </is>
      </c>
      <c r="E45" t="inlineStr">
        <is>
          <t>ÄLVKARLEBY</t>
        </is>
      </c>
      <c r="G45" t="n">
        <v>0.6</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46200</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46200</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46200</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14590-2023</t>
        </is>
      </c>
      <c r="B49" s="1" t="n">
        <v>45013</v>
      </c>
      <c r="C49" s="1" t="n">
        <v>46200</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45372-2024</t>
        </is>
      </c>
      <c r="B50" s="1" t="n">
        <v>45576</v>
      </c>
      <c r="C50" s="1" t="n">
        <v>46200</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41929-2024</t>
        </is>
      </c>
      <c r="B51" s="1" t="n">
        <v>45561</v>
      </c>
      <c r="C51" s="1" t="n">
        <v>46200</v>
      </c>
      <c r="D51" t="inlineStr">
        <is>
          <t>UPPSALA LÄN</t>
        </is>
      </c>
      <c r="E51" t="inlineStr">
        <is>
          <t>ÄLVKARLEBY</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36216-2022</t>
        </is>
      </c>
      <c r="B52" s="1" t="n">
        <v>44803</v>
      </c>
      <c r="C52" s="1" t="n">
        <v>46200</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32187-2025</t>
        </is>
      </c>
      <c r="B53" s="1" t="n">
        <v>45835</v>
      </c>
      <c r="C53" s="1" t="n">
        <v>46200</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41276-2023</t>
        </is>
      </c>
      <c r="B54" s="1" t="n">
        <v>45174</v>
      </c>
      <c r="C54" s="1" t="n">
        <v>46200</v>
      </c>
      <c r="D54" t="inlineStr">
        <is>
          <t>UPPSALA LÄN</t>
        </is>
      </c>
      <c r="E54" t="inlineStr">
        <is>
          <t>ÄLVKARLEBY</t>
        </is>
      </c>
      <c r="F54" t="inlineStr">
        <is>
          <t>Bergvik skog väst AB</t>
        </is>
      </c>
      <c r="G54" t="n">
        <v>0.3</v>
      </c>
      <c r="H54" t="n">
        <v>0</v>
      </c>
      <c r="I54" t="n">
        <v>0</v>
      </c>
      <c r="J54" t="n">
        <v>0</v>
      </c>
      <c r="K54" t="n">
        <v>0</v>
      </c>
      <c r="L54" t="n">
        <v>0</v>
      </c>
      <c r="M54" t="n">
        <v>0</v>
      </c>
      <c r="N54" t="n">
        <v>0</v>
      </c>
      <c r="O54" t="n">
        <v>0</v>
      </c>
      <c r="P54" t="n">
        <v>0</v>
      </c>
      <c r="Q54" t="n">
        <v>0</v>
      </c>
      <c r="R54" s="2" t="inlineStr"/>
    </row>
    <row r="55" ht="15" customHeight="1">
      <c r="A55" t="inlineStr">
        <is>
          <t>A 26815-2022</t>
        </is>
      </c>
      <c r="B55" s="1" t="n">
        <v>44740</v>
      </c>
      <c r="C55" s="1" t="n">
        <v>46200</v>
      </c>
      <c r="D55" t="inlineStr">
        <is>
          <t>UPPSALA LÄN</t>
        </is>
      </c>
      <c r="E55" t="inlineStr">
        <is>
          <t>ÄLVKARLEBY</t>
        </is>
      </c>
      <c r="G55" t="n">
        <v>5.8</v>
      </c>
      <c r="H55" t="n">
        <v>0</v>
      </c>
      <c r="I55" t="n">
        <v>0</v>
      </c>
      <c r="J55" t="n">
        <v>0</v>
      </c>
      <c r="K55" t="n">
        <v>0</v>
      </c>
      <c r="L55" t="n">
        <v>0</v>
      </c>
      <c r="M55" t="n">
        <v>0</v>
      </c>
      <c r="N55" t="n">
        <v>0</v>
      </c>
      <c r="O55" t="n">
        <v>0</v>
      </c>
      <c r="P55" t="n">
        <v>0</v>
      </c>
      <c r="Q55" t="n">
        <v>0</v>
      </c>
      <c r="R55" s="2" t="inlineStr"/>
    </row>
    <row r="56" ht="15" customHeight="1">
      <c r="A56" t="inlineStr">
        <is>
          <t>A 50398-2025</t>
        </is>
      </c>
      <c r="B56" s="1" t="n">
        <v>45944</v>
      </c>
      <c r="C56" s="1" t="n">
        <v>46200</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v>
      </c>
      <c r="C57" s="1" t="n">
        <v>46200</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51237-2025</t>
        </is>
      </c>
      <c r="B58" s="1" t="n">
        <v>45947</v>
      </c>
      <c r="C58" s="1" t="n">
        <v>46200</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26664-2025</t>
        </is>
      </c>
      <c r="B59" s="1" t="n">
        <v>45810</v>
      </c>
      <c r="C59" s="1" t="n">
        <v>46200</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52477-2025</t>
        </is>
      </c>
      <c r="B60" s="1" t="n">
        <v>45954</v>
      </c>
      <c r="C60" s="1" t="n">
        <v>46200</v>
      </c>
      <c r="D60" t="inlineStr">
        <is>
          <t>UPPSALA LÄN</t>
        </is>
      </c>
      <c r="E60" t="inlineStr">
        <is>
          <t>ÄLVKARLEBY</t>
        </is>
      </c>
      <c r="F60" t="inlineStr">
        <is>
          <t>Bergvik skog väst AB</t>
        </is>
      </c>
      <c r="G60" t="n">
        <v>5.3</v>
      </c>
      <c r="H60" t="n">
        <v>0</v>
      </c>
      <c r="I60" t="n">
        <v>0</v>
      </c>
      <c r="J60" t="n">
        <v>0</v>
      </c>
      <c r="K60" t="n">
        <v>0</v>
      </c>
      <c r="L60" t="n">
        <v>0</v>
      </c>
      <c r="M60" t="n">
        <v>0</v>
      </c>
      <c r="N60" t="n">
        <v>0</v>
      </c>
      <c r="O60" t="n">
        <v>0</v>
      </c>
      <c r="P60" t="n">
        <v>0</v>
      </c>
      <c r="Q60" t="n">
        <v>0</v>
      </c>
      <c r="R60" s="2" t="inlineStr"/>
    </row>
    <row r="61" ht="15" customHeight="1">
      <c r="A61" t="inlineStr">
        <is>
          <t>A 52498-2025</t>
        </is>
      </c>
      <c r="B61" s="1" t="n">
        <v>45954</v>
      </c>
      <c r="C61" s="1" t="n">
        <v>46200</v>
      </c>
      <c r="D61" t="inlineStr">
        <is>
          <t>UPPSALA LÄN</t>
        </is>
      </c>
      <c r="E61" t="inlineStr">
        <is>
          <t>ÄLVKARLEBY</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46200</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53173-2025</t>
        </is>
      </c>
      <c r="B63" s="1" t="n">
        <v>45958</v>
      </c>
      <c r="C63" s="1" t="n">
        <v>46200</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45033-2025</t>
        </is>
      </c>
      <c r="B64" s="1" t="n">
        <v>45918</v>
      </c>
      <c r="C64" s="1" t="n">
        <v>46200</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46510-2025</t>
        </is>
      </c>
      <c r="B65" s="1" t="n">
        <v>45925</v>
      </c>
      <c r="C65" s="1" t="n">
        <v>46200</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56861-2025</t>
        </is>
      </c>
      <c r="B66" s="1" t="n">
        <v>45978</v>
      </c>
      <c r="C66" s="1" t="n">
        <v>46200</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24591-2025</t>
        </is>
      </c>
      <c r="B67" s="1" t="n">
        <v>45798</v>
      </c>
      <c r="C67" s="1" t="n">
        <v>46200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58168-2025</t>
        </is>
      </c>
      <c r="B68" s="1" t="n">
        <v>45982</v>
      </c>
      <c r="C68" s="1" t="n">
        <v>46200</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58497-2025</t>
        </is>
      </c>
      <c r="B69" s="1" t="n">
        <v>45985</v>
      </c>
      <c r="C69" s="1" t="n">
        <v>46200</v>
      </c>
      <c r="D69" t="inlineStr">
        <is>
          <t>UPPSALA LÄN</t>
        </is>
      </c>
      <c r="E69" t="inlineStr">
        <is>
          <t>ÄLVKARLEBY</t>
        </is>
      </c>
      <c r="F69" t="inlineStr">
        <is>
          <t>Bergvik skog väst AB</t>
        </is>
      </c>
      <c r="G69" t="n">
        <v>4.6</v>
      </c>
      <c r="H69" t="n">
        <v>0</v>
      </c>
      <c r="I69" t="n">
        <v>0</v>
      </c>
      <c r="J69" t="n">
        <v>0</v>
      </c>
      <c r="K69" t="n">
        <v>0</v>
      </c>
      <c r="L69" t="n">
        <v>0</v>
      </c>
      <c r="M69" t="n">
        <v>0</v>
      </c>
      <c r="N69" t="n">
        <v>0</v>
      </c>
      <c r="O69" t="n">
        <v>0</v>
      </c>
      <c r="P69" t="n">
        <v>0</v>
      </c>
      <c r="Q69" t="n">
        <v>0</v>
      </c>
      <c r="R69" s="2" t="inlineStr"/>
    </row>
    <row r="70" ht="15" customHeight="1">
      <c r="A70" t="inlineStr">
        <is>
          <t>A 25330-2025</t>
        </is>
      </c>
      <c r="B70" s="1" t="n">
        <v>45800</v>
      </c>
      <c r="C70" s="1" t="n">
        <v>46200</v>
      </c>
      <c r="D70" t="inlineStr">
        <is>
          <t>UPPSALA LÄN</t>
        </is>
      </c>
      <c r="E70" t="inlineStr">
        <is>
          <t>ÄLVKARLEBY</t>
        </is>
      </c>
      <c r="F70" t="inlineStr">
        <is>
          <t>Bergvik skog väst AB</t>
        </is>
      </c>
      <c r="G70" t="n">
        <v>5</v>
      </c>
      <c r="H70" t="n">
        <v>0</v>
      </c>
      <c r="I70" t="n">
        <v>0</v>
      </c>
      <c r="J70" t="n">
        <v>0</v>
      </c>
      <c r="K70" t="n">
        <v>0</v>
      </c>
      <c r="L70" t="n">
        <v>0</v>
      </c>
      <c r="M70" t="n">
        <v>0</v>
      </c>
      <c r="N70" t="n">
        <v>0</v>
      </c>
      <c r="O70" t="n">
        <v>0</v>
      </c>
      <c r="P70" t="n">
        <v>0</v>
      </c>
      <c r="Q70" t="n">
        <v>0</v>
      </c>
      <c r="R70" s="2" t="inlineStr"/>
    </row>
    <row r="71" ht="15" customHeight="1">
      <c r="A71" t="inlineStr">
        <is>
          <t>A 60256-2025</t>
        </is>
      </c>
      <c r="B71" s="1" t="n">
        <v>45994</v>
      </c>
      <c r="C71" s="1" t="n">
        <v>46200</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60842-2025</t>
        </is>
      </c>
      <c r="B72" s="1" t="n">
        <v>45999</v>
      </c>
      <c r="C72" s="1" t="n">
        <v>46200</v>
      </c>
      <c r="D72" t="inlineStr">
        <is>
          <t>UPPSALA LÄN</t>
        </is>
      </c>
      <c r="E72" t="inlineStr">
        <is>
          <t>ÄLVKARLEBY</t>
        </is>
      </c>
      <c r="F72" t="inlineStr">
        <is>
          <t>Bergvik skog väst AB</t>
        </is>
      </c>
      <c r="G72" t="n">
        <v>1.9</v>
      </c>
      <c r="H72" t="n">
        <v>0</v>
      </c>
      <c r="I72" t="n">
        <v>0</v>
      </c>
      <c r="J72" t="n">
        <v>0</v>
      </c>
      <c r="K72" t="n">
        <v>0</v>
      </c>
      <c r="L72" t="n">
        <v>0</v>
      </c>
      <c r="M72" t="n">
        <v>0</v>
      </c>
      <c r="N72" t="n">
        <v>0</v>
      </c>
      <c r="O72" t="n">
        <v>0</v>
      </c>
      <c r="P72" t="n">
        <v>0</v>
      </c>
      <c r="Q72" t="n">
        <v>0</v>
      </c>
      <c r="R72" s="2" t="inlineStr"/>
    </row>
    <row r="73" ht="15" customHeight="1">
      <c r="A73" t="inlineStr">
        <is>
          <t>A 61694-2025</t>
        </is>
      </c>
      <c r="B73" s="1" t="n">
        <v>46002</v>
      </c>
      <c r="C73" s="1" t="n">
        <v>46200</v>
      </c>
      <c r="D73" t="inlineStr">
        <is>
          <t>UPPSALA LÄN</t>
        </is>
      </c>
      <c r="E73" t="inlineStr">
        <is>
          <t>ÄLVKARLEBY</t>
        </is>
      </c>
      <c r="F73" t="inlineStr">
        <is>
          <t>Bergvik skog öst AB</t>
        </is>
      </c>
      <c r="G73" t="n">
        <v>1.5</v>
      </c>
      <c r="H73" t="n">
        <v>0</v>
      </c>
      <c r="I73" t="n">
        <v>0</v>
      </c>
      <c r="J73" t="n">
        <v>0</v>
      </c>
      <c r="K73" t="n">
        <v>0</v>
      </c>
      <c r="L73" t="n">
        <v>0</v>
      </c>
      <c r="M73" t="n">
        <v>0</v>
      </c>
      <c r="N73" t="n">
        <v>0</v>
      </c>
      <c r="O73" t="n">
        <v>0</v>
      </c>
      <c r="P73" t="n">
        <v>0</v>
      </c>
      <c r="Q73" t="n">
        <v>0</v>
      </c>
      <c r="R73" s="2" t="inlineStr"/>
    </row>
    <row r="74" ht="15" customHeight="1">
      <c r="A74" t="inlineStr">
        <is>
          <t>A 61691-2025</t>
        </is>
      </c>
      <c r="B74" s="1" t="n">
        <v>46002</v>
      </c>
      <c r="C74" s="1" t="n">
        <v>46200</v>
      </c>
      <c r="D74" t="inlineStr">
        <is>
          <t>UPPSALA LÄN</t>
        </is>
      </c>
      <c r="E74" t="inlineStr">
        <is>
          <t>ÄLVKARLEBY</t>
        </is>
      </c>
      <c r="F74" t="inlineStr">
        <is>
          <t>Bergvik skog öst AB</t>
        </is>
      </c>
      <c r="G74" t="n">
        <v>0.7</v>
      </c>
      <c r="H74" t="n">
        <v>0</v>
      </c>
      <c r="I74" t="n">
        <v>0</v>
      </c>
      <c r="J74" t="n">
        <v>0</v>
      </c>
      <c r="K74" t="n">
        <v>0</v>
      </c>
      <c r="L74" t="n">
        <v>0</v>
      </c>
      <c r="M74" t="n">
        <v>0</v>
      </c>
      <c r="N74" t="n">
        <v>0</v>
      </c>
      <c r="O74" t="n">
        <v>0</v>
      </c>
      <c r="P74" t="n">
        <v>0</v>
      </c>
      <c r="Q74" t="n">
        <v>0</v>
      </c>
      <c r="R74" s="2" t="inlineStr"/>
    </row>
    <row r="75" ht="15" customHeight="1">
      <c r="A75" t="inlineStr">
        <is>
          <t>A 62938-2025</t>
        </is>
      </c>
      <c r="B75" s="1" t="n">
        <v>46009</v>
      </c>
      <c r="C75" s="1" t="n">
        <v>46200</v>
      </c>
      <c r="D75" t="inlineStr">
        <is>
          <t>UPPSALA LÄN</t>
        </is>
      </c>
      <c r="E75" t="inlineStr">
        <is>
          <t>ÄLVKARLEBY</t>
        </is>
      </c>
      <c r="F75" t="inlineStr">
        <is>
          <t>Bergvik skog väst AB</t>
        </is>
      </c>
      <c r="G75" t="n">
        <v>10.2</v>
      </c>
      <c r="H75" t="n">
        <v>0</v>
      </c>
      <c r="I75" t="n">
        <v>0</v>
      </c>
      <c r="J75" t="n">
        <v>0</v>
      </c>
      <c r="K75" t="n">
        <v>0</v>
      </c>
      <c r="L75" t="n">
        <v>0</v>
      </c>
      <c r="M75" t="n">
        <v>0</v>
      </c>
      <c r="N75" t="n">
        <v>0</v>
      </c>
      <c r="O75" t="n">
        <v>0</v>
      </c>
      <c r="P75" t="n">
        <v>0</v>
      </c>
      <c r="Q75" t="n">
        <v>0</v>
      </c>
      <c r="R75" s="2" t="inlineStr"/>
    </row>
    <row r="76" ht="15" customHeight="1">
      <c r="A76" t="inlineStr">
        <is>
          <t>A 63365-2025</t>
        </is>
      </c>
      <c r="B76" s="1" t="n">
        <v>46010</v>
      </c>
      <c r="C76" s="1" t="n">
        <v>46200</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61839-2025</t>
        </is>
      </c>
      <c r="B77" s="1" t="n">
        <v>46003</v>
      </c>
      <c r="C77" s="1" t="n">
        <v>46200</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4134-2026</t>
        </is>
      </c>
      <c r="B78" s="1" t="n">
        <v>46044</v>
      </c>
      <c r="C78" s="1" t="n">
        <v>46200</v>
      </c>
      <c r="D78" t="inlineStr">
        <is>
          <t>UPPSALA LÄN</t>
        </is>
      </c>
      <c r="E78" t="inlineStr">
        <is>
          <t>ÄLVKARLEBY</t>
        </is>
      </c>
      <c r="F78" t="inlineStr">
        <is>
          <t>Bergvik skog öst AB</t>
        </is>
      </c>
      <c r="G78" t="n">
        <v>5.1</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46200</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46200</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46200</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14091-2026</t>
        </is>
      </c>
      <c r="B82" s="1" t="n">
        <v>46099</v>
      </c>
      <c r="C82" s="1" t="n">
        <v>46200</v>
      </c>
      <c r="D82" t="inlineStr">
        <is>
          <t>UPPSALA LÄN</t>
        </is>
      </c>
      <c r="E82" t="inlineStr">
        <is>
          <t>ÄLVKARLEBY</t>
        </is>
      </c>
      <c r="G82" t="n">
        <v>0.7</v>
      </c>
      <c r="H82" t="n">
        <v>0</v>
      </c>
      <c r="I82" t="n">
        <v>0</v>
      </c>
      <c r="J82" t="n">
        <v>0</v>
      </c>
      <c r="K82" t="n">
        <v>0</v>
      </c>
      <c r="L82" t="n">
        <v>0</v>
      </c>
      <c r="M82" t="n">
        <v>0</v>
      </c>
      <c r="N82" t="n">
        <v>0</v>
      </c>
      <c r="O82" t="n">
        <v>0</v>
      </c>
      <c r="P82" t="n">
        <v>0</v>
      </c>
      <c r="Q82" t="n">
        <v>0</v>
      </c>
      <c r="R82" s="2" t="inlineStr"/>
    </row>
    <row r="83" ht="15" customHeight="1">
      <c r="A83" t="inlineStr">
        <is>
          <t>A 17851-2026</t>
        </is>
      </c>
      <c r="B83" s="1" t="n">
        <v>46122</v>
      </c>
      <c r="C83" s="1" t="n">
        <v>46200</v>
      </c>
      <c r="D83" t="inlineStr">
        <is>
          <t>UPPSALA LÄN</t>
        </is>
      </c>
      <c r="E83" t="inlineStr">
        <is>
          <t>ÄLVKARLEBY</t>
        </is>
      </c>
      <c r="F83" t="inlineStr">
        <is>
          <t>Bergvik skog öst AB</t>
        </is>
      </c>
      <c r="G83" t="n">
        <v>3.6</v>
      </c>
      <c r="H83" t="n">
        <v>0</v>
      </c>
      <c r="I83" t="n">
        <v>0</v>
      </c>
      <c r="J83" t="n">
        <v>0</v>
      </c>
      <c r="K83" t="n">
        <v>0</v>
      </c>
      <c r="L83" t="n">
        <v>0</v>
      </c>
      <c r="M83" t="n">
        <v>0</v>
      </c>
      <c r="N83" t="n">
        <v>0</v>
      </c>
      <c r="O83" t="n">
        <v>0</v>
      </c>
      <c r="P83" t="n">
        <v>0</v>
      </c>
      <c r="Q83" t="n">
        <v>0</v>
      </c>
      <c r="R83" s="2" t="inlineStr"/>
    </row>
    <row r="84">
      <c r="A84" t="inlineStr">
        <is>
          <t>A 28670-2025</t>
        </is>
      </c>
      <c r="B84" s="1" t="n">
        <v>45819</v>
      </c>
      <c r="C84" s="1" t="n">
        <v>46200</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2026-06-27T00:55:59Z</dcterms:created>
  <dcterms:modified xmlns:dcterms="http://purl.org/dc/terms/" xmlns:xsi="http://www.w3.org/2001/XMLSchema-instance" xsi:type="dcterms:W3CDTF">2026-06-27T00:55:59Z</dcterms:modified>
</cp:coreProperties>
</file>