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46127</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46127</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46127</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46127</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46127</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46127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46127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46127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46127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46127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46127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58480-2025</t>
        </is>
      </c>
      <c r="B13" s="1" t="n">
        <v>45985.64805555555</v>
      </c>
      <c r="C13" s="1" t="n">
        <v>46127</v>
      </c>
      <c r="D13" t="inlineStr">
        <is>
          <t>UPPSALA LÄN</t>
        </is>
      </c>
      <c r="E13" t="inlineStr">
        <is>
          <t>ÄLVKARLEBY</t>
        </is>
      </c>
      <c r="F13" t="inlineStr">
        <is>
          <t>Bergvik skog väst AB</t>
        </is>
      </c>
      <c r="G13" t="n">
        <v>4.1</v>
      </c>
      <c r="H13" t="n">
        <v>1</v>
      </c>
      <c r="I13" t="n">
        <v>2</v>
      </c>
      <c r="J13" t="n">
        <v>0</v>
      </c>
      <c r="K13" t="n">
        <v>1</v>
      </c>
      <c r="L13" t="n">
        <v>0</v>
      </c>
      <c r="M13" t="n">
        <v>0</v>
      </c>
      <c r="N13" t="n">
        <v>0</v>
      </c>
      <c r="O13" t="n">
        <v>1</v>
      </c>
      <c r="P13" t="n">
        <v>1</v>
      </c>
      <c r="Q13" t="n">
        <v>3</v>
      </c>
      <c r="R13" s="2" t="inlineStr">
        <is>
          <t>Knärot
Tibast
Vätteros</t>
        </is>
      </c>
      <c r="S13">
        <f>HYPERLINK("https://klasma.github.io/Logging_0319/artfynd/A 58480-2025 artfynd.xlsx", "A 58480-2025")</f>
        <v/>
      </c>
      <c r="T13">
        <f>HYPERLINK("https://klasma.github.io/Logging_0319/kartor/A 58480-2025 karta.png", "A 58480-2025")</f>
        <v/>
      </c>
      <c r="U13">
        <f>HYPERLINK("https://klasma.github.io/Logging_0319/knärot/A 58480-2025 karta knärot.png", "A 58480-2025")</f>
        <v/>
      </c>
      <c r="V13">
        <f>HYPERLINK("https://klasma.github.io/Logging_0319/klagomål/A 58480-2025 FSC-klagomål.docx", "A 58480-2025")</f>
        <v/>
      </c>
      <c r="W13">
        <f>HYPERLINK("https://klasma.github.io/Logging_0319/klagomålsmail/A 58480-2025 FSC-klagomål mail.docx", "A 58480-2025")</f>
        <v/>
      </c>
      <c r="X13">
        <f>HYPERLINK("https://klasma.github.io/Logging_0319/tillsyn/A 58480-2025 tillsynsbegäran.docx", "A 58480-2025")</f>
        <v/>
      </c>
      <c r="Y13">
        <f>HYPERLINK("https://klasma.github.io/Logging_0319/tillsynsmail/A 58480-2025 tillsynsbegäran mail.docx", "A 58480-2025")</f>
        <v/>
      </c>
    </row>
    <row r="14" ht="15" customHeight="1">
      <c r="A14" t="inlineStr">
        <is>
          <t>A 70017-2021</t>
        </is>
      </c>
      <c r="B14" s="1" t="n">
        <v>44533</v>
      </c>
      <c r="C14" s="1" t="n">
        <v>46127</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61693-2025</t>
        </is>
      </c>
      <c r="B15" s="1" t="n">
        <v>46002</v>
      </c>
      <c r="C15" s="1" t="n">
        <v>46127</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46127</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46127</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46127</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46127</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46127</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46127</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46127</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59993-2025</t>
        </is>
      </c>
      <c r="B23" s="1" t="n">
        <v>45993.56505787037</v>
      </c>
      <c r="C23" s="1" t="n">
        <v>46127</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51238-2025</t>
        </is>
      </c>
      <c r="B24" s="1" t="n">
        <v>45947.69753472223</v>
      </c>
      <c r="C24" s="1" t="n">
        <v>46127</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4132-2026</t>
        </is>
      </c>
      <c r="B25" s="1" t="n">
        <v>46044.62596064815</v>
      </c>
      <c r="C25" s="1" t="n">
        <v>46127</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46127</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46127</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46127</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46127</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46127</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46127</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46127</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46127</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46127</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46127</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46127</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24591-2025</t>
        </is>
      </c>
      <c r="B37" s="1" t="n">
        <v>45798.53666666667</v>
      </c>
      <c r="C37" s="1" t="n">
        <v>46127</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25330-2025</t>
        </is>
      </c>
      <c r="B38" s="1" t="n">
        <v>45800.59114583334</v>
      </c>
      <c r="C38" s="1" t="n">
        <v>46127</v>
      </c>
      <c r="D38" t="inlineStr">
        <is>
          <t>UPPSALA LÄN</t>
        </is>
      </c>
      <c r="E38" t="inlineStr">
        <is>
          <t>ÄLVKARLEBY</t>
        </is>
      </c>
      <c r="F38" t="inlineStr">
        <is>
          <t>Bergvik skog väst AB</t>
        </is>
      </c>
      <c r="G38" t="n">
        <v>5</v>
      </c>
      <c r="H38" t="n">
        <v>0</v>
      </c>
      <c r="I38" t="n">
        <v>0</v>
      </c>
      <c r="J38" t="n">
        <v>0</v>
      </c>
      <c r="K38" t="n">
        <v>0</v>
      </c>
      <c r="L38" t="n">
        <v>0</v>
      </c>
      <c r="M38" t="n">
        <v>0</v>
      </c>
      <c r="N38" t="n">
        <v>0</v>
      </c>
      <c r="O38" t="n">
        <v>0</v>
      </c>
      <c r="P38" t="n">
        <v>0</v>
      </c>
      <c r="Q38" t="n">
        <v>0</v>
      </c>
      <c r="R38" s="2" t="inlineStr"/>
    </row>
    <row r="39" ht="15" customHeight="1">
      <c r="A39" t="inlineStr">
        <is>
          <t>A 25264-2025</t>
        </is>
      </c>
      <c r="B39" s="1" t="n">
        <v>45800.5334375</v>
      </c>
      <c r="C39" s="1" t="n">
        <v>46127</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46127</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46127</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46127</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56861-2025</t>
        </is>
      </c>
      <c r="B43" s="1" t="n">
        <v>45978.50824074074</v>
      </c>
      <c r="C43" s="1" t="n">
        <v>46127</v>
      </c>
      <c r="D43" t="inlineStr">
        <is>
          <t>UPPSALA LÄN</t>
        </is>
      </c>
      <c r="E43" t="inlineStr">
        <is>
          <t>ÄLVKARLEBY</t>
        </is>
      </c>
      <c r="F43" t="inlineStr">
        <is>
          <t>Bergvik skog väst AB</t>
        </is>
      </c>
      <c r="G43" t="n">
        <v>1.6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46127</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26670-2025</t>
        </is>
      </c>
      <c r="B45" s="1" t="n">
        <v>45810.41489583333</v>
      </c>
      <c r="C45" s="1" t="n">
        <v>46127</v>
      </c>
      <c r="D45" t="inlineStr">
        <is>
          <t>UPPSALA LÄN</t>
        </is>
      </c>
      <c r="E45" t="inlineStr">
        <is>
          <t>ÄLVKARLEBY</t>
        </is>
      </c>
      <c r="F45" t="inlineStr">
        <is>
          <t>Bergvik skog väst AB</t>
        </is>
      </c>
      <c r="G45" t="n">
        <v>1.1</v>
      </c>
      <c r="H45" t="n">
        <v>0</v>
      </c>
      <c r="I45" t="n">
        <v>0</v>
      </c>
      <c r="J45" t="n">
        <v>0</v>
      </c>
      <c r="K45" t="n">
        <v>0</v>
      </c>
      <c r="L45" t="n">
        <v>0</v>
      </c>
      <c r="M45" t="n">
        <v>0</v>
      </c>
      <c r="N45" t="n">
        <v>0</v>
      </c>
      <c r="O45" t="n">
        <v>0</v>
      </c>
      <c r="P45" t="n">
        <v>0</v>
      </c>
      <c r="Q45" t="n">
        <v>0</v>
      </c>
      <c r="R45" s="2" t="inlineStr"/>
    </row>
    <row r="46" ht="15" customHeight="1">
      <c r="A46" t="inlineStr">
        <is>
          <t>A 15739-2025</t>
        </is>
      </c>
      <c r="B46" s="1" t="n">
        <v>45748.54612268518</v>
      </c>
      <c r="C46" s="1" t="n">
        <v>46127</v>
      </c>
      <c r="D46" t="inlineStr">
        <is>
          <t>UPPSALA LÄN</t>
        </is>
      </c>
      <c r="E46" t="inlineStr">
        <is>
          <t>ÄLVKARLEBY</t>
        </is>
      </c>
      <c r="F46" t="inlineStr">
        <is>
          <t>Kyrkan</t>
        </is>
      </c>
      <c r="G46" t="n">
        <v>2.4</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46127</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27741-2025</t>
        </is>
      </c>
      <c r="B48" s="1" t="n">
        <v>45815.5346875</v>
      </c>
      <c r="C48" s="1" t="n">
        <v>46127</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57734-2025</t>
        </is>
      </c>
      <c r="B49" s="1" t="n">
        <v>45981.51148148148</v>
      </c>
      <c r="C49" s="1" t="n">
        <v>46127</v>
      </c>
      <c r="D49" t="inlineStr">
        <is>
          <t>UPPSALA LÄN</t>
        </is>
      </c>
      <c r="E49" t="inlineStr">
        <is>
          <t>ÄLVKARLEBY</t>
        </is>
      </c>
      <c r="F49" t="inlineStr">
        <is>
          <t>Bergvik skog väst AB</t>
        </is>
      </c>
      <c r="G49" t="n">
        <v>1.3</v>
      </c>
      <c r="H49" t="n">
        <v>0</v>
      </c>
      <c r="I49" t="n">
        <v>0</v>
      </c>
      <c r="J49" t="n">
        <v>0</v>
      </c>
      <c r="K49" t="n">
        <v>0</v>
      </c>
      <c r="L49" t="n">
        <v>0</v>
      </c>
      <c r="M49" t="n">
        <v>0</v>
      </c>
      <c r="N49" t="n">
        <v>0</v>
      </c>
      <c r="O49" t="n">
        <v>0</v>
      </c>
      <c r="P49" t="n">
        <v>0</v>
      </c>
      <c r="Q49" t="n">
        <v>0</v>
      </c>
      <c r="R49" s="2" t="inlineStr"/>
    </row>
    <row r="50" ht="15" customHeight="1">
      <c r="A50" t="inlineStr">
        <is>
          <t>A 27742-2025</t>
        </is>
      </c>
      <c r="B50" s="1" t="n">
        <v>45815.53724537037</v>
      </c>
      <c r="C50" s="1" t="n">
        <v>46127</v>
      </c>
      <c r="D50" t="inlineStr">
        <is>
          <t>UPPSALA LÄN</t>
        </is>
      </c>
      <c r="E50" t="inlineStr">
        <is>
          <t>ÄLVKARLEBY</t>
        </is>
      </c>
      <c r="F50" t="inlineStr">
        <is>
          <t>Bergvik skog väst AB</t>
        </is>
      </c>
      <c r="G50" t="n">
        <v>1.4</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46127</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28670-2025</t>
        </is>
      </c>
      <c r="B52" s="1" t="n">
        <v>45819.67130787037</v>
      </c>
      <c r="C52" s="1" t="n">
        <v>46127</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28668-2025</t>
        </is>
      </c>
      <c r="B53" s="1" t="n">
        <v>45819.66650462963</v>
      </c>
      <c r="C53" s="1" t="n">
        <v>46127</v>
      </c>
      <c r="D53" t="inlineStr">
        <is>
          <t>UPPSALA LÄN</t>
        </is>
      </c>
      <c r="E53" t="inlineStr">
        <is>
          <t>ÄLVKARLEBY</t>
        </is>
      </c>
      <c r="F53" t="inlineStr">
        <is>
          <t>Bergvik skog väst AB</t>
        </is>
      </c>
      <c r="G53" t="n">
        <v>8.300000000000001</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46127</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58168-2025</t>
        </is>
      </c>
      <c r="B55" s="1" t="n">
        <v>45982.72024305556</v>
      </c>
      <c r="C55" s="1" t="n">
        <v>46127</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45512-2025</t>
        </is>
      </c>
      <c r="B56" s="1" t="n">
        <v>45922.58106481482</v>
      </c>
      <c r="C56" s="1" t="n">
        <v>46127</v>
      </c>
      <c r="D56" t="inlineStr">
        <is>
          <t>UPPSALA LÄN</t>
        </is>
      </c>
      <c r="E56" t="inlineStr">
        <is>
          <t>ÄLVKARLEBY</t>
        </is>
      </c>
      <c r="F56" t="inlineStr">
        <is>
          <t>Bergvik skog väst AB</t>
        </is>
      </c>
      <c r="G56" t="n">
        <v>0.8</v>
      </c>
      <c r="H56" t="n">
        <v>0</v>
      </c>
      <c r="I56" t="n">
        <v>0</v>
      </c>
      <c r="J56" t="n">
        <v>0</v>
      </c>
      <c r="K56" t="n">
        <v>0</v>
      </c>
      <c r="L56" t="n">
        <v>0</v>
      </c>
      <c r="M56" t="n">
        <v>0</v>
      </c>
      <c r="N56" t="n">
        <v>0</v>
      </c>
      <c r="O56" t="n">
        <v>0</v>
      </c>
      <c r="P56" t="n">
        <v>0</v>
      </c>
      <c r="Q56" t="n">
        <v>0</v>
      </c>
      <c r="R56" s="2" t="inlineStr"/>
    </row>
    <row r="57" ht="15" customHeight="1">
      <c r="A57" t="inlineStr">
        <is>
          <t>A 46335-2025</t>
        </is>
      </c>
      <c r="B57" s="1" t="n">
        <v>45925.46199074074</v>
      </c>
      <c r="C57" s="1" t="n">
        <v>46127</v>
      </c>
      <c r="D57" t="inlineStr">
        <is>
          <t>UPPSALA LÄN</t>
        </is>
      </c>
      <c r="E57" t="inlineStr">
        <is>
          <t>ÄLVKARLEBY</t>
        </is>
      </c>
      <c r="G57" t="n">
        <v>1.3</v>
      </c>
      <c r="H57" t="n">
        <v>0</v>
      </c>
      <c r="I57" t="n">
        <v>0</v>
      </c>
      <c r="J57" t="n">
        <v>0</v>
      </c>
      <c r="K57" t="n">
        <v>0</v>
      </c>
      <c r="L57" t="n">
        <v>0</v>
      </c>
      <c r="M57" t="n">
        <v>0</v>
      </c>
      <c r="N57" t="n">
        <v>0</v>
      </c>
      <c r="O57" t="n">
        <v>0</v>
      </c>
      <c r="P57" t="n">
        <v>0</v>
      </c>
      <c r="Q57" t="n">
        <v>0</v>
      </c>
      <c r="R57" s="2" t="inlineStr"/>
    </row>
    <row r="58" ht="15" customHeight="1">
      <c r="A58" t="inlineStr">
        <is>
          <t>A 30483-2025</t>
        </is>
      </c>
      <c r="B58" s="1" t="n">
        <v>45828.68988425926</v>
      </c>
      <c r="C58" s="1" t="n">
        <v>46127</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46127</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58497-2025</t>
        </is>
      </c>
      <c r="B60" s="1" t="n">
        <v>45985.67912037037</v>
      </c>
      <c r="C60" s="1" t="n">
        <v>46127</v>
      </c>
      <c r="D60" t="inlineStr">
        <is>
          <t>UPPSALA LÄN</t>
        </is>
      </c>
      <c r="E60" t="inlineStr">
        <is>
          <t>ÄLVKARLEBY</t>
        </is>
      </c>
      <c r="F60" t="inlineStr">
        <is>
          <t>Bergvik skog väst AB</t>
        </is>
      </c>
      <c r="G60" t="n">
        <v>4.6</v>
      </c>
      <c r="H60" t="n">
        <v>0</v>
      </c>
      <c r="I60" t="n">
        <v>0</v>
      </c>
      <c r="J60" t="n">
        <v>0</v>
      </c>
      <c r="K60" t="n">
        <v>0</v>
      </c>
      <c r="L60" t="n">
        <v>0</v>
      </c>
      <c r="M60" t="n">
        <v>0</v>
      </c>
      <c r="N60" t="n">
        <v>0</v>
      </c>
      <c r="O60" t="n">
        <v>0</v>
      </c>
      <c r="P60" t="n">
        <v>0</v>
      </c>
      <c r="Q60" t="n">
        <v>0</v>
      </c>
      <c r="R60" s="2" t="inlineStr"/>
    </row>
    <row r="61" ht="15" customHeight="1">
      <c r="A61" t="inlineStr">
        <is>
          <t>A 30944-2025</t>
        </is>
      </c>
      <c r="B61" s="1" t="n">
        <v>45832.41182870371</v>
      </c>
      <c r="C61" s="1" t="n">
        <v>46127</v>
      </c>
      <c r="D61" t="inlineStr">
        <is>
          <t>UPPSALA LÄN</t>
        </is>
      </c>
      <c r="E61" t="inlineStr">
        <is>
          <t>ÄLVKARLEBY</t>
        </is>
      </c>
      <c r="F61" t="inlineStr">
        <is>
          <t>Bergvik skog öst AB</t>
        </is>
      </c>
      <c r="G61" t="n">
        <v>3.4</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46127</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32187-2025</t>
        </is>
      </c>
      <c r="B63" s="1" t="n">
        <v>45835.56949074074</v>
      </c>
      <c r="C63" s="1" t="n">
        <v>46127</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32203-2025</t>
        </is>
      </c>
      <c r="B64" s="1" t="n">
        <v>45835.57951388889</v>
      </c>
      <c r="C64" s="1" t="n">
        <v>46127</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46127</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46127</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46127</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43285-2023</t>
        </is>
      </c>
      <c r="B68" s="1" t="n">
        <v>45183.5630787037</v>
      </c>
      <c r="C68" s="1" t="n">
        <v>46127</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46127</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9533-2025</t>
        </is>
      </c>
      <c r="B70" s="1" t="n">
        <v>45715.57082175926</v>
      </c>
      <c r="C70" s="1" t="n">
        <v>46127</v>
      </c>
      <c r="D70" t="inlineStr">
        <is>
          <t>UPPSALA LÄN</t>
        </is>
      </c>
      <c r="E70" t="inlineStr">
        <is>
          <t>ÄLVKARLEBY</t>
        </is>
      </c>
      <c r="G70" t="n">
        <v>2.1</v>
      </c>
      <c r="H70" t="n">
        <v>0</v>
      </c>
      <c r="I70" t="n">
        <v>0</v>
      </c>
      <c r="J70" t="n">
        <v>0</v>
      </c>
      <c r="K70" t="n">
        <v>0</v>
      </c>
      <c r="L70" t="n">
        <v>0</v>
      </c>
      <c r="M70" t="n">
        <v>0</v>
      </c>
      <c r="N70" t="n">
        <v>0</v>
      </c>
      <c r="O70" t="n">
        <v>0</v>
      </c>
      <c r="P70" t="n">
        <v>0</v>
      </c>
      <c r="Q70" t="n">
        <v>0</v>
      </c>
      <c r="R70" s="2" t="inlineStr"/>
    </row>
    <row r="71" ht="15" customHeight="1">
      <c r="A71" t="inlineStr">
        <is>
          <t>A 50138-2025</t>
        </is>
      </c>
      <c r="B71" s="1" t="n">
        <v>45943.5653125</v>
      </c>
      <c r="C71" s="1" t="n">
        <v>46127</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60083-2025</t>
        </is>
      </c>
      <c r="B72" s="1" t="n">
        <v>45993.69733796296</v>
      </c>
      <c r="C72" s="1" t="n">
        <v>46127</v>
      </c>
      <c r="D72" t="inlineStr">
        <is>
          <t>UPPSALA LÄN</t>
        </is>
      </c>
      <c r="E72" t="inlineStr">
        <is>
          <t>ÄLVKARLEBY</t>
        </is>
      </c>
      <c r="F72" t="inlineStr">
        <is>
          <t>Bergvik skog väst AB</t>
        </is>
      </c>
      <c r="G72" t="n">
        <v>4.7</v>
      </c>
      <c r="H72" t="n">
        <v>0</v>
      </c>
      <c r="I72" t="n">
        <v>0</v>
      </c>
      <c r="J72" t="n">
        <v>0</v>
      </c>
      <c r="K72" t="n">
        <v>0</v>
      </c>
      <c r="L72" t="n">
        <v>0</v>
      </c>
      <c r="M72" t="n">
        <v>0</v>
      </c>
      <c r="N72" t="n">
        <v>0</v>
      </c>
      <c r="O72" t="n">
        <v>0</v>
      </c>
      <c r="P72" t="n">
        <v>0</v>
      </c>
      <c r="Q72" t="n">
        <v>0</v>
      </c>
      <c r="R72" s="2" t="inlineStr"/>
    </row>
    <row r="73" ht="15" customHeight="1">
      <c r="A73" t="inlineStr">
        <is>
          <t>A 2184-2024</t>
        </is>
      </c>
      <c r="B73" s="1" t="n">
        <v>45309</v>
      </c>
      <c r="C73" s="1" t="n">
        <v>46127</v>
      </c>
      <c r="D73" t="inlineStr">
        <is>
          <t>UPPSALA LÄN</t>
        </is>
      </c>
      <c r="E73" t="inlineStr">
        <is>
          <t>ÄLVKARLEBY</t>
        </is>
      </c>
      <c r="G73" t="n">
        <v>0.6</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46127</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50398-2025</t>
        </is>
      </c>
      <c r="B75" s="1" t="n">
        <v>45944.62854166667</v>
      </c>
      <c r="C75" s="1" t="n">
        <v>46127</v>
      </c>
      <c r="D75" t="inlineStr">
        <is>
          <t>UPPSALA LÄN</t>
        </is>
      </c>
      <c r="E75" t="inlineStr">
        <is>
          <t>ÄLVKARLEBY</t>
        </is>
      </c>
      <c r="F75" t="inlineStr">
        <is>
          <t>Bergvik skog väst AB</t>
        </is>
      </c>
      <c r="G75" t="n">
        <v>4.4</v>
      </c>
      <c r="H75" t="n">
        <v>0</v>
      </c>
      <c r="I75" t="n">
        <v>0</v>
      </c>
      <c r="J75" t="n">
        <v>0</v>
      </c>
      <c r="K75" t="n">
        <v>0</v>
      </c>
      <c r="L75" t="n">
        <v>0</v>
      </c>
      <c r="M75" t="n">
        <v>0</v>
      </c>
      <c r="N75" t="n">
        <v>0</v>
      </c>
      <c r="O75" t="n">
        <v>0</v>
      </c>
      <c r="P75" t="n">
        <v>0</v>
      </c>
      <c r="Q75" t="n">
        <v>0</v>
      </c>
      <c r="R75" s="2" t="inlineStr"/>
    </row>
    <row r="76" ht="15" customHeight="1">
      <c r="A76" t="inlineStr">
        <is>
          <t>A 50371-2025</t>
        </is>
      </c>
      <c r="B76" s="1" t="n">
        <v>45944.58696759259</v>
      </c>
      <c r="C76" s="1" t="n">
        <v>46127</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60256-2025</t>
        </is>
      </c>
      <c r="B77" s="1" t="n">
        <v>45994.60216435185</v>
      </c>
      <c r="C77" s="1" t="n">
        <v>46127</v>
      </c>
      <c r="D77" t="inlineStr">
        <is>
          <t>UPPSALA LÄN</t>
        </is>
      </c>
      <c r="E77" t="inlineStr">
        <is>
          <t>ÄLVKARLEBY</t>
        </is>
      </c>
      <c r="G77" t="n">
        <v>1</v>
      </c>
      <c r="H77" t="n">
        <v>0</v>
      </c>
      <c r="I77" t="n">
        <v>0</v>
      </c>
      <c r="J77" t="n">
        <v>0</v>
      </c>
      <c r="K77" t="n">
        <v>0</v>
      </c>
      <c r="L77" t="n">
        <v>0</v>
      </c>
      <c r="M77" t="n">
        <v>0</v>
      </c>
      <c r="N77" t="n">
        <v>0</v>
      </c>
      <c r="O77" t="n">
        <v>0</v>
      </c>
      <c r="P77" t="n">
        <v>0</v>
      </c>
      <c r="Q77" t="n">
        <v>0</v>
      </c>
      <c r="R77" s="2" t="inlineStr"/>
    </row>
    <row r="78" ht="15" customHeight="1">
      <c r="A78" t="inlineStr">
        <is>
          <t>A 51237-2025</t>
        </is>
      </c>
      <c r="B78" s="1" t="n">
        <v>45947.69307870371</v>
      </c>
      <c r="C78" s="1" t="n">
        <v>46127</v>
      </c>
      <c r="D78" t="inlineStr">
        <is>
          <t>UPPSALA LÄN</t>
        </is>
      </c>
      <c r="E78" t="inlineStr">
        <is>
          <t>ÄLVKARLEBY</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50869-2025</t>
        </is>
      </c>
      <c r="B79" s="1" t="n">
        <v>45946.60259259259</v>
      </c>
      <c r="C79" s="1" t="n">
        <v>46127</v>
      </c>
      <c r="D79" t="inlineStr">
        <is>
          <t>UPPSALA LÄN</t>
        </is>
      </c>
      <c r="E79" t="inlineStr">
        <is>
          <t>ÄLVKARLEBY</t>
        </is>
      </c>
      <c r="F79" t="inlineStr">
        <is>
          <t>Bergvik skog väst AB</t>
        </is>
      </c>
      <c r="G79" t="n">
        <v>11.4</v>
      </c>
      <c r="H79" t="n">
        <v>0</v>
      </c>
      <c r="I79" t="n">
        <v>0</v>
      </c>
      <c r="J79" t="n">
        <v>0</v>
      </c>
      <c r="K79" t="n">
        <v>0</v>
      </c>
      <c r="L79" t="n">
        <v>0</v>
      </c>
      <c r="M79" t="n">
        <v>0</v>
      </c>
      <c r="N79" t="n">
        <v>0</v>
      </c>
      <c r="O79" t="n">
        <v>0</v>
      </c>
      <c r="P79" t="n">
        <v>0</v>
      </c>
      <c r="Q79" t="n">
        <v>0</v>
      </c>
      <c r="R79" s="2" t="inlineStr"/>
    </row>
    <row r="80" ht="15" customHeight="1">
      <c r="A80" t="inlineStr">
        <is>
          <t>A 36626-2025</t>
        </is>
      </c>
      <c r="B80" s="1" t="n">
        <v>45870.66732638889</v>
      </c>
      <c r="C80" s="1" t="n">
        <v>46127</v>
      </c>
      <c r="D80" t="inlineStr">
        <is>
          <t>UPPSALA LÄN</t>
        </is>
      </c>
      <c r="E80" t="inlineStr">
        <is>
          <t>ÄLVKARLEBY</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52477-2025</t>
        </is>
      </c>
      <c r="B81" s="1" t="n">
        <v>45954.46980324074</v>
      </c>
      <c r="C81" s="1" t="n">
        <v>46127</v>
      </c>
      <c r="D81" t="inlineStr">
        <is>
          <t>UPPSALA LÄN</t>
        </is>
      </c>
      <c r="E81" t="inlineStr">
        <is>
          <t>ÄLVKARLEBY</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52498-2025</t>
        </is>
      </c>
      <c r="B82" s="1" t="n">
        <v>45954.49314814815</v>
      </c>
      <c r="C82" s="1" t="n">
        <v>46127</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53184-2025</t>
        </is>
      </c>
      <c r="B83" s="1" t="n">
        <v>45958</v>
      </c>
      <c r="C83" s="1" t="n">
        <v>46127</v>
      </c>
      <c r="D83" t="inlineStr">
        <is>
          <t>UPPSALA LÄN</t>
        </is>
      </c>
      <c r="E83" t="inlineStr">
        <is>
          <t>ÄLVKARLEBY</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53173-2025</t>
        </is>
      </c>
      <c r="B84" s="1" t="n">
        <v>45958.51738425926</v>
      </c>
      <c r="C84" s="1" t="n">
        <v>46127</v>
      </c>
      <c r="D84" t="inlineStr">
        <is>
          <t>UPPSALA LÄN</t>
        </is>
      </c>
      <c r="E84" t="inlineStr">
        <is>
          <t>ÄLVKARLEBY</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60842-2025</t>
        </is>
      </c>
      <c r="B85" s="1" t="n">
        <v>45999.48721064815</v>
      </c>
      <c r="C85" s="1" t="n">
        <v>46127</v>
      </c>
      <c r="D85" t="inlineStr">
        <is>
          <t>UPPSALA LÄN</t>
        </is>
      </c>
      <c r="E85" t="inlineStr">
        <is>
          <t>ÄLVKARLEBY</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60829-2025</t>
        </is>
      </c>
      <c r="B86" s="1" t="n">
        <v>45999.46523148148</v>
      </c>
      <c r="C86" s="1" t="n">
        <v>46127</v>
      </c>
      <c r="D86" t="inlineStr">
        <is>
          <t>UPPSALA LÄN</t>
        </is>
      </c>
      <c r="E86" t="inlineStr">
        <is>
          <t>ÄLVKARLEBY</t>
        </is>
      </c>
      <c r="F86" t="inlineStr">
        <is>
          <t>Bergvik skog väst AB</t>
        </is>
      </c>
      <c r="G86" t="n">
        <v>5.5</v>
      </c>
      <c r="H86" t="n">
        <v>0</v>
      </c>
      <c r="I86" t="n">
        <v>0</v>
      </c>
      <c r="J86" t="n">
        <v>0</v>
      </c>
      <c r="K86" t="n">
        <v>0</v>
      </c>
      <c r="L86" t="n">
        <v>0</v>
      </c>
      <c r="M86" t="n">
        <v>0</v>
      </c>
      <c r="N86" t="n">
        <v>0</v>
      </c>
      <c r="O86" t="n">
        <v>0</v>
      </c>
      <c r="P86" t="n">
        <v>0</v>
      </c>
      <c r="Q86" t="n">
        <v>0</v>
      </c>
      <c r="R86" s="2" t="inlineStr"/>
    </row>
    <row r="87" ht="15" customHeight="1">
      <c r="A87" t="inlineStr">
        <is>
          <t>A 61694-2025</t>
        </is>
      </c>
      <c r="B87" s="1" t="n">
        <v>46002.52361111111</v>
      </c>
      <c r="C87" s="1" t="n">
        <v>46127</v>
      </c>
      <c r="D87" t="inlineStr">
        <is>
          <t>UPPSALA LÄN</t>
        </is>
      </c>
      <c r="E87" t="inlineStr">
        <is>
          <t>ÄLVKARLEBY</t>
        </is>
      </c>
      <c r="F87" t="inlineStr">
        <is>
          <t>Bergvik skog öst AB</t>
        </is>
      </c>
      <c r="G87" t="n">
        <v>1.5</v>
      </c>
      <c r="H87" t="n">
        <v>0</v>
      </c>
      <c r="I87" t="n">
        <v>0</v>
      </c>
      <c r="J87" t="n">
        <v>0</v>
      </c>
      <c r="K87" t="n">
        <v>0</v>
      </c>
      <c r="L87" t="n">
        <v>0</v>
      </c>
      <c r="M87" t="n">
        <v>0</v>
      </c>
      <c r="N87" t="n">
        <v>0</v>
      </c>
      <c r="O87" t="n">
        <v>0</v>
      </c>
      <c r="P87" t="n">
        <v>0</v>
      </c>
      <c r="Q87" t="n">
        <v>0</v>
      </c>
      <c r="R87" s="2" t="inlineStr"/>
    </row>
    <row r="88" ht="15" customHeight="1">
      <c r="A88" t="inlineStr">
        <is>
          <t>A 61685-2025</t>
        </is>
      </c>
      <c r="B88" s="1" t="n">
        <v>46002.503125</v>
      </c>
      <c r="C88" s="1" t="n">
        <v>46127</v>
      </c>
      <c r="D88" t="inlineStr">
        <is>
          <t>UPPSALA LÄN</t>
        </is>
      </c>
      <c r="E88" t="inlineStr">
        <is>
          <t>ÄLVKARLEBY</t>
        </is>
      </c>
      <c r="F88" t="inlineStr">
        <is>
          <t>Bergvik skog öst AB</t>
        </is>
      </c>
      <c r="G88" t="n">
        <v>1</v>
      </c>
      <c r="H88" t="n">
        <v>0</v>
      </c>
      <c r="I88" t="n">
        <v>0</v>
      </c>
      <c r="J88" t="n">
        <v>0</v>
      </c>
      <c r="K88" t="n">
        <v>0</v>
      </c>
      <c r="L88" t="n">
        <v>0</v>
      </c>
      <c r="M88" t="n">
        <v>0</v>
      </c>
      <c r="N88" t="n">
        <v>0</v>
      </c>
      <c r="O88" t="n">
        <v>0</v>
      </c>
      <c r="P88" t="n">
        <v>0</v>
      </c>
      <c r="Q88" t="n">
        <v>0</v>
      </c>
      <c r="R88" s="2" t="inlineStr"/>
    </row>
    <row r="89" ht="15" customHeight="1">
      <c r="A89" t="inlineStr">
        <is>
          <t>A 61691-2025</t>
        </is>
      </c>
      <c r="B89" s="1" t="n">
        <v>46002.51318287037</v>
      </c>
      <c r="C89" s="1" t="n">
        <v>46127</v>
      </c>
      <c r="D89" t="inlineStr">
        <is>
          <t>UPPSALA LÄN</t>
        </is>
      </c>
      <c r="E89" t="inlineStr">
        <is>
          <t>ÄLVKARLEBY</t>
        </is>
      </c>
      <c r="F89" t="inlineStr">
        <is>
          <t>Bergvik skog öst AB</t>
        </is>
      </c>
      <c r="G89" t="n">
        <v>0.7</v>
      </c>
      <c r="H89" t="n">
        <v>0</v>
      </c>
      <c r="I89" t="n">
        <v>0</v>
      </c>
      <c r="J89" t="n">
        <v>0</v>
      </c>
      <c r="K89" t="n">
        <v>0</v>
      </c>
      <c r="L89" t="n">
        <v>0</v>
      </c>
      <c r="M89" t="n">
        <v>0</v>
      </c>
      <c r="N89" t="n">
        <v>0</v>
      </c>
      <c r="O89" t="n">
        <v>0</v>
      </c>
      <c r="P89" t="n">
        <v>0</v>
      </c>
      <c r="Q89" t="n">
        <v>0</v>
      </c>
      <c r="R89" s="2" t="inlineStr"/>
    </row>
    <row r="90" ht="15" customHeight="1">
      <c r="A90" t="inlineStr">
        <is>
          <t>A 8030-2025</t>
        </is>
      </c>
      <c r="B90" s="1" t="n">
        <v>45707.59064814815</v>
      </c>
      <c r="C90" s="1" t="n">
        <v>46127</v>
      </c>
      <c r="D90" t="inlineStr">
        <is>
          <t>UPPSALA LÄN</t>
        </is>
      </c>
      <c r="E90" t="inlineStr">
        <is>
          <t>ÄLVKARLEBY</t>
        </is>
      </c>
      <c r="F90" t="inlineStr">
        <is>
          <t>Bergvik skog väst AB</t>
        </is>
      </c>
      <c r="G90" t="n">
        <v>3.6</v>
      </c>
      <c r="H90" t="n">
        <v>0</v>
      </c>
      <c r="I90" t="n">
        <v>0</v>
      </c>
      <c r="J90" t="n">
        <v>0</v>
      </c>
      <c r="K90" t="n">
        <v>0</v>
      </c>
      <c r="L90" t="n">
        <v>0</v>
      </c>
      <c r="M90" t="n">
        <v>0</v>
      </c>
      <c r="N90" t="n">
        <v>0</v>
      </c>
      <c r="O90" t="n">
        <v>0</v>
      </c>
      <c r="P90" t="n">
        <v>0</v>
      </c>
      <c r="Q90" t="n">
        <v>0</v>
      </c>
      <c r="R90" s="2" t="inlineStr"/>
    </row>
    <row r="91" ht="15" customHeight="1">
      <c r="A91" t="inlineStr">
        <is>
          <t>A 63004-2025</t>
        </is>
      </c>
      <c r="B91" s="1" t="n">
        <v>46009.56873842593</v>
      </c>
      <c r="C91" s="1" t="n">
        <v>46127</v>
      </c>
      <c r="D91" t="inlineStr">
        <is>
          <t>UPPSALA LÄN</t>
        </is>
      </c>
      <c r="E91" t="inlineStr">
        <is>
          <t>ÄLVKARLEBY</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62938-2025</t>
        </is>
      </c>
      <c r="B92" s="1" t="n">
        <v>46009.42092592592</v>
      </c>
      <c r="C92" s="1" t="n">
        <v>46127</v>
      </c>
      <c r="D92" t="inlineStr">
        <is>
          <t>UPPSALA LÄN</t>
        </is>
      </c>
      <c r="E92" t="inlineStr">
        <is>
          <t>ÄLVKARLEBY</t>
        </is>
      </c>
      <c r="F92" t="inlineStr">
        <is>
          <t>Bergvik skog väst AB</t>
        </is>
      </c>
      <c r="G92" t="n">
        <v>10.2</v>
      </c>
      <c r="H92" t="n">
        <v>0</v>
      </c>
      <c r="I92" t="n">
        <v>0</v>
      </c>
      <c r="J92" t="n">
        <v>0</v>
      </c>
      <c r="K92" t="n">
        <v>0</v>
      </c>
      <c r="L92" t="n">
        <v>0</v>
      </c>
      <c r="M92" t="n">
        <v>0</v>
      </c>
      <c r="N92" t="n">
        <v>0</v>
      </c>
      <c r="O92" t="n">
        <v>0</v>
      </c>
      <c r="P92" t="n">
        <v>0</v>
      </c>
      <c r="Q92" t="n">
        <v>0</v>
      </c>
      <c r="R92" s="2" t="inlineStr"/>
    </row>
    <row r="93" ht="15" customHeight="1">
      <c r="A93" t="inlineStr">
        <is>
          <t>A 63341-2025</t>
        </is>
      </c>
      <c r="B93" s="1" t="n">
        <v>46010.65505787037</v>
      </c>
      <c r="C93" s="1" t="n">
        <v>46127</v>
      </c>
      <c r="D93" t="inlineStr">
        <is>
          <t>UPPSALA LÄN</t>
        </is>
      </c>
      <c r="E93" t="inlineStr">
        <is>
          <t>ÄLVKARLEBY</t>
        </is>
      </c>
      <c r="F93" t="inlineStr">
        <is>
          <t>Bergvik skog väst AB</t>
        </is>
      </c>
      <c r="G93" t="n">
        <v>4.3</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46127</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63365-2025</t>
        </is>
      </c>
      <c r="B95" s="1" t="n">
        <v>46010.70717592593</v>
      </c>
      <c r="C95" s="1" t="n">
        <v>46127</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14590-2023</t>
        </is>
      </c>
      <c r="B96" s="1" t="n">
        <v>45013.54621527778</v>
      </c>
      <c r="C96" s="1" t="n">
        <v>46127</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61839-2025</t>
        </is>
      </c>
      <c r="B97" s="1" t="n">
        <v>46003.35768518518</v>
      </c>
      <c r="C97" s="1" t="n">
        <v>46127</v>
      </c>
      <c r="D97" t="inlineStr">
        <is>
          <t>UPPSALA LÄN</t>
        </is>
      </c>
      <c r="E97" t="inlineStr">
        <is>
          <t>ÄLVKARLEBY</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7286-2023</t>
        </is>
      </c>
      <c r="B98" s="1" t="n">
        <v>44970</v>
      </c>
      <c r="C98" s="1" t="n">
        <v>46127</v>
      </c>
      <c r="D98" t="inlineStr">
        <is>
          <t>UPPSALA LÄN</t>
        </is>
      </c>
      <c r="E98" t="inlineStr">
        <is>
          <t>ÄLVKARLEBY</t>
        </is>
      </c>
      <c r="F98" t="inlineStr">
        <is>
          <t>Bergvik skog väst AB</t>
        </is>
      </c>
      <c r="G98" t="n">
        <v>2.5</v>
      </c>
      <c r="H98" t="n">
        <v>0</v>
      </c>
      <c r="I98" t="n">
        <v>0</v>
      </c>
      <c r="J98" t="n">
        <v>0</v>
      </c>
      <c r="K98" t="n">
        <v>0</v>
      </c>
      <c r="L98" t="n">
        <v>0</v>
      </c>
      <c r="M98" t="n">
        <v>0</v>
      </c>
      <c r="N98" t="n">
        <v>0</v>
      </c>
      <c r="O98" t="n">
        <v>0</v>
      </c>
      <c r="P98" t="n">
        <v>0</v>
      </c>
      <c r="Q98" t="n">
        <v>0</v>
      </c>
      <c r="R98" s="2" t="inlineStr"/>
    </row>
    <row r="99" ht="15" customHeight="1">
      <c r="A99" t="inlineStr">
        <is>
          <t>A 1673-2026</t>
        </is>
      </c>
      <c r="B99" s="1" t="n">
        <v>46034.56863425926</v>
      </c>
      <c r="C99" s="1" t="n">
        <v>46127</v>
      </c>
      <c r="D99" t="inlineStr">
        <is>
          <t>UPPSALA LÄN</t>
        </is>
      </c>
      <c r="E99" t="inlineStr">
        <is>
          <t>ÄLVKARLEBY</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11848-2026</t>
        </is>
      </c>
      <c r="B100" s="1" t="n">
        <v>46085.45927083334</v>
      </c>
      <c r="C100" s="1" t="n">
        <v>46127</v>
      </c>
      <c r="D100" t="inlineStr">
        <is>
          <t>UPPSALA LÄN</t>
        </is>
      </c>
      <c r="E100" t="inlineStr">
        <is>
          <t>ÄLVKARLEBY</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36216-2022</t>
        </is>
      </c>
      <c r="B101" s="1" t="n">
        <v>44803</v>
      </c>
      <c r="C101" s="1" t="n">
        <v>46127</v>
      </c>
      <c r="D101" t="inlineStr">
        <is>
          <t>UPPSALA LÄN</t>
        </is>
      </c>
      <c r="E101" t="inlineStr">
        <is>
          <t>ÄLVKARLEBY</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4131-2026</t>
        </is>
      </c>
      <c r="B102" s="1" t="n">
        <v>46044.62451388889</v>
      </c>
      <c r="C102" s="1" t="n">
        <v>46127</v>
      </c>
      <c r="D102" t="inlineStr">
        <is>
          <t>UPPSALA LÄN</t>
        </is>
      </c>
      <c r="E102" t="inlineStr">
        <is>
          <t>ÄLVKARLEBY</t>
        </is>
      </c>
      <c r="F102" t="inlineStr">
        <is>
          <t>Bergvik skog öst AB</t>
        </is>
      </c>
      <c r="G102" t="n">
        <v>2.4</v>
      </c>
      <c r="H102" t="n">
        <v>0</v>
      </c>
      <c r="I102" t="n">
        <v>0</v>
      </c>
      <c r="J102" t="n">
        <v>0</v>
      </c>
      <c r="K102" t="n">
        <v>0</v>
      </c>
      <c r="L102" t="n">
        <v>0</v>
      </c>
      <c r="M102" t="n">
        <v>0</v>
      </c>
      <c r="N102" t="n">
        <v>0</v>
      </c>
      <c r="O102" t="n">
        <v>0</v>
      </c>
      <c r="P102" t="n">
        <v>0</v>
      </c>
      <c r="Q102" t="n">
        <v>0</v>
      </c>
      <c r="R102" s="2" t="inlineStr"/>
    </row>
    <row r="103" ht="15" customHeight="1">
      <c r="A103" t="inlineStr">
        <is>
          <t>A 4134-2026</t>
        </is>
      </c>
      <c r="B103" s="1" t="n">
        <v>46044.6280787037</v>
      </c>
      <c r="C103" s="1" t="n">
        <v>46127</v>
      </c>
      <c r="D103" t="inlineStr">
        <is>
          <t>UPPSALA LÄN</t>
        </is>
      </c>
      <c r="E103" t="inlineStr">
        <is>
          <t>ÄLVKARLEBY</t>
        </is>
      </c>
      <c r="F103" t="inlineStr">
        <is>
          <t>Bergvik skog öst AB</t>
        </is>
      </c>
      <c r="G103" t="n">
        <v>5.1</v>
      </c>
      <c r="H103" t="n">
        <v>0</v>
      </c>
      <c r="I103" t="n">
        <v>0</v>
      </c>
      <c r="J103" t="n">
        <v>0</v>
      </c>
      <c r="K103" t="n">
        <v>0</v>
      </c>
      <c r="L103" t="n">
        <v>0</v>
      </c>
      <c r="M103" t="n">
        <v>0</v>
      </c>
      <c r="N103" t="n">
        <v>0</v>
      </c>
      <c r="O103" t="n">
        <v>0</v>
      </c>
      <c r="P103" t="n">
        <v>0</v>
      </c>
      <c r="Q103" t="n">
        <v>0</v>
      </c>
      <c r="R103" s="2" t="inlineStr"/>
    </row>
    <row r="104" ht="15" customHeight="1">
      <c r="A104" t="inlineStr">
        <is>
          <t>A 4133-2026</t>
        </is>
      </c>
      <c r="B104" s="1" t="n">
        <v>46044.626875</v>
      </c>
      <c r="C104" s="1" t="n">
        <v>46127</v>
      </c>
      <c r="D104" t="inlineStr">
        <is>
          <t>UPPSALA LÄN</t>
        </is>
      </c>
      <c r="E104" t="inlineStr">
        <is>
          <t>ÄLVKARLEBY</t>
        </is>
      </c>
      <c r="F104" t="inlineStr">
        <is>
          <t>Bergvik skog öst AB</t>
        </is>
      </c>
      <c r="G104" t="n">
        <v>4.1</v>
      </c>
      <c r="H104" t="n">
        <v>0</v>
      </c>
      <c r="I104" t="n">
        <v>0</v>
      </c>
      <c r="J104" t="n">
        <v>0</v>
      </c>
      <c r="K104" t="n">
        <v>0</v>
      </c>
      <c r="L104" t="n">
        <v>0</v>
      </c>
      <c r="M104" t="n">
        <v>0</v>
      </c>
      <c r="N104" t="n">
        <v>0</v>
      </c>
      <c r="O104" t="n">
        <v>0</v>
      </c>
      <c r="P104" t="n">
        <v>0</v>
      </c>
      <c r="Q104" t="n">
        <v>0</v>
      </c>
      <c r="R104" s="2" t="inlineStr"/>
    </row>
    <row r="105" ht="15" customHeight="1">
      <c r="A105" t="inlineStr">
        <is>
          <t>A 14127-2026</t>
        </is>
      </c>
      <c r="B105" s="1" t="n">
        <v>46099.44534722222</v>
      </c>
      <c r="C105" s="1" t="n">
        <v>46127</v>
      </c>
      <c r="D105" t="inlineStr">
        <is>
          <t>UPPSALA LÄN</t>
        </is>
      </c>
      <c r="E105" t="inlineStr">
        <is>
          <t>ÄLVKARLEBY</t>
        </is>
      </c>
      <c r="G105" t="n">
        <v>1.7</v>
      </c>
      <c r="H105" t="n">
        <v>0</v>
      </c>
      <c r="I105" t="n">
        <v>0</v>
      </c>
      <c r="J105" t="n">
        <v>0</v>
      </c>
      <c r="K105" t="n">
        <v>0</v>
      </c>
      <c r="L105" t="n">
        <v>0</v>
      </c>
      <c r="M105" t="n">
        <v>0</v>
      </c>
      <c r="N105" t="n">
        <v>0</v>
      </c>
      <c r="O105" t="n">
        <v>0</v>
      </c>
      <c r="P105" t="n">
        <v>0</v>
      </c>
      <c r="Q105" t="n">
        <v>0</v>
      </c>
      <c r="R105" s="2" t="inlineStr"/>
    </row>
    <row r="106" ht="15" customHeight="1">
      <c r="A106" t="inlineStr">
        <is>
          <t>A 14091-2026</t>
        </is>
      </c>
      <c r="B106" s="1" t="n">
        <v>46099.38484953704</v>
      </c>
      <c r="C106" s="1" t="n">
        <v>46127</v>
      </c>
      <c r="D106" t="inlineStr">
        <is>
          <t>UPPSALA LÄN</t>
        </is>
      </c>
      <c r="E106" t="inlineStr">
        <is>
          <t>ÄLVKARLEBY</t>
        </is>
      </c>
      <c r="G106" t="n">
        <v>0.7</v>
      </c>
      <c r="H106" t="n">
        <v>0</v>
      </c>
      <c r="I106" t="n">
        <v>0</v>
      </c>
      <c r="J106" t="n">
        <v>0</v>
      </c>
      <c r="K106" t="n">
        <v>0</v>
      </c>
      <c r="L106" t="n">
        <v>0</v>
      </c>
      <c r="M106" t="n">
        <v>0</v>
      </c>
      <c r="N106" t="n">
        <v>0</v>
      </c>
      <c r="O106" t="n">
        <v>0</v>
      </c>
      <c r="P106" t="n">
        <v>0</v>
      </c>
      <c r="Q106" t="n">
        <v>0</v>
      </c>
      <c r="R106" s="2" t="inlineStr"/>
    </row>
    <row r="107" ht="15" customHeight="1">
      <c r="A107" t="inlineStr">
        <is>
          <t>A 16990-2022</t>
        </is>
      </c>
      <c r="B107" s="1" t="n">
        <v>44676.6122337963</v>
      </c>
      <c r="C107" s="1" t="n">
        <v>46127</v>
      </c>
      <c r="D107" t="inlineStr">
        <is>
          <t>UPPSALA LÄN</t>
        </is>
      </c>
      <c r="E107" t="inlineStr">
        <is>
          <t>ÄLVKARLEBY</t>
        </is>
      </c>
      <c r="F107" t="inlineStr">
        <is>
          <t>Bergvik skog väst AB</t>
        </is>
      </c>
      <c r="G107" t="n">
        <v>2.6</v>
      </c>
      <c r="H107" t="n">
        <v>0</v>
      </c>
      <c r="I107" t="n">
        <v>0</v>
      </c>
      <c r="J107" t="n">
        <v>0</v>
      </c>
      <c r="K107" t="n">
        <v>0</v>
      </c>
      <c r="L107" t="n">
        <v>0</v>
      </c>
      <c r="M107" t="n">
        <v>0</v>
      </c>
      <c r="N107" t="n">
        <v>0</v>
      </c>
      <c r="O107" t="n">
        <v>0</v>
      </c>
      <c r="P107" t="n">
        <v>0</v>
      </c>
      <c r="Q107" t="n">
        <v>0</v>
      </c>
      <c r="R107" s="2" t="inlineStr"/>
    </row>
    <row r="108" ht="15" customHeight="1">
      <c r="A108" t="inlineStr">
        <is>
          <t>A 9394-2026</t>
        </is>
      </c>
      <c r="B108" s="1" t="n">
        <v>46071.36576388889</v>
      </c>
      <c r="C108" s="1" t="n">
        <v>46127</v>
      </c>
      <c r="D108" t="inlineStr">
        <is>
          <t>UPPSALA LÄN</t>
        </is>
      </c>
      <c r="E108" t="inlineStr">
        <is>
          <t>ÄLVKARLEBY</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38226-2023</t>
        </is>
      </c>
      <c r="B109" s="1" t="n">
        <v>45161</v>
      </c>
      <c r="C109" s="1" t="n">
        <v>46127</v>
      </c>
      <c r="D109" t="inlineStr">
        <is>
          <t>UPPSALA LÄN</t>
        </is>
      </c>
      <c r="E109" t="inlineStr">
        <is>
          <t>ÄLVKARLEBY</t>
        </is>
      </c>
      <c r="F109" t="inlineStr">
        <is>
          <t>Bergvik skog väst AB</t>
        </is>
      </c>
      <c r="G109" t="n">
        <v>4.5</v>
      </c>
      <c r="H109" t="n">
        <v>0</v>
      </c>
      <c r="I109" t="n">
        <v>0</v>
      </c>
      <c r="J109" t="n">
        <v>0</v>
      </c>
      <c r="K109" t="n">
        <v>0</v>
      </c>
      <c r="L109" t="n">
        <v>0</v>
      </c>
      <c r="M109" t="n">
        <v>0</v>
      </c>
      <c r="N109" t="n">
        <v>0</v>
      </c>
      <c r="O109" t="n">
        <v>0</v>
      </c>
      <c r="P109" t="n">
        <v>0</v>
      </c>
      <c r="Q109" t="n">
        <v>0</v>
      </c>
      <c r="R109" s="2" t="inlineStr"/>
    </row>
    <row r="110" ht="15" customHeight="1">
      <c r="A110" t="inlineStr">
        <is>
          <t>A 19303-2024</t>
        </is>
      </c>
      <c r="B110" s="1" t="n">
        <v>45428.70386574074</v>
      </c>
      <c r="C110" s="1" t="n">
        <v>46127</v>
      </c>
      <c r="D110" t="inlineStr">
        <is>
          <t>UPPSALA LÄN</t>
        </is>
      </c>
      <c r="E110" t="inlineStr">
        <is>
          <t>ÄLVKARLEBY</t>
        </is>
      </c>
      <c r="G110" t="n">
        <v>0.4</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46127</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19862-2025</t>
        </is>
      </c>
      <c r="B112" s="1" t="n">
        <v>45771.53560185185</v>
      </c>
      <c r="C112" s="1" t="n">
        <v>46127</v>
      </c>
      <c r="D112" t="inlineStr">
        <is>
          <t>UPPSALA LÄN</t>
        </is>
      </c>
      <c r="E112" t="inlineStr">
        <is>
          <t>ÄLVKARLEBY</t>
        </is>
      </c>
      <c r="F112" t="inlineStr">
        <is>
          <t>Kyrkan</t>
        </is>
      </c>
      <c r="G112" t="n">
        <v>3</v>
      </c>
      <c r="H112" t="n">
        <v>0</v>
      </c>
      <c r="I112" t="n">
        <v>0</v>
      </c>
      <c r="J112" t="n">
        <v>0</v>
      </c>
      <c r="K112" t="n">
        <v>0</v>
      </c>
      <c r="L112" t="n">
        <v>0</v>
      </c>
      <c r="M112" t="n">
        <v>0</v>
      </c>
      <c r="N112" t="n">
        <v>0</v>
      </c>
      <c r="O112" t="n">
        <v>0</v>
      </c>
      <c r="P112" t="n">
        <v>0</v>
      </c>
      <c r="Q112" t="n">
        <v>0</v>
      </c>
      <c r="R112" s="2" t="inlineStr"/>
    </row>
    <row r="113" ht="15" customHeight="1">
      <c r="A113" t="inlineStr">
        <is>
          <t>A 17851-2026</t>
        </is>
      </c>
      <c r="B113" s="1" t="n">
        <v>46122.481875</v>
      </c>
      <c r="C113" s="1" t="n">
        <v>46127</v>
      </c>
      <c r="D113" t="inlineStr">
        <is>
          <t>UPPSALA LÄN</t>
        </is>
      </c>
      <c r="E113" t="inlineStr">
        <is>
          <t>ÄLVKARLEBY</t>
        </is>
      </c>
      <c r="F113" t="inlineStr">
        <is>
          <t>Bergvik skog öst AB</t>
        </is>
      </c>
      <c r="G113" t="n">
        <v>3.6</v>
      </c>
      <c r="H113" t="n">
        <v>0</v>
      </c>
      <c r="I113" t="n">
        <v>0</v>
      </c>
      <c r="J113" t="n">
        <v>0</v>
      </c>
      <c r="K113" t="n">
        <v>0</v>
      </c>
      <c r="L113" t="n">
        <v>0</v>
      </c>
      <c r="M113" t="n">
        <v>0</v>
      </c>
      <c r="N113" t="n">
        <v>0</v>
      </c>
      <c r="O113" t="n">
        <v>0</v>
      </c>
      <c r="P113" t="n">
        <v>0</v>
      </c>
      <c r="Q113" t="n">
        <v>0</v>
      </c>
      <c r="R113" s="2" t="inlineStr"/>
    </row>
    <row r="114" ht="15" customHeight="1">
      <c r="A114" t="inlineStr">
        <is>
          <t>A 45372-2024</t>
        </is>
      </c>
      <c r="B114" s="1" t="n">
        <v>45576.51116898148</v>
      </c>
      <c r="C114" s="1" t="n">
        <v>46127</v>
      </c>
      <c r="D114" t="inlineStr">
        <is>
          <t>UPPSALA LÄN</t>
        </is>
      </c>
      <c r="E114" t="inlineStr">
        <is>
          <t>ÄLVKARLEBY</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11467-2026</t>
        </is>
      </c>
      <c r="B115" s="1" t="n">
        <v>46083.58950231481</v>
      </c>
      <c r="C115" s="1" t="n">
        <v>46127</v>
      </c>
      <c r="D115" t="inlineStr">
        <is>
          <t>UPPSALA LÄN</t>
        </is>
      </c>
      <c r="E115" t="inlineStr">
        <is>
          <t>ÄLVKARLEBY</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41929-2024</t>
        </is>
      </c>
      <c r="B116" s="1" t="n">
        <v>45561</v>
      </c>
      <c r="C116" s="1" t="n">
        <v>46127</v>
      </c>
      <c r="D116" t="inlineStr">
        <is>
          <t>UPPSALA LÄN</t>
        </is>
      </c>
      <c r="E116" t="inlineStr">
        <is>
          <t>ÄLVKARLEBY</t>
        </is>
      </c>
      <c r="F116" t="inlineStr">
        <is>
          <t>Bergvik skog väst AB</t>
        </is>
      </c>
      <c r="G116" t="n">
        <v>4.9</v>
      </c>
      <c r="H116" t="n">
        <v>0</v>
      </c>
      <c r="I116" t="n">
        <v>0</v>
      </c>
      <c r="J116" t="n">
        <v>0</v>
      </c>
      <c r="K116" t="n">
        <v>0</v>
      </c>
      <c r="L116" t="n">
        <v>0</v>
      </c>
      <c r="M116" t="n">
        <v>0</v>
      </c>
      <c r="N116" t="n">
        <v>0</v>
      </c>
      <c r="O116" t="n">
        <v>0</v>
      </c>
      <c r="P116" t="n">
        <v>0</v>
      </c>
      <c r="Q116" t="n">
        <v>0</v>
      </c>
      <c r="R116" s="2" t="inlineStr"/>
    </row>
    <row r="117" ht="15" customHeight="1">
      <c r="A117" t="inlineStr">
        <is>
          <t>A 39791-2021</t>
        </is>
      </c>
      <c r="B117" s="1" t="n">
        <v>44417</v>
      </c>
      <c r="C117" s="1" t="n">
        <v>46127</v>
      </c>
      <c r="D117" t="inlineStr">
        <is>
          <t>UPPSALA LÄN</t>
        </is>
      </c>
      <c r="E117" t="inlineStr">
        <is>
          <t>ÄLVKARLEBY</t>
        </is>
      </c>
      <c r="G117" t="n">
        <v>1.8</v>
      </c>
      <c r="H117" t="n">
        <v>0</v>
      </c>
      <c r="I117" t="n">
        <v>0</v>
      </c>
      <c r="J117" t="n">
        <v>0</v>
      </c>
      <c r="K117" t="n">
        <v>0</v>
      </c>
      <c r="L117" t="n">
        <v>0</v>
      </c>
      <c r="M117" t="n">
        <v>0</v>
      </c>
      <c r="N117" t="n">
        <v>0</v>
      </c>
      <c r="O117" t="n">
        <v>0</v>
      </c>
      <c r="P117" t="n">
        <v>0</v>
      </c>
      <c r="Q117" t="n">
        <v>0</v>
      </c>
      <c r="R117" s="2" t="inlineStr"/>
    </row>
    <row r="118" ht="15" customHeight="1">
      <c r="A118" t="inlineStr">
        <is>
          <t>A 26815-2022</t>
        </is>
      </c>
      <c r="B118" s="1" t="n">
        <v>44740.44644675926</v>
      </c>
      <c r="C118" s="1" t="n">
        <v>46127</v>
      </c>
      <c r="D118" t="inlineStr">
        <is>
          <t>UPPSALA LÄN</t>
        </is>
      </c>
      <c r="E118" t="inlineStr">
        <is>
          <t>ÄLVKARLEBY</t>
        </is>
      </c>
      <c r="G118" t="n">
        <v>5.8</v>
      </c>
      <c r="H118" t="n">
        <v>0</v>
      </c>
      <c r="I118" t="n">
        <v>0</v>
      </c>
      <c r="J118" t="n">
        <v>0</v>
      </c>
      <c r="K118" t="n">
        <v>0</v>
      </c>
      <c r="L118" t="n">
        <v>0</v>
      </c>
      <c r="M118" t="n">
        <v>0</v>
      </c>
      <c r="N118" t="n">
        <v>0</v>
      </c>
      <c r="O118" t="n">
        <v>0</v>
      </c>
      <c r="P118" t="n">
        <v>0</v>
      </c>
      <c r="Q118" t="n">
        <v>0</v>
      </c>
      <c r="R118" s="2" t="inlineStr"/>
    </row>
    <row r="119" ht="15" customHeight="1">
      <c r="A119" t="inlineStr">
        <is>
          <t>A 8031-2025</t>
        </is>
      </c>
      <c r="B119" s="1" t="n">
        <v>45707.59112268518</v>
      </c>
      <c r="C119" s="1" t="n">
        <v>46127</v>
      </c>
      <c r="D119" t="inlineStr">
        <is>
          <t>UPPSALA LÄN</t>
        </is>
      </c>
      <c r="E119" t="inlineStr">
        <is>
          <t>ÄLVKARLEBY</t>
        </is>
      </c>
      <c r="F119" t="inlineStr">
        <is>
          <t>Bergvik skog väst AB</t>
        </is>
      </c>
      <c r="G119" t="n">
        <v>4</v>
      </c>
      <c r="H119" t="n">
        <v>0</v>
      </c>
      <c r="I119" t="n">
        <v>0</v>
      </c>
      <c r="J119" t="n">
        <v>0</v>
      </c>
      <c r="K119" t="n">
        <v>0</v>
      </c>
      <c r="L119" t="n">
        <v>0</v>
      </c>
      <c r="M119" t="n">
        <v>0</v>
      </c>
      <c r="N119" t="n">
        <v>0</v>
      </c>
      <c r="O119" t="n">
        <v>0</v>
      </c>
      <c r="P119" t="n">
        <v>0</v>
      </c>
      <c r="Q119" t="n">
        <v>0</v>
      </c>
      <c r="R119" s="2" t="inlineStr"/>
    </row>
    <row r="120" ht="15" customHeight="1">
      <c r="A120" t="inlineStr">
        <is>
          <t>A 41272-2023</t>
        </is>
      </c>
      <c r="B120" s="1" t="n">
        <v>45174</v>
      </c>
      <c r="C120" s="1" t="n">
        <v>46127</v>
      </c>
      <c r="D120" t="inlineStr">
        <is>
          <t>UPPSALA LÄN</t>
        </is>
      </c>
      <c r="E120" t="inlineStr">
        <is>
          <t>ÄLVKARLEBY</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41276-2023</t>
        </is>
      </c>
      <c r="B121" s="1" t="n">
        <v>45174</v>
      </c>
      <c r="C121" s="1" t="n">
        <v>46127</v>
      </c>
      <c r="D121" t="inlineStr">
        <is>
          <t>UPPSALA LÄN</t>
        </is>
      </c>
      <c r="E121" t="inlineStr">
        <is>
          <t>ÄLVKARLEBY</t>
        </is>
      </c>
      <c r="F121" t="inlineStr">
        <is>
          <t>Bergvik skog väst AB</t>
        </is>
      </c>
      <c r="G121" t="n">
        <v>0.3</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46127</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19697-2025</t>
        </is>
      </c>
      <c r="B123" s="1" t="n">
        <v>45771</v>
      </c>
      <c r="C123" s="1" t="n">
        <v>46127</v>
      </c>
      <c r="D123" t="inlineStr">
        <is>
          <t>UPPSALA LÄN</t>
        </is>
      </c>
      <c r="E123" t="inlineStr">
        <is>
          <t>ÄLVKARLEBY</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c r="A124" t="inlineStr">
        <is>
          <t>A 22223-2025</t>
        </is>
      </c>
      <c r="B124" s="1" t="n">
        <v>45785</v>
      </c>
      <c r="C124" s="1" t="n">
        <v>46127</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2026-04-15T14:31:24Z</dcterms:created>
  <dcterms:modified xmlns:dcterms="http://purl.org/dc/terms/" xmlns:xsi="http://www.w3.org/2001/XMLSchema-instance" xsi:type="dcterms:W3CDTF">2026-04-15T14:31:24Z</dcterms:modified>
</cp:coreProperties>
</file>