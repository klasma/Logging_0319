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55967-2019</t>
        </is>
      </c>
      <c r="B2" s="1" t="n">
        <v>43759</v>
      </c>
      <c r="C2" s="1" t="n">
        <v>45568</v>
      </c>
      <c r="D2" t="inlineStr">
        <is>
          <t>UPPSALA LÄN</t>
        </is>
      </c>
      <c r="E2" t="inlineStr">
        <is>
          <t>ÄLVKARLEBY</t>
        </is>
      </c>
      <c r="F2" t="inlineStr">
        <is>
          <t>Bergvik skog väst AB</t>
        </is>
      </c>
      <c r="G2" t="n">
        <v>23.4</v>
      </c>
      <c r="H2" t="n">
        <v>3</v>
      </c>
      <c r="I2" t="n">
        <v>8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12</v>
      </c>
      <c r="R2" s="2" t="inlineStr">
        <is>
          <t>Knottblomster
Dofttaggsvamp
Storgröe
Anisspindling
Dunmossa
Dvärghäxört
Myskmadra
Nästrot
Rödgul trumpetsvamp
Sårläka
Vätteros
Grönvit nattviol</t>
        </is>
      </c>
      <c r="S2">
        <f>HYPERLINK("https://klasma.github.io/Logging_0319/artfynd/A 55967-2019 artfynd.xlsx", "A 55967-2019")</f>
        <v/>
      </c>
      <c r="T2">
        <f>HYPERLINK("https://klasma.github.io/Logging_0319/kartor/A 55967-2019 karta.png", "A 55967-2019")</f>
        <v/>
      </c>
      <c r="U2">
        <f>HYPERLINK("https://klasma.github.io/Logging_0319/knärot/A 55967-2019 karta knärot.png", "A 55967-2019")</f>
        <v/>
      </c>
      <c r="V2">
        <f>HYPERLINK("https://klasma.github.io/Logging_0319/klagomål/A 55967-2019 FSC-klagomål.docx", "A 55967-2019")</f>
        <v/>
      </c>
      <c r="W2">
        <f>HYPERLINK("https://klasma.github.io/Logging_0319/klagomålsmail/A 55967-2019 FSC-klagomål mail.docx", "A 55967-2019")</f>
        <v/>
      </c>
      <c r="X2">
        <f>HYPERLINK("https://klasma.github.io/Logging_0319/tillsyn/A 55967-2019 tillsynsbegäran.docx", "A 55967-2019")</f>
        <v/>
      </c>
      <c r="Y2">
        <f>HYPERLINK("https://klasma.github.io/Logging_0319/tillsynsmail/A 55967-2019 tillsynsbegäran mail.docx", "A 55967-2019")</f>
        <v/>
      </c>
    </row>
    <row r="3" ht="15" customHeight="1">
      <c r="A3" t="inlineStr">
        <is>
          <t>A 15601-2021</t>
        </is>
      </c>
      <c r="B3" s="1" t="n">
        <v>44285</v>
      </c>
      <c r="C3" s="1" t="n">
        <v>45568</v>
      </c>
      <c r="D3" t="inlineStr">
        <is>
          <t>UPPSALA LÄN</t>
        </is>
      </c>
      <c r="E3" t="inlineStr">
        <is>
          <t>ÄLVKARLEBY</t>
        </is>
      </c>
      <c r="F3" t="inlineStr">
        <is>
          <t>Bergvik skog väst AB</t>
        </is>
      </c>
      <c r="G3" t="n">
        <v>9.199999999999999</v>
      </c>
      <c r="H3" t="n">
        <v>3</v>
      </c>
      <c r="I3" t="n">
        <v>8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12</v>
      </c>
      <c r="R3" s="2" t="inlineStr">
        <is>
          <t>Läderdoftande fingersvamp
Flattoppad klubbsvamp
Klasefibbla
Ullticka
Anisspindling
Fjällig taggsvamp s.str.
Korallblylav
Nästrot
Olivspindling
Skogsknipprot
Tjockfotad fingersvamp
Tvåblad</t>
        </is>
      </c>
      <c r="S3">
        <f>HYPERLINK("https://klasma.github.io/Logging_0319/artfynd/A 15601-2021 artfynd.xlsx", "A 15601-2021")</f>
        <v/>
      </c>
      <c r="T3">
        <f>HYPERLINK("https://klasma.github.io/Logging_0319/kartor/A 15601-2021 karta.png", "A 15601-2021")</f>
        <v/>
      </c>
      <c r="V3">
        <f>HYPERLINK("https://klasma.github.io/Logging_0319/klagomål/A 15601-2021 FSC-klagomål.docx", "A 15601-2021")</f>
        <v/>
      </c>
      <c r="W3">
        <f>HYPERLINK("https://klasma.github.io/Logging_0319/klagomålsmail/A 15601-2021 FSC-klagomål mail.docx", "A 15601-2021")</f>
        <v/>
      </c>
      <c r="X3">
        <f>HYPERLINK("https://klasma.github.io/Logging_0319/tillsyn/A 15601-2021 tillsynsbegäran.docx", "A 15601-2021")</f>
        <v/>
      </c>
      <c r="Y3">
        <f>HYPERLINK("https://klasma.github.io/Logging_0319/tillsynsmail/A 15601-2021 tillsynsbegäran mail.docx", "A 15601-2021")</f>
        <v/>
      </c>
    </row>
    <row r="4" ht="15" customHeight="1">
      <c r="A4" t="inlineStr">
        <is>
          <t>A 61354-2019</t>
        </is>
      </c>
      <c r="B4" s="1" t="n">
        <v>43783</v>
      </c>
      <c r="C4" s="1" t="n">
        <v>45568</v>
      </c>
      <c r="D4" t="inlineStr">
        <is>
          <t>UPPSALA LÄN</t>
        </is>
      </c>
      <c r="E4" t="inlineStr">
        <is>
          <t>ÄLVKARLEBY</t>
        </is>
      </c>
      <c r="F4" t="inlineStr">
        <is>
          <t>Bergvik skog väst AB</t>
        </is>
      </c>
      <c r="G4" t="n">
        <v>4.9</v>
      </c>
      <c r="H4" t="n">
        <v>4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Olivspindling
Skogsknipprot
Tvåblad
Dactylorhiza incarnata subsp. incarnata
Fläcknycklar</t>
        </is>
      </c>
      <c r="S4">
        <f>HYPERLINK("https://klasma.github.io/Logging_0319/artfynd/A 61354-2019 artfynd.xlsx", "A 61354-2019")</f>
        <v/>
      </c>
      <c r="T4">
        <f>HYPERLINK("https://klasma.github.io/Logging_0319/kartor/A 61354-2019 karta.png", "A 61354-2019")</f>
        <v/>
      </c>
      <c r="V4">
        <f>HYPERLINK("https://klasma.github.io/Logging_0319/klagomål/A 61354-2019 FSC-klagomål.docx", "A 61354-2019")</f>
        <v/>
      </c>
      <c r="W4">
        <f>HYPERLINK("https://klasma.github.io/Logging_0319/klagomålsmail/A 61354-2019 FSC-klagomål mail.docx", "A 61354-2019")</f>
        <v/>
      </c>
      <c r="X4">
        <f>HYPERLINK("https://klasma.github.io/Logging_0319/tillsyn/A 61354-2019 tillsynsbegäran.docx", "A 61354-2019")</f>
        <v/>
      </c>
      <c r="Y4">
        <f>HYPERLINK("https://klasma.github.io/Logging_0319/tillsynsmail/A 61354-2019 tillsynsbegäran mail.docx", "A 61354-2019")</f>
        <v/>
      </c>
    </row>
    <row r="5" ht="15" customHeight="1">
      <c r="A5" t="inlineStr">
        <is>
          <t>A 62133-2019</t>
        </is>
      </c>
      <c r="B5" s="1" t="n">
        <v>43787</v>
      </c>
      <c r="C5" s="1" t="n">
        <v>45568</v>
      </c>
      <c r="D5" t="inlineStr">
        <is>
          <t>UPPSALA LÄN</t>
        </is>
      </c>
      <c r="E5" t="inlineStr">
        <is>
          <t>ÄLVKARLEBY</t>
        </is>
      </c>
      <c r="F5" t="inlineStr">
        <is>
          <t>Bergvik skog väst AB</t>
        </is>
      </c>
      <c r="G5" t="n">
        <v>2.5</v>
      </c>
      <c r="H5" t="n">
        <v>0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Rutskinn
Rödbrun blekspik
Brun nållav
Sårläka</t>
        </is>
      </c>
      <c r="S5">
        <f>HYPERLINK("https://klasma.github.io/Logging_0319/artfynd/A 62133-2019 artfynd.xlsx", "A 62133-2019")</f>
        <v/>
      </c>
      <c r="T5">
        <f>HYPERLINK("https://klasma.github.io/Logging_0319/kartor/A 62133-2019 karta.png", "A 62133-2019")</f>
        <v/>
      </c>
      <c r="V5">
        <f>HYPERLINK("https://klasma.github.io/Logging_0319/klagomål/A 62133-2019 FSC-klagomål.docx", "A 62133-2019")</f>
        <v/>
      </c>
      <c r="W5">
        <f>HYPERLINK("https://klasma.github.io/Logging_0319/klagomålsmail/A 62133-2019 FSC-klagomål mail.docx", "A 62133-2019")</f>
        <v/>
      </c>
      <c r="X5">
        <f>HYPERLINK("https://klasma.github.io/Logging_0319/tillsyn/A 62133-2019 tillsynsbegäran.docx", "A 62133-2019")</f>
        <v/>
      </c>
      <c r="Y5">
        <f>HYPERLINK("https://klasma.github.io/Logging_0319/tillsynsmail/A 62133-2019 tillsynsbegäran mail.docx", "A 62133-2019")</f>
        <v/>
      </c>
    </row>
    <row r="6" ht="15" customHeight="1">
      <c r="A6" t="inlineStr">
        <is>
          <t>A 33441-2021</t>
        </is>
      </c>
      <c r="B6" s="1" t="n">
        <v>44377</v>
      </c>
      <c r="C6" s="1" t="n">
        <v>45568</v>
      </c>
      <c r="D6" t="inlineStr">
        <is>
          <t>UPPSALA LÄN</t>
        </is>
      </c>
      <c r="E6" t="inlineStr">
        <is>
          <t>ÄLVKARLEBY</t>
        </is>
      </c>
      <c r="F6" t="inlineStr">
        <is>
          <t>Bergvik skog väst AB</t>
        </is>
      </c>
      <c r="G6" t="n">
        <v>12</v>
      </c>
      <c r="H6" t="n">
        <v>1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Kalkkärrsgrynsnäcka
Nästrot
Ögonpyrola</t>
        </is>
      </c>
      <c r="S6">
        <f>HYPERLINK("https://klasma.github.io/Logging_0319/artfynd/A 33441-2021 artfynd.xlsx", "A 33441-2021")</f>
        <v/>
      </c>
      <c r="T6">
        <f>HYPERLINK("https://klasma.github.io/Logging_0319/kartor/A 33441-2021 karta.png", "A 33441-2021")</f>
        <v/>
      </c>
      <c r="V6">
        <f>HYPERLINK("https://klasma.github.io/Logging_0319/klagomål/A 33441-2021 FSC-klagomål.docx", "A 33441-2021")</f>
        <v/>
      </c>
      <c r="W6">
        <f>HYPERLINK("https://klasma.github.io/Logging_0319/klagomålsmail/A 33441-2021 FSC-klagomål mail.docx", "A 33441-2021")</f>
        <v/>
      </c>
      <c r="X6">
        <f>HYPERLINK("https://klasma.github.io/Logging_0319/tillsyn/A 33441-2021 tillsynsbegäran.docx", "A 33441-2021")</f>
        <v/>
      </c>
      <c r="Y6">
        <f>HYPERLINK("https://klasma.github.io/Logging_0319/tillsynsmail/A 33441-2021 tillsynsbegäran mail.docx", "A 33441-2021")</f>
        <v/>
      </c>
    </row>
    <row r="7" ht="15" customHeight="1">
      <c r="A7" t="inlineStr">
        <is>
          <t>A 25724-2023</t>
        </is>
      </c>
      <c r="B7" s="1" t="n">
        <v>45090</v>
      </c>
      <c r="C7" s="1" t="n">
        <v>45568</v>
      </c>
      <c r="D7" t="inlineStr">
        <is>
          <t>UPPSALA LÄN</t>
        </is>
      </c>
      <c r="E7" t="inlineStr">
        <is>
          <t>ÄLVKARLEBY</t>
        </is>
      </c>
      <c r="F7" t="inlineStr">
        <is>
          <t>Bergvik skog väst AB</t>
        </is>
      </c>
      <c r="G7" t="n">
        <v>18.6</v>
      </c>
      <c r="H7" t="n">
        <v>1</v>
      </c>
      <c r="I7" t="n">
        <v>2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Väddnätfjäril
Anisspindling
Tibast</t>
        </is>
      </c>
      <c r="S7">
        <f>HYPERLINK("https://klasma.github.io/Logging_0319/artfynd/A 25724-2023 artfynd.xlsx", "A 25724-2023")</f>
        <v/>
      </c>
      <c r="T7">
        <f>HYPERLINK("https://klasma.github.io/Logging_0319/kartor/A 25724-2023 karta.png", "A 25724-2023")</f>
        <v/>
      </c>
      <c r="V7">
        <f>HYPERLINK("https://klasma.github.io/Logging_0319/klagomål/A 25724-2023 FSC-klagomål.docx", "A 25724-2023")</f>
        <v/>
      </c>
      <c r="W7">
        <f>HYPERLINK("https://klasma.github.io/Logging_0319/klagomålsmail/A 25724-2023 FSC-klagomål mail.docx", "A 25724-2023")</f>
        <v/>
      </c>
      <c r="X7">
        <f>HYPERLINK("https://klasma.github.io/Logging_0319/tillsyn/A 25724-2023 tillsynsbegäran.docx", "A 25724-2023")</f>
        <v/>
      </c>
      <c r="Y7">
        <f>HYPERLINK("https://klasma.github.io/Logging_0319/tillsynsmail/A 25724-2023 tillsynsbegäran mail.docx", "A 25724-2023")</f>
        <v/>
      </c>
    </row>
    <row r="8" ht="15" customHeight="1">
      <c r="A8" t="inlineStr">
        <is>
          <t>A 45895-2023</t>
        </is>
      </c>
      <c r="B8" s="1" t="n">
        <v>45195</v>
      </c>
      <c r="C8" s="1" t="n">
        <v>45568</v>
      </c>
      <c r="D8" t="inlineStr">
        <is>
          <t>UPPSALA LÄN</t>
        </is>
      </c>
      <c r="E8" t="inlineStr">
        <is>
          <t>ÄLVKARLEBY</t>
        </is>
      </c>
      <c r="G8" t="n">
        <v>6.7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Flattoppad klubbsvamp
Sårläka
Trådfräken</t>
        </is>
      </c>
      <c r="S8">
        <f>HYPERLINK("https://klasma.github.io/Logging_0319/artfynd/A 45895-2023 artfynd.xlsx", "A 45895-2023")</f>
        <v/>
      </c>
      <c r="T8">
        <f>HYPERLINK("https://klasma.github.io/Logging_0319/kartor/A 45895-2023 karta.png", "A 45895-2023")</f>
        <v/>
      </c>
      <c r="V8">
        <f>HYPERLINK("https://klasma.github.io/Logging_0319/klagomål/A 45895-2023 FSC-klagomål.docx", "A 45895-2023")</f>
        <v/>
      </c>
      <c r="W8">
        <f>HYPERLINK("https://klasma.github.io/Logging_0319/klagomålsmail/A 45895-2023 FSC-klagomål mail.docx", "A 45895-2023")</f>
        <v/>
      </c>
      <c r="X8">
        <f>HYPERLINK("https://klasma.github.io/Logging_0319/tillsyn/A 45895-2023 tillsynsbegäran.docx", "A 45895-2023")</f>
        <v/>
      </c>
      <c r="Y8">
        <f>HYPERLINK("https://klasma.github.io/Logging_0319/tillsynsmail/A 45895-2023 tillsynsbegäran mail.docx", "A 45895-2023")</f>
        <v/>
      </c>
    </row>
    <row r="9" ht="15" customHeight="1">
      <c r="A9" t="inlineStr">
        <is>
          <t>A 33803-2024</t>
        </is>
      </c>
      <c r="B9" s="1" t="n">
        <v>45520</v>
      </c>
      <c r="C9" s="1" t="n">
        <v>45568</v>
      </c>
      <c r="D9" t="inlineStr">
        <is>
          <t>UPPSALA LÄN</t>
        </is>
      </c>
      <c r="E9" t="inlineStr">
        <is>
          <t>ÄLVKARLEBY</t>
        </is>
      </c>
      <c r="F9" t="inlineStr">
        <is>
          <t>Bergvik skog väst AB</t>
        </is>
      </c>
      <c r="G9" t="n">
        <v>1.6</v>
      </c>
      <c r="H9" t="n">
        <v>0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Bronshjon
Thomsons trägnagare
Tibast</t>
        </is>
      </c>
      <c r="S9">
        <f>HYPERLINK("https://klasma.github.io/Logging_0319/artfynd/A 33803-2024 artfynd.xlsx", "A 33803-2024")</f>
        <v/>
      </c>
      <c r="T9">
        <f>HYPERLINK("https://klasma.github.io/Logging_0319/kartor/A 33803-2024 karta.png", "A 33803-2024")</f>
        <v/>
      </c>
      <c r="V9">
        <f>HYPERLINK("https://klasma.github.io/Logging_0319/klagomål/A 33803-2024 FSC-klagomål.docx", "A 33803-2024")</f>
        <v/>
      </c>
      <c r="W9">
        <f>HYPERLINK("https://klasma.github.io/Logging_0319/klagomålsmail/A 33803-2024 FSC-klagomål mail.docx", "A 33803-2024")</f>
        <v/>
      </c>
      <c r="X9">
        <f>HYPERLINK("https://klasma.github.io/Logging_0319/tillsyn/A 33803-2024 tillsynsbegäran.docx", "A 33803-2024")</f>
        <v/>
      </c>
      <c r="Y9">
        <f>HYPERLINK("https://klasma.github.io/Logging_0319/tillsynsmail/A 33803-2024 tillsynsbegäran mail.docx", "A 33803-2024")</f>
        <v/>
      </c>
    </row>
    <row r="10" ht="15" customHeight="1">
      <c r="A10" t="inlineStr">
        <is>
          <t>A 34798-2024</t>
        </is>
      </c>
      <c r="B10" s="1" t="n">
        <v>45526</v>
      </c>
      <c r="C10" s="1" t="n">
        <v>45568</v>
      </c>
      <c r="D10" t="inlineStr">
        <is>
          <t>UPPSALA LÄN</t>
        </is>
      </c>
      <c r="E10" t="inlineStr">
        <is>
          <t>ÄLVKARLEBY</t>
        </is>
      </c>
      <c r="F10" t="inlineStr">
        <is>
          <t>Bergvik skog väst AB</t>
        </is>
      </c>
      <c r="G10" t="n">
        <v>13.8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Rödgul trumpetsvamp
Tibast
Vätteros</t>
        </is>
      </c>
      <c r="S10">
        <f>HYPERLINK("https://klasma.github.io/Logging_0319/artfynd/A 34798-2024 artfynd.xlsx", "A 34798-2024")</f>
        <v/>
      </c>
      <c r="T10">
        <f>HYPERLINK("https://klasma.github.io/Logging_0319/kartor/A 34798-2024 karta.png", "A 34798-2024")</f>
        <v/>
      </c>
      <c r="V10">
        <f>HYPERLINK("https://klasma.github.io/Logging_0319/klagomål/A 34798-2024 FSC-klagomål.docx", "A 34798-2024")</f>
        <v/>
      </c>
      <c r="W10">
        <f>HYPERLINK("https://klasma.github.io/Logging_0319/klagomålsmail/A 34798-2024 FSC-klagomål mail.docx", "A 34798-2024")</f>
        <v/>
      </c>
      <c r="X10">
        <f>HYPERLINK("https://klasma.github.io/Logging_0319/tillsyn/A 34798-2024 tillsynsbegäran.docx", "A 34798-2024")</f>
        <v/>
      </c>
      <c r="Y10">
        <f>HYPERLINK("https://klasma.github.io/Logging_0319/tillsynsmail/A 34798-2024 tillsynsbegäran mail.docx", "A 34798-2024")</f>
        <v/>
      </c>
    </row>
    <row r="11" ht="15" customHeight="1">
      <c r="A11" t="inlineStr">
        <is>
          <t>A 50415-2020</t>
        </is>
      </c>
      <c r="B11" s="1" t="n">
        <v>44110</v>
      </c>
      <c r="C11" s="1" t="n">
        <v>45568</v>
      </c>
      <c r="D11" t="inlineStr">
        <is>
          <t>UPPSALA LÄN</t>
        </is>
      </c>
      <c r="E11" t="inlineStr">
        <is>
          <t>ÄLVKARLEBY</t>
        </is>
      </c>
      <c r="F11" t="inlineStr">
        <is>
          <t>Bergvik skog väst AB</t>
        </is>
      </c>
      <c r="G11" t="n">
        <v>2.9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Grönsångare
Skogssvingel</t>
        </is>
      </c>
      <c r="S11">
        <f>HYPERLINK("https://klasma.github.io/Logging_0319/artfynd/A 50415-2020 artfynd.xlsx", "A 50415-2020")</f>
        <v/>
      </c>
      <c r="T11">
        <f>HYPERLINK("https://klasma.github.io/Logging_0319/kartor/A 50415-2020 karta.png", "A 50415-2020")</f>
        <v/>
      </c>
      <c r="V11">
        <f>HYPERLINK("https://klasma.github.io/Logging_0319/klagomål/A 50415-2020 FSC-klagomål.docx", "A 50415-2020")</f>
        <v/>
      </c>
      <c r="W11">
        <f>HYPERLINK("https://klasma.github.io/Logging_0319/klagomålsmail/A 50415-2020 FSC-klagomål mail.docx", "A 50415-2020")</f>
        <v/>
      </c>
      <c r="X11">
        <f>HYPERLINK("https://klasma.github.io/Logging_0319/tillsyn/A 50415-2020 tillsynsbegäran.docx", "A 50415-2020")</f>
        <v/>
      </c>
      <c r="Y11">
        <f>HYPERLINK("https://klasma.github.io/Logging_0319/tillsynsmail/A 50415-2020 tillsynsbegäran mail.docx", "A 50415-2020")</f>
        <v/>
      </c>
      <c r="Z11">
        <f>HYPERLINK("https://klasma.github.io/Logging_0319/fåglar/A 50415-2020 prioriterade fågelarter.docx", "A 50415-2020")</f>
        <v/>
      </c>
    </row>
    <row r="12" ht="15" customHeight="1">
      <c r="A12" t="inlineStr">
        <is>
          <t>A 22025-2021</t>
        </is>
      </c>
      <c r="B12" s="1" t="n">
        <v>44323</v>
      </c>
      <c r="C12" s="1" t="n">
        <v>45568</v>
      </c>
      <c r="D12" t="inlineStr">
        <is>
          <t>UPPSALA LÄN</t>
        </is>
      </c>
      <c r="E12" t="inlineStr">
        <is>
          <t>ÄLVKARLEBY</t>
        </is>
      </c>
      <c r="F12" t="inlineStr">
        <is>
          <t>Bergvik skog väst AB</t>
        </is>
      </c>
      <c r="G12" t="n">
        <v>15.8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Ekticka
Rödbrun blekspik</t>
        </is>
      </c>
      <c r="S12">
        <f>HYPERLINK("https://klasma.github.io/Logging_0319/artfynd/A 22025-2021 artfynd.xlsx", "A 22025-2021")</f>
        <v/>
      </c>
      <c r="T12">
        <f>HYPERLINK("https://klasma.github.io/Logging_0319/kartor/A 22025-2021 karta.png", "A 22025-2021")</f>
        <v/>
      </c>
      <c r="V12">
        <f>HYPERLINK("https://klasma.github.io/Logging_0319/klagomål/A 22025-2021 FSC-klagomål.docx", "A 22025-2021")</f>
        <v/>
      </c>
      <c r="W12">
        <f>HYPERLINK("https://klasma.github.io/Logging_0319/klagomålsmail/A 22025-2021 FSC-klagomål mail.docx", "A 22025-2021")</f>
        <v/>
      </c>
      <c r="X12">
        <f>HYPERLINK("https://klasma.github.io/Logging_0319/tillsyn/A 22025-2021 tillsynsbegäran.docx", "A 22025-2021")</f>
        <v/>
      </c>
      <c r="Y12">
        <f>HYPERLINK("https://klasma.github.io/Logging_0319/tillsynsmail/A 22025-2021 tillsynsbegäran mail.docx", "A 22025-2021")</f>
        <v/>
      </c>
    </row>
    <row r="13" ht="15" customHeight="1">
      <c r="A13" t="inlineStr">
        <is>
          <t>A 70017-2021</t>
        </is>
      </c>
      <c r="B13" s="1" t="n">
        <v>44533</v>
      </c>
      <c r="C13" s="1" t="n">
        <v>45568</v>
      </c>
      <c r="D13" t="inlineStr">
        <is>
          <t>UPPSALA LÄN</t>
        </is>
      </c>
      <c r="E13" t="inlineStr">
        <is>
          <t>ÄLVKARLEBY</t>
        </is>
      </c>
      <c r="G13" t="n">
        <v>2.1</v>
      </c>
      <c r="H13" t="n">
        <v>2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Gölgroda
Trana</t>
        </is>
      </c>
      <c r="S13">
        <f>HYPERLINK("https://klasma.github.io/Logging_0319/artfynd/A 70017-2021 artfynd.xlsx", "A 70017-2021")</f>
        <v/>
      </c>
      <c r="T13">
        <f>HYPERLINK("https://klasma.github.io/Logging_0319/kartor/A 70017-2021 karta.png", "A 70017-2021")</f>
        <v/>
      </c>
      <c r="V13">
        <f>HYPERLINK("https://klasma.github.io/Logging_0319/klagomål/A 70017-2021 FSC-klagomål.docx", "A 70017-2021")</f>
        <v/>
      </c>
      <c r="W13">
        <f>HYPERLINK("https://klasma.github.io/Logging_0319/klagomålsmail/A 70017-2021 FSC-klagomål mail.docx", "A 70017-2021")</f>
        <v/>
      </c>
      <c r="X13">
        <f>HYPERLINK("https://klasma.github.io/Logging_0319/tillsyn/A 70017-2021 tillsynsbegäran.docx", "A 70017-2021")</f>
        <v/>
      </c>
      <c r="Y13">
        <f>HYPERLINK("https://klasma.github.io/Logging_0319/tillsynsmail/A 70017-2021 tillsynsbegäran mail.docx", "A 70017-2021")</f>
        <v/>
      </c>
      <c r="Z13">
        <f>HYPERLINK("https://klasma.github.io/Logging_0319/fåglar/A 70017-2021 prioriterade fågelarter.docx", "A 70017-2021")</f>
        <v/>
      </c>
    </row>
    <row r="14" ht="15" customHeight="1">
      <c r="A14" t="inlineStr">
        <is>
          <t>A 6832-2023</t>
        </is>
      </c>
      <c r="B14" s="1" t="n">
        <v>44967</v>
      </c>
      <c r="C14" s="1" t="n">
        <v>45568</v>
      </c>
      <c r="D14" t="inlineStr">
        <is>
          <t>UPPSALA LÄN</t>
        </is>
      </c>
      <c r="E14" t="inlineStr">
        <is>
          <t>ÄLVKARLEBY</t>
        </is>
      </c>
      <c r="F14" t="inlineStr">
        <is>
          <t>Bergvik skog väst AB</t>
        </is>
      </c>
      <c r="G14" t="n">
        <v>8.9</v>
      </c>
      <c r="H14" t="n">
        <v>0</v>
      </c>
      <c r="I14" t="n">
        <v>0</v>
      </c>
      <c r="J14" t="n">
        <v>0</v>
      </c>
      <c r="K14" t="n">
        <v>2</v>
      </c>
      <c r="L14" t="n">
        <v>0</v>
      </c>
      <c r="M14" t="n">
        <v>0</v>
      </c>
      <c r="N14" t="n">
        <v>0</v>
      </c>
      <c r="O14" t="n">
        <v>2</v>
      </c>
      <c r="P14" t="n">
        <v>2</v>
      </c>
      <c r="Q14" t="n">
        <v>2</v>
      </c>
      <c r="R14" s="2" t="inlineStr">
        <is>
          <t>Grangråticka
Koppartaggsvamp</t>
        </is>
      </c>
      <c r="S14">
        <f>HYPERLINK("https://klasma.github.io/Logging_0319/artfynd/A 6832-2023 artfynd.xlsx", "A 6832-2023")</f>
        <v/>
      </c>
      <c r="T14">
        <f>HYPERLINK("https://klasma.github.io/Logging_0319/kartor/A 6832-2023 karta.png", "A 6832-2023")</f>
        <v/>
      </c>
      <c r="V14">
        <f>HYPERLINK("https://klasma.github.io/Logging_0319/klagomål/A 6832-2023 FSC-klagomål.docx", "A 6832-2023")</f>
        <v/>
      </c>
      <c r="W14">
        <f>HYPERLINK("https://klasma.github.io/Logging_0319/klagomålsmail/A 6832-2023 FSC-klagomål mail.docx", "A 6832-2023")</f>
        <v/>
      </c>
      <c r="X14">
        <f>HYPERLINK("https://klasma.github.io/Logging_0319/tillsyn/A 6832-2023 tillsynsbegäran.docx", "A 6832-2023")</f>
        <v/>
      </c>
      <c r="Y14">
        <f>HYPERLINK("https://klasma.github.io/Logging_0319/tillsynsmail/A 6832-2023 tillsynsbegäran mail.docx", "A 6832-2023")</f>
        <v/>
      </c>
    </row>
    <row r="15" ht="15" customHeight="1">
      <c r="A15" t="inlineStr">
        <is>
          <t>A 46363-2023</t>
        </is>
      </c>
      <c r="B15" s="1" t="n">
        <v>45197</v>
      </c>
      <c r="C15" s="1" t="n">
        <v>45568</v>
      </c>
      <c r="D15" t="inlineStr">
        <is>
          <t>UPPSALA LÄN</t>
        </is>
      </c>
      <c r="E15" t="inlineStr">
        <is>
          <t>ÄLVKARLEBY</t>
        </is>
      </c>
      <c r="F15" t="inlineStr">
        <is>
          <t>Bergvik skog öst AB</t>
        </is>
      </c>
      <c r="G15" t="n">
        <v>11.8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Brudsporre
Fläcknycklar</t>
        </is>
      </c>
      <c r="S15">
        <f>HYPERLINK("https://klasma.github.io/Logging_0319/artfynd/A 46363-2023 artfynd.xlsx", "A 46363-2023")</f>
        <v/>
      </c>
      <c r="T15">
        <f>HYPERLINK("https://klasma.github.io/Logging_0319/kartor/A 46363-2023 karta.png", "A 46363-2023")</f>
        <v/>
      </c>
      <c r="V15">
        <f>HYPERLINK("https://klasma.github.io/Logging_0319/klagomål/A 46363-2023 FSC-klagomål.docx", "A 46363-2023")</f>
        <v/>
      </c>
      <c r="W15">
        <f>HYPERLINK("https://klasma.github.io/Logging_0319/klagomålsmail/A 46363-2023 FSC-klagomål mail.docx", "A 46363-2023")</f>
        <v/>
      </c>
      <c r="X15">
        <f>HYPERLINK("https://klasma.github.io/Logging_0319/tillsyn/A 46363-2023 tillsynsbegäran.docx", "A 46363-2023")</f>
        <v/>
      </c>
      <c r="Y15">
        <f>HYPERLINK("https://klasma.github.io/Logging_0319/tillsynsmail/A 46363-2023 tillsynsbegäran mail.docx", "A 46363-2023")</f>
        <v/>
      </c>
    </row>
    <row r="16" ht="15" customHeight="1">
      <c r="A16" t="inlineStr">
        <is>
          <t>A 60458-2023</t>
        </is>
      </c>
      <c r="B16" s="1" t="n">
        <v>45259</v>
      </c>
      <c r="C16" s="1" t="n">
        <v>45568</v>
      </c>
      <c r="D16" t="inlineStr">
        <is>
          <t>UPPSALA LÄN</t>
        </is>
      </c>
      <c r="E16" t="inlineStr">
        <is>
          <t>ÄLVKARLEBY</t>
        </is>
      </c>
      <c r="F16" t="inlineStr">
        <is>
          <t>Bergvik skog öst AB</t>
        </is>
      </c>
      <c r="G16" t="n">
        <v>2.2</v>
      </c>
      <c r="H16" t="n">
        <v>1</v>
      </c>
      <c r="I16" t="n">
        <v>0</v>
      </c>
      <c r="J16" t="n">
        <v>0</v>
      </c>
      <c r="K16" t="n">
        <v>0</v>
      </c>
      <c r="L16" t="n">
        <v>2</v>
      </c>
      <c r="M16" t="n">
        <v>0</v>
      </c>
      <c r="N16" t="n">
        <v>0</v>
      </c>
      <c r="O16" t="n">
        <v>2</v>
      </c>
      <c r="P16" t="n">
        <v>2</v>
      </c>
      <c r="Q16" t="n">
        <v>2</v>
      </c>
      <c r="R16" s="2" t="inlineStr">
        <is>
          <t>Bredgentiana
Fältgentiana</t>
        </is>
      </c>
      <c r="S16">
        <f>HYPERLINK("https://klasma.github.io/Logging_0319/artfynd/A 60458-2023 artfynd.xlsx", "A 60458-2023")</f>
        <v/>
      </c>
      <c r="T16">
        <f>HYPERLINK("https://klasma.github.io/Logging_0319/kartor/A 60458-2023 karta.png", "A 60458-2023")</f>
        <v/>
      </c>
      <c r="V16">
        <f>HYPERLINK("https://klasma.github.io/Logging_0319/klagomål/A 60458-2023 FSC-klagomål.docx", "A 60458-2023")</f>
        <v/>
      </c>
      <c r="W16">
        <f>HYPERLINK("https://klasma.github.io/Logging_0319/klagomålsmail/A 60458-2023 FSC-klagomål mail.docx", "A 60458-2023")</f>
        <v/>
      </c>
      <c r="X16">
        <f>HYPERLINK("https://klasma.github.io/Logging_0319/tillsyn/A 60458-2023 tillsynsbegäran.docx", "A 60458-2023")</f>
        <v/>
      </c>
      <c r="Y16">
        <f>HYPERLINK("https://klasma.github.io/Logging_0319/tillsynsmail/A 60458-2023 tillsynsbegäran mail.docx", "A 60458-2023")</f>
        <v/>
      </c>
    </row>
    <row r="17" ht="15" customHeight="1">
      <c r="A17" t="inlineStr">
        <is>
          <t>A 40687-2024</t>
        </is>
      </c>
      <c r="B17" s="1" t="n">
        <v>45558</v>
      </c>
      <c r="C17" s="1" t="n">
        <v>45568</v>
      </c>
      <c r="D17" t="inlineStr">
        <is>
          <t>UPPSALA LÄN</t>
        </is>
      </c>
      <c r="E17" t="inlineStr">
        <is>
          <t>ÄLVKARLEBY</t>
        </is>
      </c>
      <c r="F17" t="inlineStr">
        <is>
          <t>Bergvik skog väst AB</t>
        </is>
      </c>
      <c r="G17" t="n">
        <v>14.1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Skogsklocka
Trådfräken</t>
        </is>
      </c>
      <c r="S17">
        <f>HYPERLINK("https://klasma.github.io/Logging_0319/artfynd/A 40687-2024 artfynd.xlsx", "A 40687-2024")</f>
        <v/>
      </c>
      <c r="T17">
        <f>HYPERLINK("https://klasma.github.io/Logging_0319/kartor/A 40687-2024 karta.png", "A 40687-2024")</f>
        <v/>
      </c>
      <c r="V17">
        <f>HYPERLINK("https://klasma.github.io/Logging_0319/klagomål/A 40687-2024 FSC-klagomål.docx", "A 40687-2024")</f>
        <v/>
      </c>
      <c r="W17">
        <f>HYPERLINK("https://klasma.github.io/Logging_0319/klagomålsmail/A 40687-2024 FSC-klagomål mail.docx", "A 40687-2024")</f>
        <v/>
      </c>
      <c r="X17">
        <f>HYPERLINK("https://klasma.github.io/Logging_0319/tillsyn/A 40687-2024 tillsynsbegäran.docx", "A 40687-2024")</f>
        <v/>
      </c>
      <c r="Y17">
        <f>HYPERLINK("https://klasma.github.io/Logging_0319/tillsynsmail/A 40687-2024 tillsynsbegäran mail.docx", "A 40687-2024")</f>
        <v/>
      </c>
    </row>
    <row r="18" ht="15" customHeight="1">
      <c r="A18" t="inlineStr">
        <is>
          <t>A 61147-2019</t>
        </is>
      </c>
      <c r="B18" s="1" t="n">
        <v>43782</v>
      </c>
      <c r="C18" s="1" t="n">
        <v>45568</v>
      </c>
      <c r="D18" t="inlineStr">
        <is>
          <t>UPPSALA LÄN</t>
        </is>
      </c>
      <c r="E18" t="inlineStr">
        <is>
          <t>ÄLVKARLEBY</t>
        </is>
      </c>
      <c r="F18" t="inlineStr">
        <is>
          <t>Bergvik skog väst AB</t>
        </is>
      </c>
      <c r="G18" t="n">
        <v>0.9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Violgubbe</t>
        </is>
      </c>
      <c r="S18">
        <f>HYPERLINK("https://klasma.github.io/Logging_0319/artfynd/A 61147-2019 artfynd.xlsx", "A 61147-2019")</f>
        <v/>
      </c>
      <c r="T18">
        <f>HYPERLINK("https://klasma.github.io/Logging_0319/kartor/A 61147-2019 karta.png", "A 61147-2019")</f>
        <v/>
      </c>
      <c r="V18">
        <f>HYPERLINK("https://klasma.github.io/Logging_0319/klagomål/A 61147-2019 FSC-klagomål.docx", "A 61147-2019")</f>
        <v/>
      </c>
      <c r="W18">
        <f>HYPERLINK("https://klasma.github.io/Logging_0319/klagomålsmail/A 61147-2019 FSC-klagomål mail.docx", "A 61147-2019")</f>
        <v/>
      </c>
      <c r="X18">
        <f>HYPERLINK("https://klasma.github.io/Logging_0319/tillsyn/A 61147-2019 tillsynsbegäran.docx", "A 61147-2019")</f>
        <v/>
      </c>
      <c r="Y18">
        <f>HYPERLINK("https://klasma.github.io/Logging_0319/tillsynsmail/A 61147-2019 tillsynsbegäran mail.docx", "A 61147-2019")</f>
        <v/>
      </c>
    </row>
    <row r="19" ht="15" customHeight="1">
      <c r="A19" t="inlineStr">
        <is>
          <t>A 42895-2020</t>
        </is>
      </c>
      <c r="B19" s="1" t="n">
        <v>44078</v>
      </c>
      <c r="C19" s="1" t="n">
        <v>45568</v>
      </c>
      <c r="D19" t="inlineStr">
        <is>
          <t>UPPSALA LÄN</t>
        </is>
      </c>
      <c r="E19" t="inlineStr">
        <is>
          <t>ÄLVKARLEBY</t>
        </is>
      </c>
      <c r="F19" t="inlineStr">
        <is>
          <t>Bergvik skog väst AB</t>
        </is>
      </c>
      <c r="G19" t="n">
        <v>21.9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Gölgroda</t>
        </is>
      </c>
      <c r="S19">
        <f>HYPERLINK("https://klasma.github.io/Logging_0319/artfynd/A 42895-2020 artfynd.xlsx", "A 42895-2020")</f>
        <v/>
      </c>
      <c r="T19">
        <f>HYPERLINK("https://klasma.github.io/Logging_0319/kartor/A 42895-2020 karta.png", "A 42895-2020")</f>
        <v/>
      </c>
      <c r="V19">
        <f>HYPERLINK("https://klasma.github.io/Logging_0319/klagomål/A 42895-2020 FSC-klagomål.docx", "A 42895-2020")</f>
        <v/>
      </c>
      <c r="W19">
        <f>HYPERLINK("https://klasma.github.io/Logging_0319/klagomålsmail/A 42895-2020 FSC-klagomål mail.docx", "A 42895-2020")</f>
        <v/>
      </c>
      <c r="X19">
        <f>HYPERLINK("https://klasma.github.io/Logging_0319/tillsyn/A 42895-2020 tillsynsbegäran.docx", "A 42895-2020")</f>
        <v/>
      </c>
      <c r="Y19">
        <f>HYPERLINK("https://klasma.github.io/Logging_0319/tillsynsmail/A 42895-2020 tillsynsbegäran mail.docx", "A 42895-2020")</f>
        <v/>
      </c>
    </row>
    <row r="20" ht="15" customHeight="1">
      <c r="A20" t="inlineStr">
        <is>
          <t>A 66277-2020</t>
        </is>
      </c>
      <c r="B20" s="1" t="n">
        <v>44176</v>
      </c>
      <c r="C20" s="1" t="n">
        <v>45568</v>
      </c>
      <c r="D20" t="inlineStr">
        <is>
          <t>UPPSALA LÄN</t>
        </is>
      </c>
      <c r="E20" t="inlineStr">
        <is>
          <t>ÄLVKARLEBY</t>
        </is>
      </c>
      <c r="F20" t="inlineStr">
        <is>
          <t>Bergvik skog väst AB</t>
        </is>
      </c>
      <c r="G20" t="n">
        <v>2.6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Vanlig padda</t>
        </is>
      </c>
      <c r="S20">
        <f>HYPERLINK("https://klasma.github.io/Logging_0319/artfynd/A 66277-2020 artfynd.xlsx", "A 66277-2020")</f>
        <v/>
      </c>
      <c r="T20">
        <f>HYPERLINK("https://klasma.github.io/Logging_0319/kartor/A 66277-2020 karta.png", "A 66277-2020")</f>
        <v/>
      </c>
      <c r="V20">
        <f>HYPERLINK("https://klasma.github.io/Logging_0319/klagomål/A 66277-2020 FSC-klagomål.docx", "A 66277-2020")</f>
        <v/>
      </c>
      <c r="W20">
        <f>HYPERLINK("https://klasma.github.io/Logging_0319/klagomålsmail/A 66277-2020 FSC-klagomål mail.docx", "A 66277-2020")</f>
        <v/>
      </c>
      <c r="X20">
        <f>HYPERLINK("https://klasma.github.io/Logging_0319/tillsyn/A 66277-2020 tillsynsbegäran.docx", "A 66277-2020")</f>
        <v/>
      </c>
      <c r="Y20">
        <f>HYPERLINK("https://klasma.github.io/Logging_0319/tillsynsmail/A 66277-2020 tillsynsbegäran mail.docx", "A 66277-2020")</f>
        <v/>
      </c>
    </row>
    <row r="21" ht="15" customHeight="1">
      <c r="A21" t="inlineStr">
        <is>
          <t>A 29748-2022</t>
        </is>
      </c>
      <c r="B21" s="1" t="n">
        <v>44755</v>
      </c>
      <c r="C21" s="1" t="n">
        <v>45568</v>
      </c>
      <c r="D21" t="inlineStr">
        <is>
          <t>UPPSALA LÄN</t>
        </is>
      </c>
      <c r="E21" t="inlineStr">
        <is>
          <t>ÄLVKARLEBY</t>
        </is>
      </c>
      <c r="F21" t="inlineStr">
        <is>
          <t>Bergvik skog väst AB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Stor bockrot</t>
        </is>
      </c>
      <c r="S21">
        <f>HYPERLINK("https://klasma.github.io/Logging_0319/artfynd/A 29748-2022 artfynd.xlsx", "A 29748-2022")</f>
        <v/>
      </c>
      <c r="T21">
        <f>HYPERLINK("https://klasma.github.io/Logging_0319/kartor/A 29748-2022 karta.png", "A 29748-2022")</f>
        <v/>
      </c>
      <c r="V21">
        <f>HYPERLINK("https://klasma.github.io/Logging_0319/klagomål/A 29748-2022 FSC-klagomål.docx", "A 29748-2022")</f>
        <v/>
      </c>
      <c r="W21">
        <f>HYPERLINK("https://klasma.github.io/Logging_0319/klagomålsmail/A 29748-2022 FSC-klagomål mail.docx", "A 29748-2022")</f>
        <v/>
      </c>
      <c r="X21">
        <f>HYPERLINK("https://klasma.github.io/Logging_0319/tillsyn/A 29748-2022 tillsynsbegäran.docx", "A 29748-2022")</f>
        <v/>
      </c>
      <c r="Y21">
        <f>HYPERLINK("https://klasma.github.io/Logging_0319/tillsynsmail/A 29748-2022 tillsynsbegäran mail.docx", "A 29748-2022")</f>
        <v/>
      </c>
    </row>
    <row r="22" ht="15" customHeight="1">
      <c r="A22" t="inlineStr">
        <is>
          <t>A 12415-2023</t>
        </is>
      </c>
      <c r="B22" s="1" t="n">
        <v>44999</v>
      </c>
      <c r="C22" s="1" t="n">
        <v>45568</v>
      </c>
      <c r="D22" t="inlineStr">
        <is>
          <t>UPPSALA LÄN</t>
        </is>
      </c>
      <c r="E22" t="inlineStr">
        <is>
          <t>ÄLVKARLEBY</t>
        </is>
      </c>
      <c r="F22" t="inlineStr">
        <is>
          <t>Bergvik skog väst AB</t>
        </is>
      </c>
      <c r="G22" t="n">
        <v>7.2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Sårläka</t>
        </is>
      </c>
      <c r="S22">
        <f>HYPERLINK("https://klasma.github.io/Logging_0319/artfynd/A 12415-2023 artfynd.xlsx", "A 12415-2023")</f>
        <v/>
      </c>
      <c r="T22">
        <f>HYPERLINK("https://klasma.github.io/Logging_0319/kartor/A 12415-2023 karta.png", "A 12415-2023")</f>
        <v/>
      </c>
      <c r="V22">
        <f>HYPERLINK("https://klasma.github.io/Logging_0319/klagomål/A 12415-2023 FSC-klagomål.docx", "A 12415-2023")</f>
        <v/>
      </c>
      <c r="W22">
        <f>HYPERLINK("https://klasma.github.io/Logging_0319/klagomålsmail/A 12415-2023 FSC-klagomål mail.docx", "A 12415-2023")</f>
        <v/>
      </c>
      <c r="X22">
        <f>HYPERLINK("https://klasma.github.io/Logging_0319/tillsyn/A 12415-2023 tillsynsbegäran.docx", "A 12415-2023")</f>
        <v/>
      </c>
      <c r="Y22">
        <f>HYPERLINK("https://klasma.github.io/Logging_0319/tillsynsmail/A 12415-2023 tillsynsbegäran mail.docx", "A 12415-2023")</f>
        <v/>
      </c>
    </row>
    <row r="23" ht="15" customHeight="1">
      <c r="A23" t="inlineStr">
        <is>
          <t>A 46354-2023</t>
        </is>
      </c>
      <c r="B23" s="1" t="n">
        <v>45197</v>
      </c>
      <c r="C23" s="1" t="n">
        <v>45568</v>
      </c>
      <c r="D23" t="inlineStr">
        <is>
          <t>UPPSALA LÄN</t>
        </is>
      </c>
      <c r="E23" t="inlineStr">
        <is>
          <t>ÄLVKARLEBY</t>
        </is>
      </c>
      <c r="F23" t="inlineStr">
        <is>
          <t>Bergvik skog öst AB</t>
        </is>
      </c>
      <c r="G23" t="n">
        <v>2.3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Skogsknipprot</t>
        </is>
      </c>
      <c r="S23">
        <f>HYPERLINK("https://klasma.github.io/Logging_0319/artfynd/A 46354-2023 artfynd.xlsx", "A 46354-2023")</f>
        <v/>
      </c>
      <c r="T23">
        <f>HYPERLINK("https://klasma.github.io/Logging_0319/kartor/A 46354-2023 karta.png", "A 46354-2023")</f>
        <v/>
      </c>
      <c r="V23">
        <f>HYPERLINK("https://klasma.github.io/Logging_0319/klagomål/A 46354-2023 FSC-klagomål.docx", "A 46354-2023")</f>
        <v/>
      </c>
      <c r="W23">
        <f>HYPERLINK("https://klasma.github.io/Logging_0319/klagomålsmail/A 46354-2023 FSC-klagomål mail.docx", "A 46354-2023")</f>
        <v/>
      </c>
      <c r="X23">
        <f>HYPERLINK("https://klasma.github.io/Logging_0319/tillsyn/A 46354-2023 tillsynsbegäran.docx", "A 46354-2023")</f>
        <v/>
      </c>
      <c r="Y23">
        <f>HYPERLINK("https://klasma.github.io/Logging_0319/tillsynsmail/A 46354-2023 tillsynsbegäran mail.docx", "A 46354-2023")</f>
        <v/>
      </c>
    </row>
    <row r="24" ht="15" customHeight="1">
      <c r="A24" t="inlineStr">
        <is>
          <t>A 5209-2024</t>
        </is>
      </c>
      <c r="B24" s="1" t="n">
        <v>45330</v>
      </c>
      <c r="C24" s="1" t="n">
        <v>45568</v>
      </c>
      <c r="D24" t="inlineStr">
        <is>
          <t>UPPSALA LÄN</t>
        </is>
      </c>
      <c r="E24" t="inlineStr">
        <is>
          <t>ÄLVKARLEBY</t>
        </is>
      </c>
      <c r="G24" t="n">
        <v>6.3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Guckusko</t>
        </is>
      </c>
      <c r="S24">
        <f>HYPERLINK("https://klasma.github.io/Logging_0319/artfynd/A 5209-2024 artfynd.xlsx", "A 5209-2024")</f>
        <v/>
      </c>
      <c r="T24">
        <f>HYPERLINK("https://klasma.github.io/Logging_0319/kartor/A 5209-2024 karta.png", "A 5209-2024")</f>
        <v/>
      </c>
      <c r="V24">
        <f>HYPERLINK("https://klasma.github.io/Logging_0319/klagomål/A 5209-2024 FSC-klagomål.docx", "A 5209-2024")</f>
        <v/>
      </c>
      <c r="W24">
        <f>HYPERLINK("https://klasma.github.io/Logging_0319/klagomålsmail/A 5209-2024 FSC-klagomål mail.docx", "A 5209-2024")</f>
        <v/>
      </c>
      <c r="X24">
        <f>HYPERLINK("https://klasma.github.io/Logging_0319/tillsyn/A 5209-2024 tillsynsbegäran.docx", "A 5209-2024")</f>
        <v/>
      </c>
      <c r="Y24">
        <f>HYPERLINK("https://klasma.github.io/Logging_0319/tillsynsmail/A 5209-2024 tillsynsbegäran mail.docx", "A 5209-2024")</f>
        <v/>
      </c>
    </row>
    <row r="25" ht="15" customHeight="1">
      <c r="A25" t="inlineStr">
        <is>
          <t>A 21700-2024</t>
        </is>
      </c>
      <c r="B25" s="1" t="n">
        <v>45442</v>
      </c>
      <c r="C25" s="1" t="n">
        <v>45568</v>
      </c>
      <c r="D25" t="inlineStr">
        <is>
          <t>UPPSALA LÄN</t>
        </is>
      </c>
      <c r="E25" t="inlineStr">
        <is>
          <t>ÄLVKARLEBY</t>
        </is>
      </c>
      <c r="F25" t="inlineStr">
        <is>
          <t>Bergvik skog väst AB</t>
        </is>
      </c>
      <c r="G25" t="n">
        <v>1.1</v>
      </c>
      <c r="H25" t="n">
        <v>0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Töcknig trymal</t>
        </is>
      </c>
      <c r="S25">
        <f>HYPERLINK("https://klasma.github.io/Logging_0319/artfynd/A 21700-2024 artfynd.xlsx", "A 21700-2024")</f>
        <v/>
      </c>
      <c r="T25">
        <f>HYPERLINK("https://klasma.github.io/Logging_0319/kartor/A 21700-2024 karta.png", "A 21700-2024")</f>
        <v/>
      </c>
      <c r="V25">
        <f>HYPERLINK("https://klasma.github.io/Logging_0319/klagomål/A 21700-2024 FSC-klagomål.docx", "A 21700-2024")</f>
        <v/>
      </c>
      <c r="W25">
        <f>HYPERLINK("https://klasma.github.io/Logging_0319/klagomålsmail/A 21700-2024 FSC-klagomål mail.docx", "A 21700-2024")</f>
        <v/>
      </c>
      <c r="X25">
        <f>HYPERLINK("https://klasma.github.io/Logging_0319/tillsyn/A 21700-2024 tillsynsbegäran.docx", "A 21700-2024")</f>
        <v/>
      </c>
      <c r="Y25">
        <f>HYPERLINK("https://klasma.github.io/Logging_0319/tillsynsmail/A 21700-2024 tillsynsbegäran mail.docx", "A 21700-2024")</f>
        <v/>
      </c>
    </row>
    <row r="26" ht="15" customHeight="1">
      <c r="A26" t="inlineStr">
        <is>
          <t>A 26471-2024</t>
        </is>
      </c>
      <c r="B26" s="1" t="n">
        <v>45469</v>
      </c>
      <c r="C26" s="1" t="n">
        <v>45568</v>
      </c>
      <c r="D26" t="inlineStr">
        <is>
          <t>UPPSALA LÄN</t>
        </is>
      </c>
      <c r="E26" t="inlineStr">
        <is>
          <t>ÄLVKARLEBY</t>
        </is>
      </c>
      <c r="F26" t="inlineStr">
        <is>
          <t>Bergvik skog väst AB</t>
        </is>
      </c>
      <c r="G26" t="n">
        <v>5.3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Slaguggla</t>
        </is>
      </c>
      <c r="S26">
        <f>HYPERLINK("https://klasma.github.io/Logging_0319/artfynd/A 26471-2024 artfynd.xlsx", "A 26471-2024")</f>
        <v/>
      </c>
      <c r="T26">
        <f>HYPERLINK("https://klasma.github.io/Logging_0319/kartor/A 26471-2024 karta.png", "A 26471-2024")</f>
        <v/>
      </c>
      <c r="V26">
        <f>HYPERLINK("https://klasma.github.io/Logging_0319/klagomål/A 26471-2024 FSC-klagomål.docx", "A 26471-2024")</f>
        <v/>
      </c>
      <c r="W26">
        <f>HYPERLINK("https://klasma.github.io/Logging_0319/klagomålsmail/A 26471-2024 FSC-klagomål mail.docx", "A 26471-2024")</f>
        <v/>
      </c>
      <c r="X26">
        <f>HYPERLINK("https://klasma.github.io/Logging_0319/tillsyn/A 26471-2024 tillsynsbegäran.docx", "A 26471-2024")</f>
        <v/>
      </c>
      <c r="Y26">
        <f>HYPERLINK("https://klasma.github.io/Logging_0319/tillsynsmail/A 26471-2024 tillsynsbegäran mail.docx", "A 26471-2024")</f>
        <v/>
      </c>
      <c r="Z26">
        <f>HYPERLINK("https://klasma.github.io/Logging_0319/fåglar/A 26471-2024 prioriterade fågelarter.docx", "A 26471-2024")</f>
        <v/>
      </c>
    </row>
    <row r="27" ht="15" customHeight="1">
      <c r="A27" t="inlineStr">
        <is>
          <t>A 33775-2024</t>
        </is>
      </c>
      <c r="B27" s="1" t="n">
        <v>45520</v>
      </c>
      <c r="C27" s="1" t="n">
        <v>45568</v>
      </c>
      <c r="D27" t="inlineStr">
        <is>
          <t>UPPSALA LÄN</t>
        </is>
      </c>
      <c r="E27" t="inlineStr">
        <is>
          <t>ÄLVKARLEBY</t>
        </is>
      </c>
      <c r="F27" t="inlineStr">
        <is>
          <t>Bergvik skog väst AB</t>
        </is>
      </c>
      <c r="G27" t="n">
        <v>5.6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Tibast</t>
        </is>
      </c>
      <c r="S27">
        <f>HYPERLINK("https://klasma.github.io/Logging_0319/artfynd/A 33775-2024 artfynd.xlsx", "A 33775-2024")</f>
        <v/>
      </c>
      <c r="T27">
        <f>HYPERLINK("https://klasma.github.io/Logging_0319/kartor/A 33775-2024 karta.png", "A 33775-2024")</f>
        <v/>
      </c>
      <c r="V27">
        <f>HYPERLINK("https://klasma.github.io/Logging_0319/klagomål/A 33775-2024 FSC-klagomål.docx", "A 33775-2024")</f>
        <v/>
      </c>
      <c r="W27">
        <f>HYPERLINK("https://klasma.github.io/Logging_0319/klagomålsmail/A 33775-2024 FSC-klagomål mail.docx", "A 33775-2024")</f>
        <v/>
      </c>
      <c r="X27">
        <f>HYPERLINK("https://klasma.github.io/Logging_0319/tillsyn/A 33775-2024 tillsynsbegäran.docx", "A 33775-2024")</f>
        <v/>
      </c>
      <c r="Y27">
        <f>HYPERLINK("https://klasma.github.io/Logging_0319/tillsynsmail/A 33775-2024 tillsynsbegäran mail.docx", "A 33775-2024")</f>
        <v/>
      </c>
    </row>
    <row r="28" ht="15" customHeight="1">
      <c r="A28" t="inlineStr">
        <is>
          <t>A 33796-2024</t>
        </is>
      </c>
      <c r="B28" s="1" t="n">
        <v>45520</v>
      </c>
      <c r="C28" s="1" t="n">
        <v>45568</v>
      </c>
      <c r="D28" t="inlineStr">
        <is>
          <t>UPPSALA LÄN</t>
        </is>
      </c>
      <c r="E28" t="inlineStr">
        <is>
          <t>ÄLVKARLEBY</t>
        </is>
      </c>
      <c r="F28" t="inlineStr">
        <is>
          <t>Bergvik skog väst AB</t>
        </is>
      </c>
      <c r="G28" t="n">
        <v>4.6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HYPERLINK("https://klasma.github.io/Logging_0319/artfynd/A 33796-2024 artfynd.xlsx", "A 33796-2024")</f>
        <v/>
      </c>
      <c r="T28">
        <f>HYPERLINK("https://klasma.github.io/Logging_0319/kartor/A 33796-2024 karta.png", "A 33796-2024")</f>
        <v/>
      </c>
      <c r="V28">
        <f>HYPERLINK("https://klasma.github.io/Logging_0319/klagomål/A 33796-2024 FSC-klagomål.docx", "A 33796-2024")</f>
        <v/>
      </c>
      <c r="W28">
        <f>HYPERLINK("https://klasma.github.io/Logging_0319/klagomålsmail/A 33796-2024 FSC-klagomål mail.docx", "A 33796-2024")</f>
        <v/>
      </c>
      <c r="X28">
        <f>HYPERLINK("https://klasma.github.io/Logging_0319/tillsyn/A 33796-2024 tillsynsbegäran.docx", "A 33796-2024")</f>
        <v/>
      </c>
      <c r="Y28">
        <f>HYPERLINK("https://klasma.github.io/Logging_0319/tillsynsmail/A 33796-2024 tillsynsbegäran mail.docx", "A 33796-2024")</f>
        <v/>
      </c>
    </row>
    <row r="29" ht="15" customHeight="1">
      <c r="A29" t="inlineStr">
        <is>
          <t>A 19969-2019</t>
        </is>
      </c>
      <c r="B29" s="1" t="n">
        <v>43570</v>
      </c>
      <c r="C29" s="1" t="n">
        <v>45568</v>
      </c>
      <c r="D29" t="inlineStr">
        <is>
          <t>UPPSALA LÄN</t>
        </is>
      </c>
      <c r="E29" t="inlineStr">
        <is>
          <t>ÄLVKARLEBY</t>
        </is>
      </c>
      <c r="F29" t="inlineStr">
        <is>
          <t>Bergvik skog väst AB</t>
        </is>
      </c>
      <c r="G29" t="n">
        <v>3.6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24105-2019</t>
        </is>
      </c>
      <c r="B30" s="1" t="n">
        <v>43598</v>
      </c>
      <c r="C30" s="1" t="n">
        <v>45568</v>
      </c>
      <c r="D30" t="inlineStr">
        <is>
          <t>UPPSALA LÄN</t>
        </is>
      </c>
      <c r="E30" t="inlineStr">
        <is>
          <t>ÄLVKARLEBY</t>
        </is>
      </c>
      <c r="F30" t="inlineStr">
        <is>
          <t>Kyrkan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25340-2019</t>
        </is>
      </c>
      <c r="B31" s="1" t="n">
        <v>43606</v>
      </c>
      <c r="C31" s="1" t="n">
        <v>45568</v>
      </c>
      <c r="D31" t="inlineStr">
        <is>
          <t>UPPSALA LÄN</t>
        </is>
      </c>
      <c r="E31" t="inlineStr">
        <is>
          <t>ÄLVKARLEBY</t>
        </is>
      </c>
      <c r="F31" t="inlineStr">
        <is>
          <t>Bergvik skog väst AB</t>
        </is>
      </c>
      <c r="G31" t="n">
        <v>2.9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44457-2019</t>
        </is>
      </c>
      <c r="B32" s="1" t="n">
        <v>43711</v>
      </c>
      <c r="C32" s="1" t="n">
        <v>45568</v>
      </c>
      <c r="D32" t="inlineStr">
        <is>
          <t>UPPSALA LÄN</t>
        </is>
      </c>
      <c r="E32" t="inlineStr">
        <is>
          <t>ÄLVKARLEBY</t>
        </is>
      </c>
      <c r="F32" t="inlineStr">
        <is>
          <t>Bergvik skog väst AB</t>
        </is>
      </c>
      <c r="G32" t="n">
        <v>8.699999999999999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48822-2019</t>
        </is>
      </c>
      <c r="B33" s="1" t="n">
        <v>43728</v>
      </c>
      <c r="C33" s="1" t="n">
        <v>45568</v>
      </c>
      <c r="D33" t="inlineStr">
        <is>
          <t>UPPSALA LÄN</t>
        </is>
      </c>
      <c r="E33" t="inlineStr">
        <is>
          <t>ÄLVKARLEBY</t>
        </is>
      </c>
      <c r="F33" t="inlineStr">
        <is>
          <t>Bergvik skog väst AB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57745-2019</t>
        </is>
      </c>
      <c r="B34" s="1" t="n">
        <v>43768</v>
      </c>
      <c r="C34" s="1" t="n">
        <v>45568</v>
      </c>
      <c r="D34" t="inlineStr">
        <is>
          <t>UPPSALA LÄN</t>
        </is>
      </c>
      <c r="E34" t="inlineStr">
        <is>
          <t>ÄLVKARLEBY</t>
        </is>
      </c>
      <c r="F34" t="inlineStr">
        <is>
          <t>Bergvik skog väst AB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5511-2020</t>
        </is>
      </c>
      <c r="B35" s="1" t="n">
        <v>43861</v>
      </c>
      <c r="C35" s="1" t="n">
        <v>45568</v>
      </c>
      <c r="D35" t="inlineStr">
        <is>
          <t>UPPSALA LÄN</t>
        </is>
      </c>
      <c r="E35" t="inlineStr">
        <is>
          <t>ÄLVKARLEBY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15213-2020</t>
        </is>
      </c>
      <c r="B36" s="1" t="n">
        <v>43913</v>
      </c>
      <c r="C36" s="1" t="n">
        <v>45568</v>
      </c>
      <c r="D36" t="inlineStr">
        <is>
          <t>UPPSALA LÄN</t>
        </is>
      </c>
      <c r="E36" t="inlineStr">
        <is>
          <t>ÄLVKARLEBY</t>
        </is>
      </c>
      <c r="G36" t="n">
        <v>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32416-2020</t>
        </is>
      </c>
      <c r="B37" s="1" t="n">
        <v>44018</v>
      </c>
      <c r="C37" s="1" t="n">
        <v>45568</v>
      </c>
      <c r="D37" t="inlineStr">
        <is>
          <t>UPPSALA LÄN</t>
        </is>
      </c>
      <c r="E37" t="inlineStr">
        <is>
          <t>ÄLVKARLEBY</t>
        </is>
      </c>
      <c r="F37" t="inlineStr">
        <is>
          <t>Bergvik skog väst AB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37193-2020</t>
        </is>
      </c>
      <c r="B38" s="1" t="n">
        <v>44054</v>
      </c>
      <c r="C38" s="1" t="n">
        <v>45568</v>
      </c>
      <c r="D38" t="inlineStr">
        <is>
          <t>UPPSALA LÄN</t>
        </is>
      </c>
      <c r="E38" t="inlineStr">
        <is>
          <t>ÄLVKARLEBY</t>
        </is>
      </c>
      <c r="F38" t="inlineStr">
        <is>
          <t>Bergvik skog väst AB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40667-2020</t>
        </is>
      </c>
      <c r="B39" s="1" t="n">
        <v>44069</v>
      </c>
      <c r="C39" s="1" t="n">
        <v>45568</v>
      </c>
      <c r="D39" t="inlineStr">
        <is>
          <t>UPPSALA LÄN</t>
        </is>
      </c>
      <c r="E39" t="inlineStr">
        <is>
          <t>ÄLVKARLEBY</t>
        </is>
      </c>
      <c r="F39" t="inlineStr">
        <is>
          <t>Bergvik skog väst AB</t>
        </is>
      </c>
      <c r="G39" t="n">
        <v>20.7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50413-2020</t>
        </is>
      </c>
      <c r="B40" s="1" t="n">
        <v>44110</v>
      </c>
      <c r="C40" s="1" t="n">
        <v>45568</v>
      </c>
      <c r="D40" t="inlineStr">
        <is>
          <t>UPPSALA LÄN</t>
        </is>
      </c>
      <c r="E40" t="inlineStr">
        <is>
          <t>ÄLVKARLEBY</t>
        </is>
      </c>
      <c r="F40" t="inlineStr">
        <is>
          <t>Bergvik skog väst AB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50416-2020</t>
        </is>
      </c>
      <c r="B41" s="1" t="n">
        <v>44110</v>
      </c>
      <c r="C41" s="1" t="n">
        <v>45568</v>
      </c>
      <c r="D41" t="inlineStr">
        <is>
          <t>UPPSALA LÄN</t>
        </is>
      </c>
      <c r="E41" t="inlineStr">
        <is>
          <t>ÄLVKARLEBY</t>
        </is>
      </c>
      <c r="F41" t="inlineStr">
        <is>
          <t>Bergvik skog väst AB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50409-2020</t>
        </is>
      </c>
      <c r="B42" s="1" t="n">
        <v>44110</v>
      </c>
      <c r="C42" s="1" t="n">
        <v>45568</v>
      </c>
      <c r="D42" t="inlineStr">
        <is>
          <t>UPPSALA LÄN</t>
        </is>
      </c>
      <c r="E42" t="inlineStr">
        <is>
          <t>ÄLVKARLEBY</t>
        </is>
      </c>
      <c r="F42" t="inlineStr">
        <is>
          <t>Bergvik skog väst AB</t>
        </is>
      </c>
      <c r="G42" t="n">
        <v>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66278-2020</t>
        </is>
      </c>
      <c r="B43" s="1" t="n">
        <v>44176</v>
      </c>
      <c r="C43" s="1" t="n">
        <v>45568</v>
      </c>
      <c r="D43" t="inlineStr">
        <is>
          <t>UPPSALA LÄN</t>
        </is>
      </c>
      <c r="E43" t="inlineStr">
        <is>
          <t>ÄLVKARLEBY</t>
        </is>
      </c>
      <c r="F43" t="inlineStr">
        <is>
          <t>Bergvik skog väst AB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967-2021</t>
        </is>
      </c>
      <c r="B44" s="1" t="n">
        <v>44207</v>
      </c>
      <c r="C44" s="1" t="n">
        <v>45568</v>
      </c>
      <c r="D44" t="inlineStr">
        <is>
          <t>UPPSALA LÄN</t>
        </is>
      </c>
      <c r="E44" t="inlineStr">
        <is>
          <t>ÄLVKARLEBY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11553-2021</t>
        </is>
      </c>
      <c r="B45" s="1" t="n">
        <v>44264</v>
      </c>
      <c r="C45" s="1" t="n">
        <v>45568</v>
      </c>
      <c r="D45" t="inlineStr">
        <is>
          <t>UPPSALA LÄN</t>
        </is>
      </c>
      <c r="E45" t="inlineStr">
        <is>
          <t>ÄLVKARLEBY</t>
        </is>
      </c>
      <c r="F45" t="inlineStr">
        <is>
          <t>Bergvik skog väst AB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13476-2021</t>
        </is>
      </c>
      <c r="B46" s="1" t="n">
        <v>44273</v>
      </c>
      <c r="C46" s="1" t="n">
        <v>45568</v>
      </c>
      <c r="D46" t="inlineStr">
        <is>
          <t>UPPSALA LÄN</t>
        </is>
      </c>
      <c r="E46" t="inlineStr">
        <is>
          <t>ÄLVKARLEBY</t>
        </is>
      </c>
      <c r="F46" t="inlineStr">
        <is>
          <t>Bergvik skog väst AB</t>
        </is>
      </c>
      <c r="G46" t="n">
        <v>12.1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39791-2021</t>
        </is>
      </c>
      <c r="B47" s="1" t="n">
        <v>44417</v>
      </c>
      <c r="C47" s="1" t="n">
        <v>45568</v>
      </c>
      <c r="D47" t="inlineStr">
        <is>
          <t>UPPSALA LÄN</t>
        </is>
      </c>
      <c r="E47" t="inlineStr">
        <is>
          <t>ÄLVKARLEBY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47226-2021</t>
        </is>
      </c>
      <c r="B48" s="1" t="n">
        <v>44447</v>
      </c>
      <c r="C48" s="1" t="n">
        <v>45568</v>
      </c>
      <c r="D48" t="inlineStr">
        <is>
          <t>UPPSALA LÄN</t>
        </is>
      </c>
      <c r="E48" t="inlineStr">
        <is>
          <t>ÄLVKARLEBY</t>
        </is>
      </c>
      <c r="F48" t="inlineStr">
        <is>
          <t>Bergvik skog väst AB</t>
        </is>
      </c>
      <c r="G48" t="n">
        <v>13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10455-2022</t>
        </is>
      </c>
      <c r="B49" s="1" t="n">
        <v>44623</v>
      </c>
      <c r="C49" s="1" t="n">
        <v>45568</v>
      </c>
      <c r="D49" t="inlineStr">
        <is>
          <t>UPPSALA LÄN</t>
        </is>
      </c>
      <c r="E49" t="inlineStr">
        <is>
          <t>ÄLVKARLEBY</t>
        </is>
      </c>
      <c r="F49" t="inlineStr">
        <is>
          <t>Bergvik skog öst AB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16990-2022</t>
        </is>
      </c>
      <c r="B50" s="1" t="n">
        <v>44676</v>
      </c>
      <c r="C50" s="1" t="n">
        <v>45568</v>
      </c>
      <c r="D50" t="inlineStr">
        <is>
          <t>UPPSALA LÄN</t>
        </is>
      </c>
      <c r="E50" t="inlineStr">
        <is>
          <t>ÄLVKARLEBY</t>
        </is>
      </c>
      <c r="F50" t="inlineStr">
        <is>
          <t>Bergvik skog väst AB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22916-2022</t>
        </is>
      </c>
      <c r="B51" s="1" t="n">
        <v>44715</v>
      </c>
      <c r="C51" s="1" t="n">
        <v>45568</v>
      </c>
      <c r="D51" t="inlineStr">
        <is>
          <t>UPPSALA LÄN</t>
        </is>
      </c>
      <c r="E51" t="inlineStr">
        <is>
          <t>ÄLVKARLEBY</t>
        </is>
      </c>
      <c r="F51" t="inlineStr">
        <is>
          <t>Bergvik skog väst AB</t>
        </is>
      </c>
      <c r="G51" t="n">
        <v>9.199999999999999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26815-2022</t>
        </is>
      </c>
      <c r="B52" s="1" t="n">
        <v>44740</v>
      </c>
      <c r="C52" s="1" t="n">
        <v>45568</v>
      </c>
      <c r="D52" t="inlineStr">
        <is>
          <t>UPPSALA LÄN</t>
        </is>
      </c>
      <c r="E52" t="inlineStr">
        <is>
          <t>ÄLVKARLEBY</t>
        </is>
      </c>
      <c r="G52" t="n">
        <v>5.8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29116-2022</t>
        </is>
      </c>
      <c r="B53" s="1" t="n">
        <v>44750</v>
      </c>
      <c r="C53" s="1" t="n">
        <v>45568</v>
      </c>
      <c r="D53" t="inlineStr">
        <is>
          <t>UPPSALA LÄN</t>
        </is>
      </c>
      <c r="E53" t="inlineStr">
        <is>
          <t>ÄLVKARLEBY</t>
        </is>
      </c>
      <c r="F53" t="inlineStr">
        <is>
          <t>Kommuner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29168-2022</t>
        </is>
      </c>
      <c r="B54" s="1" t="n">
        <v>44750</v>
      </c>
      <c r="C54" s="1" t="n">
        <v>45568</v>
      </c>
      <c r="D54" t="inlineStr">
        <is>
          <t>UPPSALA LÄN</t>
        </is>
      </c>
      <c r="E54" t="inlineStr">
        <is>
          <t>ÄLVKARLEBY</t>
        </is>
      </c>
      <c r="F54" t="inlineStr">
        <is>
          <t>Kommuner</t>
        </is>
      </c>
      <c r="G54" t="n">
        <v>5.1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36216-2022</t>
        </is>
      </c>
      <c r="B55" s="1" t="n">
        <v>44803</v>
      </c>
      <c r="C55" s="1" t="n">
        <v>45568</v>
      </c>
      <c r="D55" t="inlineStr">
        <is>
          <t>UPPSALA LÄN</t>
        </is>
      </c>
      <c r="E55" t="inlineStr">
        <is>
          <t>ÄLVKARLEBY</t>
        </is>
      </c>
      <c r="F55" t="inlineStr">
        <is>
          <t>Bergvik skog väst AB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36217-2022</t>
        </is>
      </c>
      <c r="B56" s="1" t="n">
        <v>44803</v>
      </c>
      <c r="C56" s="1" t="n">
        <v>45568</v>
      </c>
      <c r="D56" t="inlineStr">
        <is>
          <t>UPPSALA LÄN</t>
        </is>
      </c>
      <c r="E56" t="inlineStr">
        <is>
          <t>ÄLVKARLEBY</t>
        </is>
      </c>
      <c r="F56" t="inlineStr">
        <is>
          <t>Bergvik skog väst AB</t>
        </is>
      </c>
      <c r="G56" t="n">
        <v>0.2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36282-2022</t>
        </is>
      </c>
      <c r="B57" s="1" t="n">
        <v>44803</v>
      </c>
      <c r="C57" s="1" t="n">
        <v>45568</v>
      </c>
      <c r="D57" t="inlineStr">
        <is>
          <t>UPPSALA LÄN</t>
        </is>
      </c>
      <c r="E57" t="inlineStr">
        <is>
          <t>ÄLVKARLEBY</t>
        </is>
      </c>
      <c r="G57" t="n">
        <v>0.1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41757-2022</t>
        </is>
      </c>
      <c r="B58" s="1" t="n">
        <v>44827</v>
      </c>
      <c r="C58" s="1" t="n">
        <v>45568</v>
      </c>
      <c r="D58" t="inlineStr">
        <is>
          <t>UPPSALA LÄN</t>
        </is>
      </c>
      <c r="E58" t="inlineStr">
        <is>
          <t>ÄLVKARLEBY</t>
        </is>
      </c>
      <c r="F58" t="inlineStr">
        <is>
          <t>Bergvik skog väst AB</t>
        </is>
      </c>
      <c r="G58" t="n">
        <v>12.7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60837-2022</t>
        </is>
      </c>
      <c r="B59" s="1" t="n">
        <v>44914</v>
      </c>
      <c r="C59" s="1" t="n">
        <v>45568</v>
      </c>
      <c r="D59" t="inlineStr">
        <is>
          <t>UPPSALA LÄN</t>
        </is>
      </c>
      <c r="E59" t="inlineStr">
        <is>
          <t>ÄLVKARLEBY</t>
        </is>
      </c>
      <c r="F59" t="inlineStr">
        <is>
          <t>Bergvik skog väst AB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6839-2023</t>
        </is>
      </c>
      <c r="B60" s="1" t="n">
        <v>44967</v>
      </c>
      <c r="C60" s="1" t="n">
        <v>45568</v>
      </c>
      <c r="D60" t="inlineStr">
        <is>
          <t>UPPSALA LÄN</t>
        </is>
      </c>
      <c r="E60" t="inlineStr">
        <is>
          <t>ÄLVKARLEBY</t>
        </is>
      </c>
      <c r="F60" t="inlineStr">
        <is>
          <t>Bergvik skog väst AB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6834-2023</t>
        </is>
      </c>
      <c r="B61" s="1" t="n">
        <v>44967</v>
      </c>
      <c r="C61" s="1" t="n">
        <v>45568</v>
      </c>
      <c r="D61" t="inlineStr">
        <is>
          <t>UPPSALA LÄN</t>
        </is>
      </c>
      <c r="E61" t="inlineStr">
        <is>
          <t>ÄLVKARLEBY</t>
        </is>
      </c>
      <c r="F61" t="inlineStr">
        <is>
          <t>Bergvik skog väst AB</t>
        </is>
      </c>
      <c r="G61" t="n">
        <v>8.1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7286-2023</t>
        </is>
      </c>
      <c r="B62" s="1" t="n">
        <v>44970</v>
      </c>
      <c r="C62" s="1" t="n">
        <v>45568</v>
      </c>
      <c r="D62" t="inlineStr">
        <is>
          <t>UPPSALA LÄN</t>
        </is>
      </c>
      <c r="E62" t="inlineStr">
        <is>
          <t>ÄLVKARLEBY</t>
        </is>
      </c>
      <c r="F62" t="inlineStr">
        <is>
          <t>Bergvik skog väst AB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14590-2023</t>
        </is>
      </c>
      <c r="B63" s="1" t="n">
        <v>45013</v>
      </c>
      <c r="C63" s="1" t="n">
        <v>45568</v>
      </c>
      <c r="D63" t="inlineStr">
        <is>
          <t>UPPSALA LÄN</t>
        </is>
      </c>
      <c r="E63" t="inlineStr">
        <is>
          <t>ÄLVKARLEBY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21520-2023</t>
        </is>
      </c>
      <c r="B64" s="1" t="n">
        <v>45063</v>
      </c>
      <c r="C64" s="1" t="n">
        <v>45568</v>
      </c>
      <c r="D64" t="inlineStr">
        <is>
          <t>UPPSALA LÄN</t>
        </is>
      </c>
      <c r="E64" t="inlineStr">
        <is>
          <t>ÄLVKARLEBY</t>
        </is>
      </c>
      <c r="F64" t="inlineStr">
        <is>
          <t>Bergvik skog väst AB</t>
        </is>
      </c>
      <c r="G64" t="n">
        <v>3.8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26983-2023</t>
        </is>
      </c>
      <c r="B65" s="1" t="n">
        <v>45093</v>
      </c>
      <c r="C65" s="1" t="n">
        <v>45568</v>
      </c>
      <c r="D65" t="inlineStr">
        <is>
          <t>UPPSALA LÄN</t>
        </is>
      </c>
      <c r="E65" t="inlineStr">
        <is>
          <t>ÄLVKARLEBY</t>
        </is>
      </c>
      <c r="F65" t="inlineStr">
        <is>
          <t>Bergvik skog väst AB</t>
        </is>
      </c>
      <c r="G65" t="n">
        <v>4.5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38306-2023</t>
        </is>
      </c>
      <c r="B66" s="1" t="n">
        <v>45161</v>
      </c>
      <c r="C66" s="1" t="n">
        <v>45568</v>
      </c>
      <c r="D66" t="inlineStr">
        <is>
          <t>UPPSALA LÄN</t>
        </is>
      </c>
      <c r="E66" t="inlineStr">
        <is>
          <t>ÄLVKARLEBY</t>
        </is>
      </c>
      <c r="F66" t="inlineStr">
        <is>
          <t>Bergvik skog väst AB</t>
        </is>
      </c>
      <c r="G66" t="n">
        <v>18.6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38226-2023</t>
        </is>
      </c>
      <c r="B67" s="1" t="n">
        <v>45161</v>
      </c>
      <c r="C67" s="1" t="n">
        <v>45568</v>
      </c>
      <c r="D67" t="inlineStr">
        <is>
          <t>UPPSALA LÄN</t>
        </is>
      </c>
      <c r="E67" t="inlineStr">
        <is>
          <t>ÄLVKARLEBY</t>
        </is>
      </c>
      <c r="F67" t="inlineStr">
        <is>
          <t>Bergvik skog väst AB</t>
        </is>
      </c>
      <c r="G67" t="n">
        <v>4.5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38454-2023</t>
        </is>
      </c>
      <c r="B68" s="1" t="n">
        <v>45162</v>
      </c>
      <c r="C68" s="1" t="n">
        <v>45568</v>
      </c>
      <c r="D68" t="inlineStr">
        <is>
          <t>UPPSALA LÄN</t>
        </is>
      </c>
      <c r="E68" t="inlineStr">
        <is>
          <t>ÄLVKARLEBY</t>
        </is>
      </c>
      <c r="F68" t="inlineStr">
        <is>
          <t>Bergvik skog väst AB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38453-2023</t>
        </is>
      </c>
      <c r="B69" s="1" t="n">
        <v>45162</v>
      </c>
      <c r="C69" s="1" t="n">
        <v>45568</v>
      </c>
      <c r="D69" t="inlineStr">
        <is>
          <t>UPPSALA LÄN</t>
        </is>
      </c>
      <c r="E69" t="inlineStr">
        <is>
          <t>ÄLVKARLEBY</t>
        </is>
      </c>
      <c r="F69" t="inlineStr">
        <is>
          <t>Bergvik skog väst AB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38461-2023</t>
        </is>
      </c>
      <c r="B70" s="1" t="n">
        <v>45162</v>
      </c>
      <c r="C70" s="1" t="n">
        <v>45568</v>
      </c>
      <c r="D70" t="inlineStr">
        <is>
          <t>UPPSALA LÄN</t>
        </is>
      </c>
      <c r="E70" t="inlineStr">
        <is>
          <t>ÄLVKARLEBY</t>
        </is>
      </c>
      <c r="F70" t="inlineStr">
        <is>
          <t>Bergvik skog väst AB</t>
        </is>
      </c>
      <c r="G70" t="n">
        <v>17.8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41000-2023</t>
        </is>
      </c>
      <c r="B71" s="1" t="n">
        <v>45173</v>
      </c>
      <c r="C71" s="1" t="n">
        <v>45568</v>
      </c>
      <c r="D71" t="inlineStr">
        <is>
          <t>UPPSALA LÄN</t>
        </is>
      </c>
      <c r="E71" t="inlineStr">
        <is>
          <t>ÄLVKARLEBY</t>
        </is>
      </c>
      <c r="F71" t="inlineStr">
        <is>
          <t>Bergvik skog väst AB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41263-2023</t>
        </is>
      </c>
      <c r="B72" s="1" t="n">
        <v>45174</v>
      </c>
      <c r="C72" s="1" t="n">
        <v>45568</v>
      </c>
      <c r="D72" t="inlineStr">
        <is>
          <t>UPPSALA LÄN</t>
        </is>
      </c>
      <c r="E72" t="inlineStr">
        <is>
          <t>ÄLVKARLEBY</t>
        </is>
      </c>
      <c r="F72" t="inlineStr">
        <is>
          <t>Bergvik skog väst AB</t>
        </is>
      </c>
      <c r="G72" t="n">
        <v>4.7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41272-2023</t>
        </is>
      </c>
      <c r="B73" s="1" t="n">
        <v>45174</v>
      </c>
      <c r="C73" s="1" t="n">
        <v>45568</v>
      </c>
      <c r="D73" t="inlineStr">
        <is>
          <t>UPPSALA LÄN</t>
        </is>
      </c>
      <c r="E73" t="inlineStr">
        <is>
          <t>ÄLVKARLEBY</t>
        </is>
      </c>
      <c r="F73" t="inlineStr">
        <is>
          <t>Bergvik skog väst AB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41276-2023</t>
        </is>
      </c>
      <c r="B74" s="1" t="n">
        <v>45174</v>
      </c>
      <c r="C74" s="1" t="n">
        <v>45568</v>
      </c>
      <c r="D74" t="inlineStr">
        <is>
          <t>UPPSALA LÄN</t>
        </is>
      </c>
      <c r="E74" t="inlineStr">
        <is>
          <t>ÄLVKARLEBY</t>
        </is>
      </c>
      <c r="F74" t="inlineStr">
        <is>
          <t>Bergvik skog väst AB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42600-2023</t>
        </is>
      </c>
      <c r="B75" s="1" t="n">
        <v>45181</v>
      </c>
      <c r="C75" s="1" t="n">
        <v>45568</v>
      </c>
      <c r="D75" t="inlineStr">
        <is>
          <t>UPPSALA LÄN</t>
        </is>
      </c>
      <c r="E75" t="inlineStr">
        <is>
          <t>ÄLVKARLEBY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  <c r="U75">
        <f>HYPERLINK("https://klasma.github.io/Logging_0319/knärot/A 42600-2023 karta knärot.png", "A 42600-2023")</f>
        <v/>
      </c>
      <c r="V75">
        <f>HYPERLINK("https://klasma.github.io/Logging_0319/klagomål/A 42600-2023 FSC-klagomål.docx", "A 42600-2023")</f>
        <v/>
      </c>
      <c r="W75">
        <f>HYPERLINK("https://klasma.github.io/Logging_0319/klagomålsmail/A 42600-2023 FSC-klagomål mail.docx", "A 42600-2023")</f>
        <v/>
      </c>
      <c r="X75">
        <f>HYPERLINK("https://klasma.github.io/Logging_0319/tillsyn/A 42600-2023 tillsynsbegäran.docx", "A 42600-2023")</f>
        <v/>
      </c>
      <c r="Y75">
        <f>HYPERLINK("https://klasma.github.io/Logging_0319/tillsynsmail/A 42600-2023 tillsynsbegäran mail.docx", "A 42600-2023")</f>
        <v/>
      </c>
    </row>
    <row r="76" ht="15" customHeight="1">
      <c r="A76" t="inlineStr">
        <is>
          <t>A 43285-2023</t>
        </is>
      </c>
      <c r="B76" s="1" t="n">
        <v>45183</v>
      </c>
      <c r="C76" s="1" t="n">
        <v>45568</v>
      </c>
      <c r="D76" t="inlineStr">
        <is>
          <t>UPPSALA LÄN</t>
        </is>
      </c>
      <c r="E76" t="inlineStr">
        <is>
          <t>ÄLVKARLEBY</t>
        </is>
      </c>
      <c r="F76" t="inlineStr">
        <is>
          <t>Bergvik skog väst AB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43288-2023</t>
        </is>
      </c>
      <c r="B77" s="1" t="n">
        <v>45183</v>
      </c>
      <c r="C77" s="1" t="n">
        <v>45568</v>
      </c>
      <c r="D77" t="inlineStr">
        <is>
          <t>UPPSALA LÄN</t>
        </is>
      </c>
      <c r="E77" t="inlineStr">
        <is>
          <t>ÄLVKARLEBY</t>
        </is>
      </c>
      <c r="F77" t="inlineStr">
        <is>
          <t>Bergvik skog väst AB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45527-2023</t>
        </is>
      </c>
      <c r="B78" s="1" t="n">
        <v>45194</v>
      </c>
      <c r="C78" s="1" t="n">
        <v>45568</v>
      </c>
      <c r="D78" t="inlineStr">
        <is>
          <t>UPPSALA LÄN</t>
        </is>
      </c>
      <c r="E78" t="inlineStr">
        <is>
          <t>ÄLVKARLEBY</t>
        </is>
      </c>
      <c r="F78" t="inlineStr">
        <is>
          <t>Bergvik skog väst AB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45529-2023</t>
        </is>
      </c>
      <c r="B79" s="1" t="n">
        <v>45194</v>
      </c>
      <c r="C79" s="1" t="n">
        <v>45568</v>
      </c>
      <c r="D79" t="inlineStr">
        <is>
          <t>UPPSALA LÄN</t>
        </is>
      </c>
      <c r="E79" t="inlineStr">
        <is>
          <t>ÄLVKARLEBY</t>
        </is>
      </c>
      <c r="F79" t="inlineStr">
        <is>
          <t>Bergvik skog väst AB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45528-2023</t>
        </is>
      </c>
      <c r="B80" s="1" t="n">
        <v>45194</v>
      </c>
      <c r="C80" s="1" t="n">
        <v>45568</v>
      </c>
      <c r="D80" t="inlineStr">
        <is>
          <t>UPPSALA LÄN</t>
        </is>
      </c>
      <c r="E80" t="inlineStr">
        <is>
          <t>ÄLVKARLEBY</t>
        </is>
      </c>
      <c r="F80" t="inlineStr">
        <is>
          <t>Bergvik skog väst AB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45871-2023</t>
        </is>
      </c>
      <c r="B81" s="1" t="n">
        <v>45195</v>
      </c>
      <c r="C81" s="1" t="n">
        <v>45568</v>
      </c>
      <c r="D81" t="inlineStr">
        <is>
          <t>UPPSALA LÄN</t>
        </is>
      </c>
      <c r="E81" t="inlineStr">
        <is>
          <t>ÄLVKARLEBY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46113-2023</t>
        </is>
      </c>
      <c r="B82" s="1" t="n">
        <v>45196</v>
      </c>
      <c r="C82" s="1" t="n">
        <v>45568</v>
      </c>
      <c r="D82" t="inlineStr">
        <is>
          <t>UPPSALA LÄN</t>
        </is>
      </c>
      <c r="E82" t="inlineStr">
        <is>
          <t>ÄLVKARLEBY</t>
        </is>
      </c>
      <c r="F82" t="inlineStr">
        <is>
          <t>Bergvik skog väst AB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46106-2023</t>
        </is>
      </c>
      <c r="B83" s="1" t="n">
        <v>45196</v>
      </c>
      <c r="C83" s="1" t="n">
        <v>45568</v>
      </c>
      <c r="D83" t="inlineStr">
        <is>
          <t>UPPSALA LÄN</t>
        </is>
      </c>
      <c r="E83" t="inlineStr">
        <is>
          <t>ÄLVKARLEBY</t>
        </is>
      </c>
      <c r="F83" t="inlineStr">
        <is>
          <t>Bergvik skog väst AB</t>
        </is>
      </c>
      <c r="G83" t="n">
        <v>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46429-2023</t>
        </is>
      </c>
      <c r="B84" s="1" t="n">
        <v>45197</v>
      </c>
      <c r="C84" s="1" t="n">
        <v>45568</v>
      </c>
      <c r="D84" t="inlineStr">
        <is>
          <t>UPPSALA LÄN</t>
        </is>
      </c>
      <c r="E84" t="inlineStr">
        <is>
          <t>ÄLVKARLEBY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46436-2023</t>
        </is>
      </c>
      <c r="B85" s="1" t="n">
        <v>45197</v>
      </c>
      <c r="C85" s="1" t="n">
        <v>45568</v>
      </c>
      <c r="D85" t="inlineStr">
        <is>
          <t>UPPSALA LÄN</t>
        </is>
      </c>
      <c r="E85" t="inlineStr">
        <is>
          <t>ÄLVKARLEBY</t>
        </is>
      </c>
      <c r="F85" t="inlineStr">
        <is>
          <t>Bergvik skog väst AB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46477-2023</t>
        </is>
      </c>
      <c r="B86" s="1" t="n">
        <v>45197</v>
      </c>
      <c r="C86" s="1" t="n">
        <v>45568</v>
      </c>
      <c r="D86" t="inlineStr">
        <is>
          <t>UPPSALA LÄN</t>
        </is>
      </c>
      <c r="E86" t="inlineStr">
        <is>
          <t>ÄLVKARLEBY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47548-2023</t>
        </is>
      </c>
      <c r="B87" s="1" t="n">
        <v>45203</v>
      </c>
      <c r="C87" s="1" t="n">
        <v>45568</v>
      </c>
      <c r="D87" t="inlineStr">
        <is>
          <t>UPPSALA LÄN</t>
        </is>
      </c>
      <c r="E87" t="inlineStr">
        <is>
          <t>ÄLVKARLEBY</t>
        </is>
      </c>
      <c r="F87" t="inlineStr">
        <is>
          <t>Bergvik skog väst AB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47570-2023</t>
        </is>
      </c>
      <c r="B88" s="1" t="n">
        <v>45203</v>
      </c>
      <c r="C88" s="1" t="n">
        <v>45568</v>
      </c>
      <c r="D88" t="inlineStr">
        <is>
          <t>UPPSALA LÄN</t>
        </is>
      </c>
      <c r="E88" t="inlineStr">
        <is>
          <t>ÄLVKARLEBY</t>
        </is>
      </c>
      <c r="F88" t="inlineStr">
        <is>
          <t>Bergvik skog väst AB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47554-2023</t>
        </is>
      </c>
      <c r="B89" s="1" t="n">
        <v>45203</v>
      </c>
      <c r="C89" s="1" t="n">
        <v>45568</v>
      </c>
      <c r="D89" t="inlineStr">
        <is>
          <t>UPPSALA LÄN</t>
        </is>
      </c>
      <c r="E89" t="inlineStr">
        <is>
          <t>ÄLVKARLEBY</t>
        </is>
      </c>
      <c r="F89" t="inlineStr">
        <is>
          <t>Bergvik skog väst AB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47559-2023</t>
        </is>
      </c>
      <c r="B90" s="1" t="n">
        <v>45203</v>
      </c>
      <c r="C90" s="1" t="n">
        <v>45568</v>
      </c>
      <c r="D90" t="inlineStr">
        <is>
          <t>UPPSALA LÄN</t>
        </is>
      </c>
      <c r="E90" t="inlineStr">
        <is>
          <t>ÄLVKARLEBY</t>
        </is>
      </c>
      <c r="F90" t="inlineStr">
        <is>
          <t>Bergvik skog väst AB</t>
        </is>
      </c>
      <c r="G90" t="n">
        <v>4.9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48614-2023</t>
        </is>
      </c>
      <c r="B91" s="1" t="n">
        <v>45208</v>
      </c>
      <c r="C91" s="1" t="n">
        <v>45568</v>
      </c>
      <c r="D91" t="inlineStr">
        <is>
          <t>UPPSALA LÄN</t>
        </is>
      </c>
      <c r="E91" t="inlineStr">
        <is>
          <t>ÄLVKARLEBY</t>
        </is>
      </c>
      <c r="F91" t="inlineStr">
        <is>
          <t>Bergvik skog öst AB</t>
        </is>
      </c>
      <c r="G91" t="n">
        <v>5.4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48620-2023</t>
        </is>
      </c>
      <c r="B92" s="1" t="n">
        <v>45208</v>
      </c>
      <c r="C92" s="1" t="n">
        <v>45568</v>
      </c>
      <c r="D92" t="inlineStr">
        <is>
          <t>UPPSALA LÄN</t>
        </is>
      </c>
      <c r="E92" t="inlineStr">
        <is>
          <t>ÄLVKARLEBY</t>
        </is>
      </c>
      <c r="F92" t="inlineStr">
        <is>
          <t>Bergvik skog öst AB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48674-2023</t>
        </is>
      </c>
      <c r="B93" s="1" t="n">
        <v>45208</v>
      </c>
      <c r="C93" s="1" t="n">
        <v>45568</v>
      </c>
      <c r="D93" t="inlineStr">
        <is>
          <t>UPPSALA LÄN</t>
        </is>
      </c>
      <c r="E93" t="inlineStr">
        <is>
          <t>ÄLVKARLEBY</t>
        </is>
      </c>
      <c r="F93" t="inlineStr">
        <is>
          <t>Bergvik skog öst AB</t>
        </is>
      </c>
      <c r="G93" t="n">
        <v>15.5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49432-2023</t>
        </is>
      </c>
      <c r="B94" s="1" t="n">
        <v>45211</v>
      </c>
      <c r="C94" s="1" t="n">
        <v>45568</v>
      </c>
      <c r="D94" t="inlineStr">
        <is>
          <t>UPPSALA LÄN</t>
        </is>
      </c>
      <c r="E94" t="inlineStr">
        <is>
          <t>ÄLVKARLEBY</t>
        </is>
      </c>
      <c r="F94" t="inlineStr">
        <is>
          <t>Bergvik skog väst AB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50048-2023</t>
        </is>
      </c>
      <c r="B95" s="1" t="n">
        <v>45215</v>
      </c>
      <c r="C95" s="1" t="n">
        <v>45568</v>
      </c>
      <c r="D95" t="inlineStr">
        <is>
          <t>UPPSALA LÄN</t>
        </is>
      </c>
      <c r="E95" t="inlineStr">
        <is>
          <t>ÄLVKARLEBY</t>
        </is>
      </c>
      <c r="F95" t="inlineStr">
        <is>
          <t>Bergvik skog väst AB</t>
        </is>
      </c>
      <c r="G95" t="n">
        <v>5.8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54858-2023</t>
        </is>
      </c>
      <c r="B96" s="1" t="n">
        <v>45236</v>
      </c>
      <c r="C96" s="1" t="n">
        <v>45568</v>
      </c>
      <c r="D96" t="inlineStr">
        <is>
          <t>UPPSALA LÄN</t>
        </is>
      </c>
      <c r="E96" t="inlineStr">
        <is>
          <t>ÄLVKARLEBY</t>
        </is>
      </c>
      <c r="F96" t="inlineStr">
        <is>
          <t>Bergvik skog öst AB</t>
        </is>
      </c>
      <c r="G96" t="n">
        <v>13.3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59004-2023</t>
        </is>
      </c>
      <c r="B97" s="1" t="n">
        <v>45252</v>
      </c>
      <c r="C97" s="1" t="n">
        <v>45568</v>
      </c>
      <c r="D97" t="inlineStr">
        <is>
          <t>UPPSALA LÄN</t>
        </is>
      </c>
      <c r="E97" t="inlineStr">
        <is>
          <t>ÄLVKARLEBY</t>
        </is>
      </c>
      <c r="F97" t="inlineStr">
        <is>
          <t>Bergvik skog öst AB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60151-2023</t>
        </is>
      </c>
      <c r="B98" s="1" t="n">
        <v>45258</v>
      </c>
      <c r="C98" s="1" t="n">
        <v>45568</v>
      </c>
      <c r="D98" t="inlineStr">
        <is>
          <t>UPPSALA LÄN</t>
        </is>
      </c>
      <c r="E98" t="inlineStr">
        <is>
          <t>ÄLVKARLEBY</t>
        </is>
      </c>
      <c r="F98" t="inlineStr">
        <is>
          <t>Bergvik skog väst AB</t>
        </is>
      </c>
      <c r="G98" t="n">
        <v>32.2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60455-2023</t>
        </is>
      </c>
      <c r="B99" s="1" t="n">
        <v>45259</v>
      </c>
      <c r="C99" s="1" t="n">
        <v>45568</v>
      </c>
      <c r="D99" t="inlineStr">
        <is>
          <t>UPPSALA LÄN</t>
        </is>
      </c>
      <c r="E99" t="inlineStr">
        <is>
          <t>ÄLVKARLEBY</t>
        </is>
      </c>
      <c r="F99" t="inlineStr">
        <is>
          <t>Bergvik skog öst AB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895-2024</t>
        </is>
      </c>
      <c r="B100" s="1" t="n">
        <v>45301</v>
      </c>
      <c r="C100" s="1" t="n">
        <v>45568</v>
      </c>
      <c r="D100" t="inlineStr">
        <is>
          <t>UPPSALA LÄN</t>
        </is>
      </c>
      <c r="E100" t="inlineStr">
        <is>
          <t>ÄLVKARLEBY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996-2024</t>
        </is>
      </c>
      <c r="B101" s="1" t="n">
        <v>45301</v>
      </c>
      <c r="C101" s="1" t="n">
        <v>45568</v>
      </c>
      <c r="D101" t="inlineStr">
        <is>
          <t>UPPSALA LÄN</t>
        </is>
      </c>
      <c r="E101" t="inlineStr">
        <is>
          <t>ÄLVKARLEBY</t>
        </is>
      </c>
      <c r="F101" t="inlineStr">
        <is>
          <t>Bergvik skog väst AB</t>
        </is>
      </c>
      <c r="G101" t="n">
        <v>5.6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2183-2024</t>
        </is>
      </c>
      <c r="B102" s="1" t="n">
        <v>45309</v>
      </c>
      <c r="C102" s="1" t="n">
        <v>45568</v>
      </c>
      <c r="D102" t="inlineStr">
        <is>
          <t>UPPSALA LÄN</t>
        </is>
      </c>
      <c r="E102" t="inlineStr">
        <is>
          <t>ÄLVKARLEBY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2184-2024</t>
        </is>
      </c>
      <c r="B103" s="1" t="n">
        <v>45309</v>
      </c>
      <c r="C103" s="1" t="n">
        <v>45568</v>
      </c>
      <c r="D103" t="inlineStr">
        <is>
          <t>UPPSALA LÄN</t>
        </is>
      </c>
      <c r="E103" t="inlineStr">
        <is>
          <t>ÄLVKARLEBY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19300-2024</t>
        </is>
      </c>
      <c r="B104" s="1" t="n">
        <v>45428</v>
      </c>
      <c r="C104" s="1" t="n">
        <v>45568</v>
      </c>
      <c r="D104" t="inlineStr">
        <is>
          <t>UPPSALA LÄN</t>
        </is>
      </c>
      <c r="E104" t="inlineStr">
        <is>
          <t>ÄLVKARLEBY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19304-2024</t>
        </is>
      </c>
      <c r="B105" s="1" t="n">
        <v>45428</v>
      </c>
      <c r="C105" s="1" t="n">
        <v>45568</v>
      </c>
      <c r="D105" t="inlineStr">
        <is>
          <t>UPPSALA LÄN</t>
        </is>
      </c>
      <c r="E105" t="inlineStr">
        <is>
          <t>ÄLVKARLEBY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19303-2024</t>
        </is>
      </c>
      <c r="B106" s="1" t="n">
        <v>45428</v>
      </c>
      <c r="C106" s="1" t="n">
        <v>45568</v>
      </c>
      <c r="D106" t="inlineStr">
        <is>
          <t>UPPSALA LÄN</t>
        </is>
      </c>
      <c r="E106" t="inlineStr">
        <is>
          <t>ÄLVKARLEBY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19298-2024</t>
        </is>
      </c>
      <c r="B107" s="1" t="n">
        <v>45428</v>
      </c>
      <c r="C107" s="1" t="n">
        <v>45568</v>
      </c>
      <c r="D107" t="inlineStr">
        <is>
          <t>UPPSALA LÄN</t>
        </is>
      </c>
      <c r="E107" t="inlineStr">
        <is>
          <t>ÄLVKARLEBY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29899-2024</t>
        </is>
      </c>
      <c r="B108" s="1" t="n">
        <v>45487</v>
      </c>
      <c r="C108" s="1" t="n">
        <v>45568</v>
      </c>
      <c r="D108" t="inlineStr">
        <is>
          <t>UPPSALA LÄN</t>
        </is>
      </c>
      <c r="E108" t="inlineStr">
        <is>
          <t>ÄLVKARLEBY</t>
        </is>
      </c>
      <c r="F108" t="inlineStr">
        <is>
          <t>Bergvik skog väst AB</t>
        </is>
      </c>
      <c r="G108" t="n">
        <v>7.1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33781-2024</t>
        </is>
      </c>
      <c r="B109" s="1" t="n">
        <v>45520</v>
      </c>
      <c r="C109" s="1" t="n">
        <v>45568</v>
      </c>
      <c r="D109" t="inlineStr">
        <is>
          <t>UPPSALA LÄN</t>
        </is>
      </c>
      <c r="E109" t="inlineStr">
        <is>
          <t>ÄLVKARLEBY</t>
        </is>
      </c>
      <c r="F109" t="inlineStr">
        <is>
          <t>Bergvik skog väst AB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34963-2024</t>
        </is>
      </c>
      <c r="B110" s="1" t="n">
        <v>45527</v>
      </c>
      <c r="C110" s="1" t="n">
        <v>45568</v>
      </c>
      <c r="D110" t="inlineStr">
        <is>
          <t>UPPSALA LÄN</t>
        </is>
      </c>
      <c r="E110" t="inlineStr">
        <is>
          <t>ÄLVKARLEBY</t>
        </is>
      </c>
      <c r="F110" t="inlineStr">
        <is>
          <t>Bergvik skog väst AB</t>
        </is>
      </c>
      <c r="G110" t="n">
        <v>8.1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35832-2024</t>
        </is>
      </c>
      <c r="B111" s="1" t="n">
        <v>45532</v>
      </c>
      <c r="C111" s="1" t="n">
        <v>45568</v>
      </c>
      <c r="D111" t="inlineStr">
        <is>
          <t>UPPSALA LÄN</t>
        </is>
      </c>
      <c r="E111" t="inlineStr">
        <is>
          <t>ÄLVKARLEBY</t>
        </is>
      </c>
      <c r="F111" t="inlineStr">
        <is>
          <t>Bergvik skog väst AB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38217-2024</t>
        </is>
      </c>
      <c r="B112" s="1" t="n">
        <v>45545</v>
      </c>
      <c r="C112" s="1" t="n">
        <v>45568</v>
      </c>
      <c r="D112" t="inlineStr">
        <is>
          <t>UPPSALA LÄN</t>
        </is>
      </c>
      <c r="E112" t="inlineStr">
        <is>
          <t>ÄLVKARLEBY</t>
        </is>
      </c>
      <c r="F112" t="inlineStr">
        <is>
          <t>Bergvik skog väst AB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38195-2024</t>
        </is>
      </c>
      <c r="B113" s="1" t="n">
        <v>45545</v>
      </c>
      <c r="C113" s="1" t="n">
        <v>45568</v>
      </c>
      <c r="D113" t="inlineStr">
        <is>
          <t>UPPSALA LÄN</t>
        </is>
      </c>
      <c r="E113" t="inlineStr">
        <is>
          <t>ÄLVKARLEBY</t>
        </is>
      </c>
      <c r="F113" t="inlineStr">
        <is>
          <t>Bergvik skog väst AB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38199-2024</t>
        </is>
      </c>
      <c r="B114" s="1" t="n">
        <v>45545</v>
      </c>
      <c r="C114" s="1" t="n">
        <v>45568</v>
      </c>
      <c r="D114" t="inlineStr">
        <is>
          <t>UPPSALA LÄN</t>
        </is>
      </c>
      <c r="E114" t="inlineStr">
        <is>
          <t>ÄLVKARLEBY</t>
        </is>
      </c>
      <c r="F114" t="inlineStr">
        <is>
          <t>Bergvik skog väst AB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41121-2024</t>
        </is>
      </c>
      <c r="B115" s="1" t="n">
        <v>45559</v>
      </c>
      <c r="C115" s="1" t="n">
        <v>45568</v>
      </c>
      <c r="D115" t="inlineStr">
        <is>
          <t>UPPSALA LÄN</t>
        </is>
      </c>
      <c r="E115" t="inlineStr">
        <is>
          <t>ÄLVKARLEBY</t>
        </is>
      </c>
      <c r="F115" t="inlineStr">
        <is>
          <t>Bergvik skog väst AB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41894-2024</t>
        </is>
      </c>
      <c r="B116" s="1" t="n">
        <v>45561</v>
      </c>
      <c r="C116" s="1" t="n">
        <v>45568</v>
      </c>
      <c r="D116" t="inlineStr">
        <is>
          <t>UPPSALA LÄN</t>
        </is>
      </c>
      <c r="E116" t="inlineStr">
        <is>
          <t>ÄLVKARLEBY</t>
        </is>
      </c>
      <c r="F116" t="inlineStr">
        <is>
          <t>Bergvik skog väst AB</t>
        </is>
      </c>
      <c r="G116" t="n">
        <v>5.6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41898-2024</t>
        </is>
      </c>
      <c r="B117" s="1" t="n">
        <v>45561</v>
      </c>
      <c r="C117" s="1" t="n">
        <v>45568</v>
      </c>
      <c r="D117" t="inlineStr">
        <is>
          <t>UPPSALA LÄN</t>
        </is>
      </c>
      <c r="E117" t="inlineStr">
        <is>
          <t>ÄLVKARLEBY</t>
        </is>
      </c>
      <c r="F117" t="inlineStr">
        <is>
          <t>Bergvik skog väst AB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41929-2024</t>
        </is>
      </c>
      <c r="B118" s="1" t="n">
        <v>45561</v>
      </c>
      <c r="C118" s="1" t="n">
        <v>45568</v>
      </c>
      <c r="D118" t="inlineStr">
        <is>
          <t>UPPSALA LÄN</t>
        </is>
      </c>
      <c r="E118" t="inlineStr">
        <is>
          <t>ÄLVKARLEBY</t>
        </is>
      </c>
      <c r="F118" t="inlineStr">
        <is>
          <t>Bergvik skog väst AB</t>
        </is>
      </c>
      <c r="G118" t="n">
        <v>4.9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>
      <c r="A119" t="inlineStr">
        <is>
          <t>A 41979-2024</t>
        </is>
      </c>
      <c r="B119" s="1" t="n">
        <v>45561</v>
      </c>
      <c r="C119" s="1" t="n">
        <v>45568</v>
      </c>
      <c r="D119" t="inlineStr">
        <is>
          <t>UPPSALA LÄN</t>
        </is>
      </c>
      <c r="E119" t="inlineStr">
        <is>
          <t>ÄLVKARLEBY</t>
        </is>
      </c>
      <c r="F119" t="inlineStr">
        <is>
          <t>Bergvik skog väst AB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2024-10-03T12:31:19Z</dcterms:created>
  <dcterms:modified xmlns:dcterms="http://purl.org/dc/terms/" xmlns:xsi="http://www.w3.org/2001/XMLSchema-instance" xsi:type="dcterms:W3CDTF">2024-10-03T12:31:19Z</dcterms:modified>
</cp:coreProperties>
</file>