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46093</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46093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46093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46093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46093</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46093</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46093</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46093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46093</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46093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46093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46093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46093</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46093</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34798-2024</t>
        </is>
      </c>
      <c r="B16" s="1" t="n">
        <v>45526</v>
      </c>
      <c r="C16" s="1" t="n">
        <v>46093</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61693-2025</t>
        </is>
      </c>
      <c r="B17" s="1" t="n">
        <v>46002</v>
      </c>
      <c r="C17" s="1" t="n">
        <v>46093</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46093</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21007-2025</t>
        </is>
      </c>
      <c r="B19" s="1" t="n">
        <v>45777</v>
      </c>
      <c r="C19" s="1" t="n">
        <v>46093</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46093</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46093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9521-2025</t>
        </is>
      </c>
      <c r="B22" s="1" t="n">
        <v>45715.56259259259</v>
      </c>
      <c r="C22" s="1" t="n">
        <v>46093</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19300-2024</t>
        </is>
      </c>
      <c r="B23" s="1" t="n">
        <v>45428.70128472222</v>
      </c>
      <c r="C23" s="1" t="n">
        <v>46093</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47207-2025</t>
        </is>
      </c>
      <c r="B24" s="1" t="n">
        <v>45930.37263888889</v>
      </c>
      <c r="C24" s="1" t="n">
        <v>46093</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51238-2025</t>
        </is>
      </c>
      <c r="B25" s="1" t="n">
        <v>45947.69753472223</v>
      </c>
      <c r="C25" s="1" t="n">
        <v>46093</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21700-2024</t>
        </is>
      </c>
      <c r="B26" s="1" t="n">
        <v>45442</v>
      </c>
      <c r="C26" s="1" t="n">
        <v>46093</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10455-2022</t>
        </is>
      </c>
      <c r="B27" s="1" t="n">
        <v>44623</v>
      </c>
      <c r="C27" s="1" t="n">
        <v>46093</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59993-2025</t>
        </is>
      </c>
      <c r="B28" s="1" t="n">
        <v>45993.56505787037</v>
      </c>
      <c r="C28" s="1" t="n">
        <v>46093</v>
      </c>
      <c r="D28" t="inlineStr">
        <is>
          <t>UPPSALA LÄN</t>
        </is>
      </c>
      <c r="E28" t="inlineStr">
        <is>
          <t>ÄLVKARLEBY</t>
        </is>
      </c>
      <c r="F28" t="inlineStr">
        <is>
          <t>Bergvik skog väst AB</t>
        </is>
      </c>
      <c r="G28" t="n">
        <v>18.6</v>
      </c>
      <c r="H28" t="n">
        <v>1</v>
      </c>
      <c r="I28" t="n">
        <v>1</v>
      </c>
      <c r="J28" t="n">
        <v>0</v>
      </c>
      <c r="K28" t="n">
        <v>0</v>
      </c>
      <c r="L28" t="n">
        <v>0</v>
      </c>
      <c r="M28" t="n">
        <v>0</v>
      </c>
      <c r="N28" t="n">
        <v>0</v>
      </c>
      <c r="O28" t="n">
        <v>0</v>
      </c>
      <c r="P28" t="n">
        <v>0</v>
      </c>
      <c r="Q28" t="n">
        <v>1</v>
      </c>
      <c r="R28" s="2" t="inlineStr">
        <is>
          <t>Skogsknipprot</t>
        </is>
      </c>
      <c r="S28">
        <f>HYPERLINK("https://klasma.github.io/Logging_0319/artfynd/A 59993-2025 artfynd.xlsx", "A 59993-2025")</f>
        <v/>
      </c>
      <c r="T28">
        <f>HYPERLINK("https://klasma.github.io/Logging_0319/kartor/A 59993-2025 karta.png", "A 59993-2025")</f>
        <v/>
      </c>
      <c r="V28">
        <f>HYPERLINK("https://klasma.github.io/Logging_0319/klagomål/A 59993-2025 FSC-klagomål.docx", "A 59993-2025")</f>
        <v/>
      </c>
      <c r="W28">
        <f>HYPERLINK("https://klasma.github.io/Logging_0319/klagomålsmail/A 59993-2025 FSC-klagomål mail.docx", "A 59993-2025")</f>
        <v/>
      </c>
      <c r="X28">
        <f>HYPERLINK("https://klasma.github.io/Logging_0319/tillsyn/A 59993-2025 tillsynsbegäran.docx", "A 59993-2025")</f>
        <v/>
      </c>
      <c r="Y28">
        <f>HYPERLINK("https://klasma.github.io/Logging_0319/tillsynsmail/A 59993-2025 tillsynsbegäran mail.docx", "A 59993-2025")</f>
        <v/>
      </c>
    </row>
    <row r="29" ht="15" customHeight="1">
      <c r="A29" t="inlineStr">
        <is>
          <t>A 4132-2026</t>
        </is>
      </c>
      <c r="B29" s="1" t="n">
        <v>46044.62596064815</v>
      </c>
      <c r="C29" s="1" t="n">
        <v>46093</v>
      </c>
      <c r="D29" t="inlineStr">
        <is>
          <t>UPPSALA LÄN</t>
        </is>
      </c>
      <c r="E29" t="inlineStr">
        <is>
          <t>ÄLVKARLEBY</t>
        </is>
      </c>
      <c r="F29" t="inlineStr">
        <is>
          <t>Bergvik skog öst AB</t>
        </is>
      </c>
      <c r="G29" t="n">
        <v>12.2</v>
      </c>
      <c r="H29" t="n">
        <v>1</v>
      </c>
      <c r="I29" t="n">
        <v>0</v>
      </c>
      <c r="J29" t="n">
        <v>0</v>
      </c>
      <c r="K29" t="n">
        <v>0</v>
      </c>
      <c r="L29" t="n">
        <v>0</v>
      </c>
      <c r="M29" t="n">
        <v>0</v>
      </c>
      <c r="N29" t="n">
        <v>0</v>
      </c>
      <c r="O29" t="n">
        <v>0</v>
      </c>
      <c r="P29" t="n">
        <v>0</v>
      </c>
      <c r="Q29" t="n">
        <v>1</v>
      </c>
      <c r="R29" s="2" t="inlineStr">
        <is>
          <t>Dubbelnycklar</t>
        </is>
      </c>
      <c r="S29">
        <f>HYPERLINK("https://klasma.github.io/Logging_0319/artfynd/A 4132-2026 artfynd.xlsx", "A 4132-2026")</f>
        <v/>
      </c>
      <c r="T29">
        <f>HYPERLINK("https://klasma.github.io/Logging_0319/kartor/A 4132-2026 karta.png", "A 4132-2026")</f>
        <v/>
      </c>
      <c r="V29">
        <f>HYPERLINK("https://klasma.github.io/Logging_0319/klagomål/A 4132-2026 FSC-klagomål.docx", "A 4132-2026")</f>
        <v/>
      </c>
      <c r="W29">
        <f>HYPERLINK("https://klasma.github.io/Logging_0319/klagomålsmail/A 4132-2026 FSC-klagomål mail.docx", "A 4132-2026")</f>
        <v/>
      </c>
      <c r="X29">
        <f>HYPERLINK("https://klasma.github.io/Logging_0319/tillsyn/A 4132-2026 tillsynsbegäran.docx", "A 4132-2026")</f>
        <v/>
      </c>
      <c r="Y29">
        <f>HYPERLINK("https://klasma.github.io/Logging_0319/tillsynsmail/A 4132-2026 tillsynsbegäran mail.docx", "A 4132-2026")</f>
        <v/>
      </c>
    </row>
    <row r="30" ht="15" customHeight="1">
      <c r="A30" t="inlineStr">
        <is>
          <t>A 36217-2022</t>
        </is>
      </c>
      <c r="B30" s="1" t="n">
        <v>44803</v>
      </c>
      <c r="C30" s="1" t="n">
        <v>46093</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46093</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46093</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36216-2022</t>
        </is>
      </c>
      <c r="B33" s="1" t="n">
        <v>44803</v>
      </c>
      <c r="C33" s="1" t="n">
        <v>46093</v>
      </c>
      <c r="D33" t="inlineStr">
        <is>
          <t>UPPSALA LÄN</t>
        </is>
      </c>
      <c r="E33" t="inlineStr">
        <is>
          <t>ÄLVKARLEBY</t>
        </is>
      </c>
      <c r="F33" t="inlineStr">
        <is>
          <t>Bergvik skog väst AB</t>
        </is>
      </c>
      <c r="G33" t="n">
        <v>0.5</v>
      </c>
      <c r="H33" t="n">
        <v>0</v>
      </c>
      <c r="I33" t="n">
        <v>0</v>
      </c>
      <c r="J33" t="n">
        <v>0</v>
      </c>
      <c r="K33" t="n">
        <v>0</v>
      </c>
      <c r="L33" t="n">
        <v>0</v>
      </c>
      <c r="M33" t="n">
        <v>0</v>
      </c>
      <c r="N33" t="n">
        <v>0</v>
      </c>
      <c r="O33" t="n">
        <v>0</v>
      </c>
      <c r="P33" t="n">
        <v>0</v>
      </c>
      <c r="Q33" t="n">
        <v>0</v>
      </c>
      <c r="R33" s="2" t="inlineStr"/>
    </row>
    <row r="34" ht="15" customHeight="1">
      <c r="A34" t="inlineStr">
        <is>
          <t>A 41272-2023</t>
        </is>
      </c>
      <c r="B34" s="1" t="n">
        <v>45174</v>
      </c>
      <c r="C34" s="1" t="n">
        <v>46093</v>
      </c>
      <c r="D34" t="inlineStr">
        <is>
          <t>UPPSALA LÄN</t>
        </is>
      </c>
      <c r="E34" t="inlineStr">
        <is>
          <t>ÄLVKARLEBY</t>
        </is>
      </c>
      <c r="F34" t="inlineStr">
        <is>
          <t>Bergvik skog väst AB</t>
        </is>
      </c>
      <c r="G34" t="n">
        <v>0.9</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46093</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19304-2024</t>
        </is>
      </c>
      <c r="B36" s="1" t="n">
        <v>45428</v>
      </c>
      <c r="C36" s="1" t="n">
        <v>46093</v>
      </c>
      <c r="D36" t="inlineStr">
        <is>
          <t>UPPSALA LÄN</t>
        </is>
      </c>
      <c r="E36" t="inlineStr">
        <is>
          <t>ÄLVKARLEBY</t>
        </is>
      </c>
      <c r="G36" t="n">
        <v>0.2</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46093</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19303-2024</t>
        </is>
      </c>
      <c r="B38" s="1" t="n">
        <v>45428.70386574074</v>
      </c>
      <c r="C38" s="1" t="n">
        <v>46093</v>
      </c>
      <c r="D38" t="inlineStr">
        <is>
          <t>UPPSALA LÄN</t>
        </is>
      </c>
      <c r="E38" t="inlineStr">
        <is>
          <t>ÄLVKARLEBY</t>
        </is>
      </c>
      <c r="G38" t="n">
        <v>0.4</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46093</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46093</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46093</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46093</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46093</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46093</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46093</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43285-2023</t>
        </is>
      </c>
      <c r="B46" s="1" t="n">
        <v>45183.5630787037</v>
      </c>
      <c r="C46" s="1" t="n">
        <v>46093</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3950-2025</t>
        </is>
      </c>
      <c r="B47" s="1" t="n">
        <v>45684</v>
      </c>
      <c r="C47" s="1" t="n">
        <v>46093</v>
      </c>
      <c r="D47" t="inlineStr">
        <is>
          <t>UPPSALA LÄN</t>
        </is>
      </c>
      <c r="E47" t="inlineStr">
        <is>
          <t>ÄLVKARLEBY</t>
        </is>
      </c>
      <c r="G47" t="n">
        <v>3.1</v>
      </c>
      <c r="H47" t="n">
        <v>0</v>
      </c>
      <c r="I47" t="n">
        <v>0</v>
      </c>
      <c r="J47" t="n">
        <v>0</v>
      </c>
      <c r="K47" t="n">
        <v>0</v>
      </c>
      <c r="L47" t="n">
        <v>0</v>
      </c>
      <c r="M47" t="n">
        <v>0</v>
      </c>
      <c r="N47" t="n">
        <v>0</v>
      </c>
      <c r="O47" t="n">
        <v>0</v>
      </c>
      <c r="P47" t="n">
        <v>0</v>
      </c>
      <c r="Q47" t="n">
        <v>0</v>
      </c>
      <c r="R47" s="2" t="inlineStr"/>
    </row>
    <row r="48" ht="15" customHeight="1">
      <c r="A48" t="inlineStr">
        <is>
          <t>A 45372-2024</t>
        </is>
      </c>
      <c r="B48" s="1" t="n">
        <v>45576.51116898148</v>
      </c>
      <c r="C48" s="1" t="n">
        <v>46093</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46093</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16990-2022</t>
        </is>
      </c>
      <c r="B50" s="1" t="n">
        <v>44676.6122337963</v>
      </c>
      <c r="C50" s="1" t="n">
        <v>46093</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36626-2025</t>
        </is>
      </c>
      <c r="B51" s="1" t="n">
        <v>45870.66732638889</v>
      </c>
      <c r="C51" s="1" t="n">
        <v>46093</v>
      </c>
      <c r="D51" t="inlineStr">
        <is>
          <t>UPPSALA LÄN</t>
        </is>
      </c>
      <c r="E51" t="inlineStr">
        <is>
          <t>ÄLVKARLEBY</t>
        </is>
      </c>
      <c r="F51" t="inlineStr">
        <is>
          <t>Bergvik skog väst AB</t>
        </is>
      </c>
      <c r="G51" t="n">
        <v>2.7</v>
      </c>
      <c r="H51" t="n">
        <v>0</v>
      </c>
      <c r="I51" t="n">
        <v>0</v>
      </c>
      <c r="J51" t="n">
        <v>0</v>
      </c>
      <c r="K51" t="n">
        <v>0</v>
      </c>
      <c r="L51" t="n">
        <v>0</v>
      </c>
      <c r="M51" t="n">
        <v>0</v>
      </c>
      <c r="N51" t="n">
        <v>0</v>
      </c>
      <c r="O51" t="n">
        <v>0</v>
      </c>
      <c r="P51" t="n">
        <v>0</v>
      </c>
      <c r="Q51" t="n">
        <v>0</v>
      </c>
      <c r="R51" s="2" t="inlineStr"/>
    </row>
    <row r="52" ht="15" customHeight="1">
      <c r="A52" t="inlineStr">
        <is>
          <t>A 45512-2025</t>
        </is>
      </c>
      <c r="B52" s="1" t="n">
        <v>45922.58106481482</v>
      </c>
      <c r="C52" s="1" t="n">
        <v>46093</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8030-2025</t>
        </is>
      </c>
      <c r="B53" s="1" t="n">
        <v>45707.59064814815</v>
      </c>
      <c r="C53" s="1" t="n">
        <v>46093</v>
      </c>
      <c r="D53" t="inlineStr">
        <is>
          <t>UPPSALA LÄN</t>
        </is>
      </c>
      <c r="E53" t="inlineStr">
        <is>
          <t>ÄLVKARLEBY</t>
        </is>
      </c>
      <c r="F53" t="inlineStr">
        <is>
          <t>Bergvik skog väst AB</t>
        </is>
      </c>
      <c r="G53" t="n">
        <v>3.6</v>
      </c>
      <c r="H53" t="n">
        <v>0</v>
      </c>
      <c r="I53" t="n">
        <v>0</v>
      </c>
      <c r="J53" t="n">
        <v>0</v>
      </c>
      <c r="K53" t="n">
        <v>0</v>
      </c>
      <c r="L53" t="n">
        <v>0</v>
      </c>
      <c r="M53" t="n">
        <v>0</v>
      </c>
      <c r="N53" t="n">
        <v>0</v>
      </c>
      <c r="O53" t="n">
        <v>0</v>
      </c>
      <c r="P53" t="n">
        <v>0</v>
      </c>
      <c r="Q53" t="n">
        <v>0</v>
      </c>
      <c r="R53" s="2" t="inlineStr"/>
    </row>
    <row r="54" ht="15" customHeight="1">
      <c r="A54" t="inlineStr">
        <is>
          <t>A 46510-2025</t>
        </is>
      </c>
      <c r="B54" s="1" t="n">
        <v>45925.92368055556</v>
      </c>
      <c r="C54" s="1" t="n">
        <v>46093</v>
      </c>
      <c r="D54" t="inlineStr">
        <is>
          <t>UPPSALA LÄN</t>
        </is>
      </c>
      <c r="E54" t="inlineStr">
        <is>
          <t>ÄLVKARLEBY</t>
        </is>
      </c>
      <c r="G54" t="n">
        <v>2.3</v>
      </c>
      <c r="H54" t="n">
        <v>0</v>
      </c>
      <c r="I54" t="n">
        <v>0</v>
      </c>
      <c r="J54" t="n">
        <v>0</v>
      </c>
      <c r="K54" t="n">
        <v>0</v>
      </c>
      <c r="L54" t="n">
        <v>0</v>
      </c>
      <c r="M54" t="n">
        <v>0</v>
      </c>
      <c r="N54" t="n">
        <v>0</v>
      </c>
      <c r="O54" t="n">
        <v>0</v>
      </c>
      <c r="P54" t="n">
        <v>0</v>
      </c>
      <c r="Q54" t="n">
        <v>0</v>
      </c>
      <c r="R54" s="2" t="inlineStr"/>
    </row>
    <row r="55" ht="15" customHeight="1">
      <c r="A55" t="inlineStr">
        <is>
          <t>A 46335-2025</t>
        </is>
      </c>
      <c r="B55" s="1" t="n">
        <v>45925.46199074074</v>
      </c>
      <c r="C55" s="1" t="n">
        <v>46093</v>
      </c>
      <c r="D55" t="inlineStr">
        <is>
          <t>UPPSALA LÄN</t>
        </is>
      </c>
      <c r="E55" t="inlineStr">
        <is>
          <t>ÄLVKARLEBY</t>
        </is>
      </c>
      <c r="G55" t="n">
        <v>1.3</v>
      </c>
      <c r="H55" t="n">
        <v>0</v>
      </c>
      <c r="I55" t="n">
        <v>0</v>
      </c>
      <c r="J55" t="n">
        <v>0</v>
      </c>
      <c r="K55" t="n">
        <v>0</v>
      </c>
      <c r="L55" t="n">
        <v>0</v>
      </c>
      <c r="M55" t="n">
        <v>0</v>
      </c>
      <c r="N55" t="n">
        <v>0</v>
      </c>
      <c r="O55" t="n">
        <v>0</v>
      </c>
      <c r="P55" t="n">
        <v>0</v>
      </c>
      <c r="Q55" t="n">
        <v>0</v>
      </c>
      <c r="R55" s="2" t="inlineStr"/>
    </row>
    <row r="56" ht="15" customHeight="1">
      <c r="A56" t="inlineStr">
        <is>
          <t>A 48460-2025</t>
        </is>
      </c>
      <c r="B56" s="1" t="n">
        <v>45935.94372685185</v>
      </c>
      <c r="C56" s="1" t="n">
        <v>46093</v>
      </c>
      <c r="D56" t="inlineStr">
        <is>
          <t>UPPSALA LÄN</t>
        </is>
      </c>
      <c r="E56" t="inlineStr">
        <is>
          <t>ÄLVKARLEBY</t>
        </is>
      </c>
      <c r="F56" t="inlineStr">
        <is>
          <t>Bergvik skog väst AB</t>
        </is>
      </c>
      <c r="G56" t="n">
        <v>1.2</v>
      </c>
      <c r="H56" t="n">
        <v>0</v>
      </c>
      <c r="I56" t="n">
        <v>0</v>
      </c>
      <c r="J56" t="n">
        <v>0</v>
      </c>
      <c r="K56" t="n">
        <v>0</v>
      </c>
      <c r="L56" t="n">
        <v>0</v>
      </c>
      <c r="M56" t="n">
        <v>0</v>
      </c>
      <c r="N56" t="n">
        <v>0</v>
      </c>
      <c r="O56" t="n">
        <v>0</v>
      </c>
      <c r="P56" t="n">
        <v>0</v>
      </c>
      <c r="Q56" t="n">
        <v>0</v>
      </c>
      <c r="R56" s="2" t="inlineStr"/>
    </row>
    <row r="57" ht="15" customHeight="1">
      <c r="A57" t="inlineStr">
        <is>
          <t>A 46113-2023</t>
        </is>
      </c>
      <c r="B57" s="1" t="n">
        <v>45196.54938657407</v>
      </c>
      <c r="C57" s="1" t="n">
        <v>46093</v>
      </c>
      <c r="D57" t="inlineStr">
        <is>
          <t>UPPSALA LÄN</t>
        </is>
      </c>
      <c r="E57" t="inlineStr">
        <is>
          <t>ÄLVKARLEBY</t>
        </is>
      </c>
      <c r="F57" t="inlineStr">
        <is>
          <t>Bergvik skog väst AB</t>
        </is>
      </c>
      <c r="G57" t="n">
        <v>0.6</v>
      </c>
      <c r="H57" t="n">
        <v>0</v>
      </c>
      <c r="I57" t="n">
        <v>0</v>
      </c>
      <c r="J57" t="n">
        <v>0</v>
      </c>
      <c r="K57" t="n">
        <v>0</v>
      </c>
      <c r="L57" t="n">
        <v>0</v>
      </c>
      <c r="M57" t="n">
        <v>0</v>
      </c>
      <c r="N57" t="n">
        <v>0</v>
      </c>
      <c r="O57" t="n">
        <v>0</v>
      </c>
      <c r="P57" t="n">
        <v>0</v>
      </c>
      <c r="Q57" t="n">
        <v>0</v>
      </c>
      <c r="R57" s="2" t="inlineStr"/>
    </row>
    <row r="58" ht="15" customHeight="1">
      <c r="A58" t="inlineStr">
        <is>
          <t>A 50398-2025</t>
        </is>
      </c>
      <c r="B58" s="1" t="n">
        <v>45944.62854166667</v>
      </c>
      <c r="C58" s="1" t="n">
        <v>46093</v>
      </c>
      <c r="D58" t="inlineStr">
        <is>
          <t>UPPSALA LÄN</t>
        </is>
      </c>
      <c r="E58" t="inlineStr">
        <is>
          <t>ÄLVKARLEBY</t>
        </is>
      </c>
      <c r="F58" t="inlineStr">
        <is>
          <t>Bergvik skog väst AB</t>
        </is>
      </c>
      <c r="G58" t="n">
        <v>4.4</v>
      </c>
      <c r="H58" t="n">
        <v>0</v>
      </c>
      <c r="I58" t="n">
        <v>0</v>
      </c>
      <c r="J58" t="n">
        <v>0</v>
      </c>
      <c r="K58" t="n">
        <v>0</v>
      </c>
      <c r="L58" t="n">
        <v>0</v>
      </c>
      <c r="M58" t="n">
        <v>0</v>
      </c>
      <c r="N58" t="n">
        <v>0</v>
      </c>
      <c r="O58" t="n">
        <v>0</v>
      </c>
      <c r="P58" t="n">
        <v>0</v>
      </c>
      <c r="Q58" t="n">
        <v>0</v>
      </c>
      <c r="R58" s="2" t="inlineStr"/>
    </row>
    <row r="59" ht="15" customHeight="1">
      <c r="A59" t="inlineStr">
        <is>
          <t>A 50371-2025</t>
        </is>
      </c>
      <c r="B59" s="1" t="n">
        <v>45944.58696759259</v>
      </c>
      <c r="C59" s="1" t="n">
        <v>46093</v>
      </c>
      <c r="D59" t="inlineStr">
        <is>
          <t>UPPSALA LÄN</t>
        </is>
      </c>
      <c r="E59" t="inlineStr">
        <is>
          <t>ÄLVKARLEBY</t>
        </is>
      </c>
      <c r="F59" t="inlineStr">
        <is>
          <t>Bergvik skog väst AB</t>
        </is>
      </c>
      <c r="G59" t="n">
        <v>1.4</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46093</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50138-2025</t>
        </is>
      </c>
      <c r="B61" s="1" t="n">
        <v>45943.5653125</v>
      </c>
      <c r="C61" s="1" t="n">
        <v>46093</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50869-2025</t>
        </is>
      </c>
      <c r="B62" s="1" t="n">
        <v>45946.60259259259</v>
      </c>
      <c r="C62" s="1" t="n">
        <v>46093</v>
      </c>
      <c r="D62" t="inlineStr">
        <is>
          <t>UPPSALA LÄN</t>
        </is>
      </c>
      <c r="E62" t="inlineStr">
        <is>
          <t>ÄLVKARLEBY</t>
        </is>
      </c>
      <c r="F62" t="inlineStr">
        <is>
          <t>Bergvik skog väst AB</t>
        </is>
      </c>
      <c r="G62" t="n">
        <v>11.4</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46093</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52477-2025</t>
        </is>
      </c>
      <c r="B64" s="1" t="n">
        <v>45954.46980324074</v>
      </c>
      <c r="C64" s="1" t="n">
        <v>46093</v>
      </c>
      <c r="D64" t="inlineStr">
        <is>
          <t>UPPSALA LÄN</t>
        </is>
      </c>
      <c r="E64" t="inlineStr">
        <is>
          <t>ÄLVKARLEBY</t>
        </is>
      </c>
      <c r="F64" t="inlineStr">
        <is>
          <t>Bergvik skog väst AB</t>
        </is>
      </c>
      <c r="G64" t="n">
        <v>5.3</v>
      </c>
      <c r="H64" t="n">
        <v>0</v>
      </c>
      <c r="I64" t="n">
        <v>0</v>
      </c>
      <c r="J64" t="n">
        <v>0</v>
      </c>
      <c r="K64" t="n">
        <v>0</v>
      </c>
      <c r="L64" t="n">
        <v>0</v>
      </c>
      <c r="M64" t="n">
        <v>0</v>
      </c>
      <c r="N64" t="n">
        <v>0</v>
      </c>
      <c r="O64" t="n">
        <v>0</v>
      </c>
      <c r="P64" t="n">
        <v>0</v>
      </c>
      <c r="Q64" t="n">
        <v>0</v>
      </c>
      <c r="R64" s="2" t="inlineStr"/>
    </row>
    <row r="65" ht="15" customHeight="1">
      <c r="A65" t="inlineStr">
        <is>
          <t>A 52498-2025</t>
        </is>
      </c>
      <c r="B65" s="1" t="n">
        <v>45954.49314814815</v>
      </c>
      <c r="C65" s="1" t="n">
        <v>46093</v>
      </c>
      <c r="D65" t="inlineStr">
        <is>
          <t>UPPSALA LÄN</t>
        </is>
      </c>
      <c r="E65" t="inlineStr">
        <is>
          <t>ÄLVKARLEBY</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41979-2024</t>
        </is>
      </c>
      <c r="B66" s="1" t="n">
        <v>45561</v>
      </c>
      <c r="C66" s="1" t="n">
        <v>46093</v>
      </c>
      <c r="D66" t="inlineStr">
        <is>
          <t>UPPSALA LÄN</t>
        </is>
      </c>
      <c r="E66" t="inlineStr">
        <is>
          <t>ÄLVKARLEBY</t>
        </is>
      </c>
      <c r="F66" t="inlineStr">
        <is>
          <t>Bergvik skog väst AB</t>
        </is>
      </c>
      <c r="G66" t="n">
        <v>2.8</v>
      </c>
      <c r="H66" t="n">
        <v>0</v>
      </c>
      <c r="I66" t="n">
        <v>0</v>
      </c>
      <c r="J66" t="n">
        <v>0</v>
      </c>
      <c r="K66" t="n">
        <v>0</v>
      </c>
      <c r="L66" t="n">
        <v>0</v>
      </c>
      <c r="M66" t="n">
        <v>0</v>
      </c>
      <c r="N66" t="n">
        <v>0</v>
      </c>
      <c r="O66" t="n">
        <v>0</v>
      </c>
      <c r="P66" t="n">
        <v>0</v>
      </c>
      <c r="Q66" t="n">
        <v>0</v>
      </c>
      <c r="R66" s="2" t="inlineStr"/>
    </row>
    <row r="67" ht="15" customHeight="1">
      <c r="A67" t="inlineStr">
        <is>
          <t>A 53173-2025</t>
        </is>
      </c>
      <c r="B67" s="1" t="n">
        <v>45958.51738425926</v>
      </c>
      <c r="C67" s="1" t="n">
        <v>46093</v>
      </c>
      <c r="D67" t="inlineStr">
        <is>
          <t>UPPSALA LÄN</t>
        </is>
      </c>
      <c r="E67" t="inlineStr">
        <is>
          <t>ÄLVKARLEBY</t>
        </is>
      </c>
      <c r="F67" t="inlineStr">
        <is>
          <t>Bergvik skog väst AB</t>
        </is>
      </c>
      <c r="G67" t="n">
        <v>2.3</v>
      </c>
      <c r="H67" t="n">
        <v>0</v>
      </c>
      <c r="I67" t="n">
        <v>0</v>
      </c>
      <c r="J67" t="n">
        <v>0</v>
      </c>
      <c r="K67" t="n">
        <v>0</v>
      </c>
      <c r="L67" t="n">
        <v>0</v>
      </c>
      <c r="M67" t="n">
        <v>0</v>
      </c>
      <c r="N67" t="n">
        <v>0</v>
      </c>
      <c r="O67" t="n">
        <v>0</v>
      </c>
      <c r="P67" t="n">
        <v>0</v>
      </c>
      <c r="Q67" t="n">
        <v>0</v>
      </c>
      <c r="R67" s="2" t="inlineStr"/>
    </row>
    <row r="68" ht="15" customHeight="1">
      <c r="A68" t="inlineStr">
        <is>
          <t>A 53184-2025</t>
        </is>
      </c>
      <c r="B68" s="1" t="n">
        <v>45958</v>
      </c>
      <c r="C68" s="1" t="n">
        <v>46093</v>
      </c>
      <c r="D68" t="inlineStr">
        <is>
          <t>UPPSALA LÄN</t>
        </is>
      </c>
      <c r="E68" t="inlineStr">
        <is>
          <t>ÄLVKARLEBY</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8031-2025</t>
        </is>
      </c>
      <c r="B69" s="1" t="n">
        <v>45707.59112268518</v>
      </c>
      <c r="C69" s="1" t="n">
        <v>46093</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46093</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39791-2021</t>
        </is>
      </c>
      <c r="B71" s="1" t="n">
        <v>44417</v>
      </c>
      <c r="C71" s="1" t="n">
        <v>46093</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26815-2022</t>
        </is>
      </c>
      <c r="B72" s="1" t="n">
        <v>44740.44644675926</v>
      </c>
      <c r="C72" s="1" t="n">
        <v>46093</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41276-2023</t>
        </is>
      </c>
      <c r="B73" s="1" t="n">
        <v>45174</v>
      </c>
      <c r="C73" s="1" t="n">
        <v>46093</v>
      </c>
      <c r="D73" t="inlineStr">
        <is>
          <t>UPPSALA LÄN</t>
        </is>
      </c>
      <c r="E73" t="inlineStr">
        <is>
          <t>ÄLVKARLEBY</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56861-2025</t>
        </is>
      </c>
      <c r="B74" s="1" t="n">
        <v>45978.50824074074</v>
      </c>
      <c r="C74" s="1" t="n">
        <v>46093</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19740-2025</t>
        </is>
      </c>
      <c r="B75" s="1" t="n">
        <v>45771</v>
      </c>
      <c r="C75" s="1" t="n">
        <v>46093</v>
      </c>
      <c r="D75" t="inlineStr">
        <is>
          <t>UPPSALA LÄN</t>
        </is>
      </c>
      <c r="E75" t="inlineStr">
        <is>
          <t>ÄLVKARLEBY</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41929-2024</t>
        </is>
      </c>
      <c r="B76" s="1" t="n">
        <v>45561</v>
      </c>
      <c r="C76" s="1" t="n">
        <v>46093</v>
      </c>
      <c r="D76" t="inlineStr">
        <is>
          <t>UPPSALA LÄN</t>
        </is>
      </c>
      <c r="E76" t="inlineStr">
        <is>
          <t>ÄLVKARLEBY</t>
        </is>
      </c>
      <c r="F76" t="inlineStr">
        <is>
          <t>Bergvik skog väst AB</t>
        </is>
      </c>
      <c r="G76" t="n">
        <v>4.9</v>
      </c>
      <c r="H76" t="n">
        <v>0</v>
      </c>
      <c r="I76" t="n">
        <v>0</v>
      </c>
      <c r="J76" t="n">
        <v>0</v>
      </c>
      <c r="K76" t="n">
        <v>0</v>
      </c>
      <c r="L76" t="n">
        <v>0</v>
      </c>
      <c r="M76" t="n">
        <v>0</v>
      </c>
      <c r="N76" t="n">
        <v>0</v>
      </c>
      <c r="O76" t="n">
        <v>0</v>
      </c>
      <c r="P76" t="n">
        <v>0</v>
      </c>
      <c r="Q76" t="n">
        <v>0</v>
      </c>
      <c r="R76" s="2" t="inlineStr"/>
    </row>
    <row r="77" ht="15" customHeight="1">
      <c r="A77" t="inlineStr">
        <is>
          <t>A 58168-2025</t>
        </is>
      </c>
      <c r="B77" s="1" t="n">
        <v>45982.72024305556</v>
      </c>
      <c r="C77" s="1" t="n">
        <v>46093</v>
      </c>
      <c r="D77" t="inlineStr">
        <is>
          <t>UPPSALA LÄN</t>
        </is>
      </c>
      <c r="E77" t="inlineStr">
        <is>
          <t>ÄLVKARLEBY</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46093</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58497-2025</t>
        </is>
      </c>
      <c r="B79" s="1" t="n">
        <v>45985.67912037037</v>
      </c>
      <c r="C79" s="1" t="n">
        <v>46093</v>
      </c>
      <c r="D79" t="inlineStr">
        <is>
          <t>UPPSALA LÄN</t>
        </is>
      </c>
      <c r="E79" t="inlineStr">
        <is>
          <t>ÄLVKARLEBY</t>
        </is>
      </c>
      <c r="F79" t="inlineStr">
        <is>
          <t>Bergvik skog väst AB</t>
        </is>
      </c>
      <c r="G79" t="n">
        <v>4.6</v>
      </c>
      <c r="H79" t="n">
        <v>0</v>
      </c>
      <c r="I79" t="n">
        <v>0</v>
      </c>
      <c r="J79" t="n">
        <v>0</v>
      </c>
      <c r="K79" t="n">
        <v>0</v>
      </c>
      <c r="L79" t="n">
        <v>0</v>
      </c>
      <c r="M79" t="n">
        <v>0</v>
      </c>
      <c r="N79" t="n">
        <v>0</v>
      </c>
      <c r="O79" t="n">
        <v>0</v>
      </c>
      <c r="P79" t="n">
        <v>0</v>
      </c>
      <c r="Q79" t="n">
        <v>0</v>
      </c>
      <c r="R79" s="2" t="inlineStr"/>
    </row>
    <row r="80" ht="15" customHeight="1">
      <c r="A80" t="inlineStr">
        <is>
          <t>A 18451-2025</t>
        </is>
      </c>
      <c r="B80" s="1" t="n">
        <v>45762</v>
      </c>
      <c r="C80" s="1" t="n">
        <v>46093</v>
      </c>
      <c r="D80" t="inlineStr">
        <is>
          <t>UPPSALA LÄN</t>
        </is>
      </c>
      <c r="E80" t="inlineStr">
        <is>
          <t>ÄLVKARLEBY</t>
        </is>
      </c>
      <c r="F80" t="inlineStr">
        <is>
          <t>Bergvik skog väst AB</t>
        </is>
      </c>
      <c r="G80" t="n">
        <v>1.2</v>
      </c>
      <c r="H80" t="n">
        <v>0</v>
      </c>
      <c r="I80" t="n">
        <v>0</v>
      </c>
      <c r="J80" t="n">
        <v>0</v>
      </c>
      <c r="K80" t="n">
        <v>0</v>
      </c>
      <c r="L80" t="n">
        <v>0</v>
      </c>
      <c r="M80" t="n">
        <v>0</v>
      </c>
      <c r="N80" t="n">
        <v>0</v>
      </c>
      <c r="O80" t="n">
        <v>0</v>
      </c>
      <c r="P80" t="n">
        <v>0</v>
      </c>
      <c r="Q80" t="n">
        <v>0</v>
      </c>
      <c r="R80" s="2" t="inlineStr"/>
    </row>
    <row r="81" ht="15" customHeight="1">
      <c r="A81" t="inlineStr">
        <is>
          <t>A 19862-2025</t>
        </is>
      </c>
      <c r="B81" s="1" t="n">
        <v>45771.53560185185</v>
      </c>
      <c r="C81" s="1" t="n">
        <v>46093</v>
      </c>
      <c r="D81" t="inlineStr">
        <is>
          <t>UPPSALA LÄN</t>
        </is>
      </c>
      <c r="E81" t="inlineStr">
        <is>
          <t>ÄLVKARLEBY</t>
        </is>
      </c>
      <c r="F81" t="inlineStr">
        <is>
          <t>Kyrkan</t>
        </is>
      </c>
      <c r="G81" t="n">
        <v>3</v>
      </c>
      <c r="H81" t="n">
        <v>0</v>
      </c>
      <c r="I81" t="n">
        <v>0</v>
      </c>
      <c r="J81" t="n">
        <v>0</v>
      </c>
      <c r="K81" t="n">
        <v>0</v>
      </c>
      <c r="L81" t="n">
        <v>0</v>
      </c>
      <c r="M81" t="n">
        <v>0</v>
      </c>
      <c r="N81" t="n">
        <v>0</v>
      </c>
      <c r="O81" t="n">
        <v>0</v>
      </c>
      <c r="P81" t="n">
        <v>0</v>
      </c>
      <c r="Q81" t="n">
        <v>0</v>
      </c>
      <c r="R81" s="2" t="inlineStr"/>
    </row>
    <row r="82" ht="15" customHeight="1">
      <c r="A82" t="inlineStr">
        <is>
          <t>A 60256-2025</t>
        </is>
      </c>
      <c r="B82" s="1" t="n">
        <v>45994.60216435185</v>
      </c>
      <c r="C82" s="1" t="n">
        <v>46093</v>
      </c>
      <c r="D82" t="inlineStr">
        <is>
          <t>UPPSALA LÄN</t>
        </is>
      </c>
      <c r="E82" t="inlineStr">
        <is>
          <t>ÄLVKARLEBY</t>
        </is>
      </c>
      <c r="G82" t="n">
        <v>1</v>
      </c>
      <c r="H82" t="n">
        <v>0</v>
      </c>
      <c r="I82" t="n">
        <v>0</v>
      </c>
      <c r="J82" t="n">
        <v>0</v>
      </c>
      <c r="K82" t="n">
        <v>0</v>
      </c>
      <c r="L82" t="n">
        <v>0</v>
      </c>
      <c r="M82" t="n">
        <v>0</v>
      </c>
      <c r="N82" t="n">
        <v>0</v>
      </c>
      <c r="O82" t="n">
        <v>0</v>
      </c>
      <c r="P82" t="n">
        <v>0</v>
      </c>
      <c r="Q82" t="n">
        <v>0</v>
      </c>
      <c r="R82" s="2" t="inlineStr"/>
    </row>
    <row r="83" ht="15" customHeight="1">
      <c r="A83" t="inlineStr">
        <is>
          <t>A 60083-2025</t>
        </is>
      </c>
      <c r="B83" s="1" t="n">
        <v>45993.69733796296</v>
      </c>
      <c r="C83" s="1" t="n">
        <v>46093</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46093</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60829-2025</t>
        </is>
      </c>
      <c r="B85" s="1" t="n">
        <v>45999.46523148148</v>
      </c>
      <c r="C85" s="1" t="n">
        <v>46093</v>
      </c>
      <c r="D85" t="inlineStr">
        <is>
          <t>UPPSALA LÄN</t>
        </is>
      </c>
      <c r="E85" t="inlineStr">
        <is>
          <t>ÄLVKARLEBY</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61694-2025</t>
        </is>
      </c>
      <c r="B86" s="1" t="n">
        <v>46002.52361111111</v>
      </c>
      <c r="C86" s="1" t="n">
        <v>46093</v>
      </c>
      <c r="D86" t="inlineStr">
        <is>
          <t>UPPSALA LÄN</t>
        </is>
      </c>
      <c r="E86" t="inlineStr">
        <is>
          <t>ÄLVKARLEBY</t>
        </is>
      </c>
      <c r="F86" t="inlineStr">
        <is>
          <t>Bergvik skog öst AB</t>
        </is>
      </c>
      <c r="G86" t="n">
        <v>1.5</v>
      </c>
      <c r="H86" t="n">
        <v>0</v>
      </c>
      <c r="I86" t="n">
        <v>0</v>
      </c>
      <c r="J86" t="n">
        <v>0</v>
      </c>
      <c r="K86" t="n">
        <v>0</v>
      </c>
      <c r="L86" t="n">
        <v>0</v>
      </c>
      <c r="M86" t="n">
        <v>0</v>
      </c>
      <c r="N86" t="n">
        <v>0</v>
      </c>
      <c r="O86" t="n">
        <v>0</v>
      </c>
      <c r="P86" t="n">
        <v>0</v>
      </c>
      <c r="Q86" t="n">
        <v>0</v>
      </c>
      <c r="R86" s="2" t="inlineStr"/>
    </row>
    <row r="87" ht="15" customHeight="1">
      <c r="A87" t="inlineStr">
        <is>
          <t>A 61691-2025</t>
        </is>
      </c>
      <c r="B87" s="1" t="n">
        <v>46002.51318287037</v>
      </c>
      <c r="C87" s="1" t="n">
        <v>46093</v>
      </c>
      <c r="D87" t="inlineStr">
        <is>
          <t>UPPSALA LÄN</t>
        </is>
      </c>
      <c r="E87" t="inlineStr">
        <is>
          <t>ÄLVKARLEBY</t>
        </is>
      </c>
      <c r="F87" t="inlineStr">
        <is>
          <t>Bergvik skog öst AB</t>
        </is>
      </c>
      <c r="G87" t="n">
        <v>0.7</v>
      </c>
      <c r="H87" t="n">
        <v>0</v>
      </c>
      <c r="I87" t="n">
        <v>0</v>
      </c>
      <c r="J87" t="n">
        <v>0</v>
      </c>
      <c r="K87" t="n">
        <v>0</v>
      </c>
      <c r="L87" t="n">
        <v>0</v>
      </c>
      <c r="M87" t="n">
        <v>0</v>
      </c>
      <c r="N87" t="n">
        <v>0</v>
      </c>
      <c r="O87" t="n">
        <v>0</v>
      </c>
      <c r="P87" t="n">
        <v>0</v>
      </c>
      <c r="Q87" t="n">
        <v>0</v>
      </c>
      <c r="R87" s="2" t="inlineStr"/>
    </row>
    <row r="88" ht="15" customHeight="1">
      <c r="A88" t="inlineStr">
        <is>
          <t>A 61685-2025</t>
        </is>
      </c>
      <c r="B88" s="1" t="n">
        <v>46002.503125</v>
      </c>
      <c r="C88" s="1" t="n">
        <v>46093</v>
      </c>
      <c r="D88" t="inlineStr">
        <is>
          <t>UPPSALA LÄN</t>
        </is>
      </c>
      <c r="E88" t="inlineStr">
        <is>
          <t>ÄLVKARLEBY</t>
        </is>
      </c>
      <c r="F88" t="inlineStr">
        <is>
          <t>Bergvik skog öst AB</t>
        </is>
      </c>
      <c r="G88" t="n">
        <v>1</v>
      </c>
      <c r="H88" t="n">
        <v>0</v>
      </c>
      <c r="I88" t="n">
        <v>0</v>
      </c>
      <c r="J88" t="n">
        <v>0</v>
      </c>
      <c r="K88" t="n">
        <v>0</v>
      </c>
      <c r="L88" t="n">
        <v>0</v>
      </c>
      <c r="M88" t="n">
        <v>0</v>
      </c>
      <c r="N88" t="n">
        <v>0</v>
      </c>
      <c r="O88" t="n">
        <v>0</v>
      </c>
      <c r="P88" t="n">
        <v>0</v>
      </c>
      <c r="Q88" t="n">
        <v>0</v>
      </c>
      <c r="R88" s="2" t="inlineStr"/>
    </row>
    <row r="89" ht="15" customHeight="1">
      <c r="A89" t="inlineStr">
        <is>
          <t>A 63004-2025</t>
        </is>
      </c>
      <c r="B89" s="1" t="n">
        <v>46009.56873842593</v>
      </c>
      <c r="C89" s="1" t="n">
        <v>46093</v>
      </c>
      <c r="D89" t="inlineStr">
        <is>
          <t>UPPSALA LÄN</t>
        </is>
      </c>
      <c r="E89" t="inlineStr">
        <is>
          <t>ÄLVKARLEBY</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63183-2025</t>
        </is>
      </c>
      <c r="B90" s="1" t="n">
        <v>46010.42908564815</v>
      </c>
      <c r="C90" s="1" t="n">
        <v>46093</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62938-2025</t>
        </is>
      </c>
      <c r="B91" s="1" t="n">
        <v>46009.42092592592</v>
      </c>
      <c r="C91" s="1" t="n">
        <v>46093</v>
      </c>
      <c r="D91" t="inlineStr">
        <is>
          <t>UPPSALA LÄN</t>
        </is>
      </c>
      <c r="E91" t="inlineStr">
        <is>
          <t>ÄLVKARLEBY</t>
        </is>
      </c>
      <c r="F91" t="inlineStr">
        <is>
          <t>Bergvik skog väst AB</t>
        </is>
      </c>
      <c r="G91" t="n">
        <v>10.2</v>
      </c>
      <c r="H91" t="n">
        <v>0</v>
      </c>
      <c r="I91" t="n">
        <v>0</v>
      </c>
      <c r="J91" t="n">
        <v>0</v>
      </c>
      <c r="K91" t="n">
        <v>0</v>
      </c>
      <c r="L91" t="n">
        <v>0</v>
      </c>
      <c r="M91" t="n">
        <v>0</v>
      </c>
      <c r="N91" t="n">
        <v>0</v>
      </c>
      <c r="O91" t="n">
        <v>0</v>
      </c>
      <c r="P91" t="n">
        <v>0</v>
      </c>
      <c r="Q91" t="n">
        <v>0</v>
      </c>
      <c r="R91" s="2" t="inlineStr"/>
    </row>
    <row r="92" ht="15" customHeight="1">
      <c r="A92" t="inlineStr">
        <is>
          <t>A 63341-2025</t>
        </is>
      </c>
      <c r="B92" s="1" t="n">
        <v>46010.65505787037</v>
      </c>
      <c r="C92" s="1" t="n">
        <v>46093</v>
      </c>
      <c r="D92" t="inlineStr">
        <is>
          <t>UPPSALA LÄN</t>
        </is>
      </c>
      <c r="E92" t="inlineStr">
        <is>
          <t>ÄLVKARLEBY</t>
        </is>
      </c>
      <c r="F92" t="inlineStr">
        <is>
          <t>Bergvik skog väst AB</t>
        </is>
      </c>
      <c r="G92" t="n">
        <v>4.3</v>
      </c>
      <c r="H92" t="n">
        <v>0</v>
      </c>
      <c r="I92" t="n">
        <v>0</v>
      </c>
      <c r="J92" t="n">
        <v>0</v>
      </c>
      <c r="K92" t="n">
        <v>0</v>
      </c>
      <c r="L92" t="n">
        <v>0</v>
      </c>
      <c r="M92" t="n">
        <v>0</v>
      </c>
      <c r="N92" t="n">
        <v>0</v>
      </c>
      <c r="O92" t="n">
        <v>0</v>
      </c>
      <c r="P92" t="n">
        <v>0</v>
      </c>
      <c r="Q92" t="n">
        <v>0</v>
      </c>
      <c r="R92" s="2" t="inlineStr"/>
    </row>
    <row r="93" ht="15" customHeight="1">
      <c r="A93" t="inlineStr">
        <is>
          <t>A 63365-2025</t>
        </is>
      </c>
      <c r="B93" s="1" t="n">
        <v>46010.70717592593</v>
      </c>
      <c r="C93" s="1" t="n">
        <v>46093</v>
      </c>
      <c r="D93" t="inlineStr">
        <is>
          <t>UPPSALA LÄN</t>
        </is>
      </c>
      <c r="E93" t="inlineStr">
        <is>
          <t>ÄLVKARLEBY</t>
        </is>
      </c>
      <c r="F93" t="inlineStr">
        <is>
          <t>Bergvik skog väst AB</t>
        </is>
      </c>
      <c r="G93" t="n">
        <v>1.5</v>
      </c>
      <c r="H93" t="n">
        <v>0</v>
      </c>
      <c r="I93" t="n">
        <v>0</v>
      </c>
      <c r="J93" t="n">
        <v>0</v>
      </c>
      <c r="K93" t="n">
        <v>0</v>
      </c>
      <c r="L93" t="n">
        <v>0</v>
      </c>
      <c r="M93" t="n">
        <v>0</v>
      </c>
      <c r="N93" t="n">
        <v>0</v>
      </c>
      <c r="O93" t="n">
        <v>0</v>
      </c>
      <c r="P93" t="n">
        <v>0</v>
      </c>
      <c r="Q93" t="n">
        <v>0</v>
      </c>
      <c r="R93" s="2" t="inlineStr"/>
    </row>
    <row r="94" ht="15" customHeight="1">
      <c r="A94" t="inlineStr">
        <is>
          <t>A 14590-2023</t>
        </is>
      </c>
      <c r="B94" s="1" t="n">
        <v>45013.54621527778</v>
      </c>
      <c r="C94" s="1" t="n">
        <v>46093</v>
      </c>
      <c r="D94" t="inlineStr">
        <is>
          <t>UPPSALA LÄN</t>
        </is>
      </c>
      <c r="E94" t="inlineStr">
        <is>
          <t>ÄLVKARLEBY</t>
        </is>
      </c>
      <c r="G94" t="n">
        <v>1.8</v>
      </c>
      <c r="H94" t="n">
        <v>0</v>
      </c>
      <c r="I94" t="n">
        <v>0</v>
      </c>
      <c r="J94" t="n">
        <v>0</v>
      </c>
      <c r="K94" t="n">
        <v>0</v>
      </c>
      <c r="L94" t="n">
        <v>0</v>
      </c>
      <c r="M94" t="n">
        <v>0</v>
      </c>
      <c r="N94" t="n">
        <v>0</v>
      </c>
      <c r="O94" t="n">
        <v>0</v>
      </c>
      <c r="P94" t="n">
        <v>0</v>
      </c>
      <c r="Q94" t="n">
        <v>0</v>
      </c>
      <c r="R94" s="2" t="inlineStr"/>
    </row>
    <row r="95" ht="15" customHeight="1">
      <c r="A95" t="inlineStr">
        <is>
          <t>A 61839-2025</t>
        </is>
      </c>
      <c r="B95" s="1" t="n">
        <v>46003.35768518518</v>
      </c>
      <c r="C95" s="1" t="n">
        <v>46093</v>
      </c>
      <c r="D95" t="inlineStr">
        <is>
          <t>UPPSALA LÄN</t>
        </is>
      </c>
      <c r="E95" t="inlineStr">
        <is>
          <t>ÄLVKARLEBY</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9533-2025</t>
        </is>
      </c>
      <c r="B96" s="1" t="n">
        <v>45715.57082175926</v>
      </c>
      <c r="C96" s="1" t="n">
        <v>46093</v>
      </c>
      <c r="D96" t="inlineStr">
        <is>
          <t>UPPSALA LÄN</t>
        </is>
      </c>
      <c r="E96" t="inlineStr">
        <is>
          <t>ÄLVKARLEBY</t>
        </is>
      </c>
      <c r="G96" t="n">
        <v>2.1</v>
      </c>
      <c r="H96" t="n">
        <v>0</v>
      </c>
      <c r="I96" t="n">
        <v>0</v>
      </c>
      <c r="J96" t="n">
        <v>0</v>
      </c>
      <c r="K96" t="n">
        <v>0</v>
      </c>
      <c r="L96" t="n">
        <v>0</v>
      </c>
      <c r="M96" t="n">
        <v>0</v>
      </c>
      <c r="N96" t="n">
        <v>0</v>
      </c>
      <c r="O96" t="n">
        <v>0</v>
      </c>
      <c r="P96" t="n">
        <v>0</v>
      </c>
      <c r="Q96" t="n">
        <v>0</v>
      </c>
      <c r="R96" s="2" t="inlineStr"/>
    </row>
    <row r="97" ht="15" customHeight="1">
      <c r="A97" t="inlineStr">
        <is>
          <t>A 19697-2025</t>
        </is>
      </c>
      <c r="B97" s="1" t="n">
        <v>45771</v>
      </c>
      <c r="C97" s="1" t="n">
        <v>46093</v>
      </c>
      <c r="D97" t="inlineStr">
        <is>
          <t>UPPSALA LÄN</t>
        </is>
      </c>
      <c r="E97" t="inlineStr">
        <is>
          <t>ÄLVKARLEBY</t>
        </is>
      </c>
      <c r="F97" t="inlineStr">
        <is>
          <t>Bergvik skog väst AB</t>
        </is>
      </c>
      <c r="G97" t="n">
        <v>3.3</v>
      </c>
      <c r="H97" t="n">
        <v>0</v>
      </c>
      <c r="I97" t="n">
        <v>0</v>
      </c>
      <c r="J97" t="n">
        <v>0</v>
      </c>
      <c r="K97" t="n">
        <v>0</v>
      </c>
      <c r="L97" t="n">
        <v>0</v>
      </c>
      <c r="M97" t="n">
        <v>0</v>
      </c>
      <c r="N97" t="n">
        <v>0</v>
      </c>
      <c r="O97" t="n">
        <v>0</v>
      </c>
      <c r="P97" t="n">
        <v>0</v>
      </c>
      <c r="Q97" t="n">
        <v>0</v>
      </c>
      <c r="R97" s="2" t="inlineStr"/>
    </row>
    <row r="98" ht="15" customHeight="1">
      <c r="A98" t="inlineStr">
        <is>
          <t>A 9394-2026</t>
        </is>
      </c>
      <c r="B98" s="1" t="n">
        <v>46071.36576388889</v>
      </c>
      <c r="C98" s="1" t="n">
        <v>46093</v>
      </c>
      <c r="D98" t="inlineStr">
        <is>
          <t>UPPSALA LÄN</t>
        </is>
      </c>
      <c r="E98" t="inlineStr">
        <is>
          <t>ÄLVKARLEBY</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22223-2025</t>
        </is>
      </c>
      <c r="B99" s="1" t="n">
        <v>45785</v>
      </c>
      <c r="C99" s="1" t="n">
        <v>46093</v>
      </c>
      <c r="D99" t="inlineStr">
        <is>
          <t>UPPSALA LÄN</t>
        </is>
      </c>
      <c r="E99" t="inlineStr">
        <is>
          <t>ÄLVKARLEBY</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1673-2026</t>
        </is>
      </c>
      <c r="B100" s="1" t="n">
        <v>46034.56863425926</v>
      </c>
      <c r="C100" s="1" t="n">
        <v>46093</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11467-2026</t>
        </is>
      </c>
      <c r="B101" s="1" t="n">
        <v>46083.58950231481</v>
      </c>
      <c r="C101" s="1" t="n">
        <v>46093</v>
      </c>
      <c r="D101" t="inlineStr">
        <is>
          <t>UPPSALA LÄN</t>
        </is>
      </c>
      <c r="E101" t="inlineStr">
        <is>
          <t>ÄLVKARLEBY</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24591-2025</t>
        </is>
      </c>
      <c r="B102" s="1" t="n">
        <v>45798.53666666667</v>
      </c>
      <c r="C102" s="1" t="n">
        <v>46093</v>
      </c>
      <c r="D102" t="inlineStr">
        <is>
          <t>UPPSALA LÄN</t>
        </is>
      </c>
      <c r="E102" t="inlineStr">
        <is>
          <t>ÄLVKARLEBY</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11848-2026</t>
        </is>
      </c>
      <c r="B103" s="1" t="n">
        <v>46085.45927083334</v>
      </c>
      <c r="C103" s="1" t="n">
        <v>46093</v>
      </c>
      <c r="D103" t="inlineStr">
        <is>
          <t>UPPSALA LÄN</t>
        </is>
      </c>
      <c r="E103" t="inlineStr">
        <is>
          <t>ÄLVKARLEBY</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4131-2026</t>
        </is>
      </c>
      <c r="B104" s="1" t="n">
        <v>46044.62451388889</v>
      </c>
      <c r="C104" s="1" t="n">
        <v>46093</v>
      </c>
      <c r="D104" t="inlineStr">
        <is>
          <t>UPPSALA LÄN</t>
        </is>
      </c>
      <c r="E104" t="inlineStr">
        <is>
          <t>ÄLVKARLEBY</t>
        </is>
      </c>
      <c r="F104" t="inlineStr">
        <is>
          <t>Bergvik skog öst AB</t>
        </is>
      </c>
      <c r="G104" t="n">
        <v>2.4</v>
      </c>
      <c r="H104" t="n">
        <v>0</v>
      </c>
      <c r="I104" t="n">
        <v>0</v>
      </c>
      <c r="J104" t="n">
        <v>0</v>
      </c>
      <c r="K104" t="n">
        <v>0</v>
      </c>
      <c r="L104" t="n">
        <v>0</v>
      </c>
      <c r="M104" t="n">
        <v>0</v>
      </c>
      <c r="N104" t="n">
        <v>0</v>
      </c>
      <c r="O104" t="n">
        <v>0</v>
      </c>
      <c r="P104" t="n">
        <v>0</v>
      </c>
      <c r="Q104" t="n">
        <v>0</v>
      </c>
      <c r="R104" s="2" t="inlineStr"/>
    </row>
    <row r="105" ht="15" customHeight="1">
      <c r="A105" t="inlineStr">
        <is>
          <t>A 4134-2026</t>
        </is>
      </c>
      <c r="B105" s="1" t="n">
        <v>46044.6280787037</v>
      </c>
      <c r="C105" s="1" t="n">
        <v>46093</v>
      </c>
      <c r="D105" t="inlineStr">
        <is>
          <t>UPPSALA LÄN</t>
        </is>
      </c>
      <c r="E105" t="inlineStr">
        <is>
          <t>ÄLVKARLEBY</t>
        </is>
      </c>
      <c r="F105" t="inlineStr">
        <is>
          <t>Bergvik skog öst AB</t>
        </is>
      </c>
      <c r="G105" t="n">
        <v>5.1</v>
      </c>
      <c r="H105" t="n">
        <v>0</v>
      </c>
      <c r="I105" t="n">
        <v>0</v>
      </c>
      <c r="J105" t="n">
        <v>0</v>
      </c>
      <c r="K105" t="n">
        <v>0</v>
      </c>
      <c r="L105" t="n">
        <v>0</v>
      </c>
      <c r="M105" t="n">
        <v>0</v>
      </c>
      <c r="N105" t="n">
        <v>0</v>
      </c>
      <c r="O105" t="n">
        <v>0</v>
      </c>
      <c r="P105" t="n">
        <v>0</v>
      </c>
      <c r="Q105" t="n">
        <v>0</v>
      </c>
      <c r="R105" s="2" t="inlineStr"/>
    </row>
    <row r="106" ht="15" customHeight="1">
      <c r="A106" t="inlineStr">
        <is>
          <t>A 25330-2025</t>
        </is>
      </c>
      <c r="B106" s="1" t="n">
        <v>45800.59114583334</v>
      </c>
      <c r="C106" s="1" t="n">
        <v>46093</v>
      </c>
      <c r="D106" t="inlineStr">
        <is>
          <t>UPPSALA LÄN</t>
        </is>
      </c>
      <c r="E106" t="inlineStr">
        <is>
          <t>ÄLVKARLEBY</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25264-2025</t>
        </is>
      </c>
      <c r="B107" s="1" t="n">
        <v>45800.5334375</v>
      </c>
      <c r="C107" s="1" t="n">
        <v>46093</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46093</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15739-2025</t>
        </is>
      </c>
      <c r="B109" s="1" t="n">
        <v>45748.54612268518</v>
      </c>
      <c r="C109" s="1" t="n">
        <v>46093</v>
      </c>
      <c r="D109" t="inlineStr">
        <is>
          <t>UPPSALA LÄN</t>
        </is>
      </c>
      <c r="E109" t="inlineStr">
        <is>
          <t>ÄLVKARLEBY</t>
        </is>
      </c>
      <c r="F109" t="inlineStr">
        <is>
          <t>Kyrkan</t>
        </is>
      </c>
      <c r="G109" t="n">
        <v>2.4</v>
      </c>
      <c r="H109" t="n">
        <v>0</v>
      </c>
      <c r="I109" t="n">
        <v>0</v>
      </c>
      <c r="J109" t="n">
        <v>0</v>
      </c>
      <c r="K109" t="n">
        <v>0</v>
      </c>
      <c r="L109" t="n">
        <v>0</v>
      </c>
      <c r="M109" t="n">
        <v>0</v>
      </c>
      <c r="N109" t="n">
        <v>0</v>
      </c>
      <c r="O109" t="n">
        <v>0</v>
      </c>
      <c r="P109" t="n">
        <v>0</v>
      </c>
      <c r="Q109" t="n">
        <v>0</v>
      </c>
      <c r="R109" s="2" t="inlineStr"/>
    </row>
    <row r="110" ht="15" customHeight="1">
      <c r="A110" t="inlineStr">
        <is>
          <t>A 26670-2025</t>
        </is>
      </c>
      <c r="B110" s="1" t="n">
        <v>45810.41489583333</v>
      </c>
      <c r="C110" s="1" t="n">
        <v>46093</v>
      </c>
      <c r="D110" t="inlineStr">
        <is>
          <t>UPPSALA LÄN</t>
        </is>
      </c>
      <c r="E110" t="inlineStr">
        <is>
          <t>ÄLVKARLEBY</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27742-2025</t>
        </is>
      </c>
      <c r="B111" s="1" t="n">
        <v>45815.53724537037</v>
      </c>
      <c r="C111" s="1" t="n">
        <v>46093</v>
      </c>
      <c r="D111" t="inlineStr">
        <is>
          <t>UPPSALA LÄN</t>
        </is>
      </c>
      <c r="E111" t="inlineStr">
        <is>
          <t>ÄLVKARLEBY</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27741-2025</t>
        </is>
      </c>
      <c r="B112" s="1" t="n">
        <v>45815.5346875</v>
      </c>
      <c r="C112" s="1" t="n">
        <v>46093</v>
      </c>
      <c r="D112" t="inlineStr">
        <is>
          <t>UPPSALA LÄN</t>
        </is>
      </c>
      <c r="E112" t="inlineStr">
        <is>
          <t>ÄLVKARLEBY</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28670-2025</t>
        </is>
      </c>
      <c r="B113" s="1" t="n">
        <v>45819.67130787037</v>
      </c>
      <c r="C113" s="1" t="n">
        <v>46093</v>
      </c>
      <c r="D113" t="inlineStr">
        <is>
          <t>UPPSALA LÄN</t>
        </is>
      </c>
      <c r="E113" t="inlineStr">
        <is>
          <t>ÄLVKARLEBY</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28668-2025</t>
        </is>
      </c>
      <c r="B114" s="1" t="n">
        <v>45819.66650462963</v>
      </c>
      <c r="C114" s="1" t="n">
        <v>46093</v>
      </c>
      <c r="D114" t="inlineStr">
        <is>
          <t>UPPSALA LÄN</t>
        </is>
      </c>
      <c r="E114" t="inlineStr">
        <is>
          <t>ÄLVKARLEBY</t>
        </is>
      </c>
      <c r="F114" t="inlineStr">
        <is>
          <t>Bergvik skog väst AB</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30483-2025</t>
        </is>
      </c>
      <c r="B115" s="1" t="n">
        <v>45828.68988425926</v>
      </c>
      <c r="C115" s="1" t="n">
        <v>46093</v>
      </c>
      <c r="D115" t="inlineStr">
        <is>
          <t>UPPSALA LÄN</t>
        </is>
      </c>
      <c r="E115" t="inlineStr">
        <is>
          <t>ÄLVKARLEBY</t>
        </is>
      </c>
      <c r="F115" t="inlineStr">
        <is>
          <t>Bergvik skog väst AB</t>
        </is>
      </c>
      <c r="G115" t="n">
        <v>1.8</v>
      </c>
      <c r="H115" t="n">
        <v>0</v>
      </c>
      <c r="I115" t="n">
        <v>0</v>
      </c>
      <c r="J115" t="n">
        <v>0</v>
      </c>
      <c r="K115" t="n">
        <v>0</v>
      </c>
      <c r="L115" t="n">
        <v>0</v>
      </c>
      <c r="M115" t="n">
        <v>0</v>
      </c>
      <c r="N115" t="n">
        <v>0</v>
      </c>
      <c r="O115" t="n">
        <v>0</v>
      </c>
      <c r="P115" t="n">
        <v>0</v>
      </c>
      <c r="Q115" t="n">
        <v>0</v>
      </c>
      <c r="R115" s="2" t="inlineStr"/>
    </row>
    <row r="116" ht="15" customHeight="1">
      <c r="A116" t="inlineStr">
        <is>
          <t>A 30944-2025</t>
        </is>
      </c>
      <c r="B116" s="1" t="n">
        <v>45832.41182870371</v>
      </c>
      <c r="C116" s="1" t="n">
        <v>46093</v>
      </c>
      <c r="D116" t="inlineStr">
        <is>
          <t>UPPSALA LÄN</t>
        </is>
      </c>
      <c r="E116" t="inlineStr">
        <is>
          <t>ÄLVKARLEBY</t>
        </is>
      </c>
      <c r="F116" t="inlineStr">
        <is>
          <t>Bergvik skog öst AB</t>
        </is>
      </c>
      <c r="G116" t="n">
        <v>3.4</v>
      </c>
      <c r="H116" t="n">
        <v>0</v>
      </c>
      <c r="I116" t="n">
        <v>0</v>
      </c>
      <c r="J116" t="n">
        <v>0</v>
      </c>
      <c r="K116" t="n">
        <v>0</v>
      </c>
      <c r="L116" t="n">
        <v>0</v>
      </c>
      <c r="M116" t="n">
        <v>0</v>
      </c>
      <c r="N116" t="n">
        <v>0</v>
      </c>
      <c r="O116" t="n">
        <v>0</v>
      </c>
      <c r="P116" t="n">
        <v>0</v>
      </c>
      <c r="Q116" t="n">
        <v>0</v>
      </c>
      <c r="R116" s="2" t="inlineStr"/>
    </row>
    <row r="117" ht="15" customHeight="1">
      <c r="A117" t="inlineStr">
        <is>
          <t>A 30936-2025</t>
        </is>
      </c>
      <c r="B117" s="1" t="n">
        <v>45832.40586805555</v>
      </c>
      <c r="C117" s="1" t="n">
        <v>46093</v>
      </c>
      <c r="D117" t="inlineStr">
        <is>
          <t>UPPSALA LÄN</t>
        </is>
      </c>
      <c r="E117" t="inlineStr">
        <is>
          <t>ÄLVKARLEBY</t>
        </is>
      </c>
      <c r="F117" t="inlineStr">
        <is>
          <t>Bergvik skog öst AB</t>
        </is>
      </c>
      <c r="G117" t="n">
        <v>7.2</v>
      </c>
      <c r="H117" t="n">
        <v>0</v>
      </c>
      <c r="I117" t="n">
        <v>0</v>
      </c>
      <c r="J117" t="n">
        <v>0</v>
      </c>
      <c r="K117" t="n">
        <v>0</v>
      </c>
      <c r="L117" t="n">
        <v>0</v>
      </c>
      <c r="M117" t="n">
        <v>0</v>
      </c>
      <c r="N117" t="n">
        <v>0</v>
      </c>
      <c r="O117" t="n">
        <v>0</v>
      </c>
      <c r="P117" t="n">
        <v>0</v>
      </c>
      <c r="Q117" t="n">
        <v>0</v>
      </c>
      <c r="R117" s="2" t="inlineStr"/>
    </row>
    <row r="118" ht="15" customHeight="1">
      <c r="A118" t="inlineStr">
        <is>
          <t>A 32221-2025</t>
        </is>
      </c>
      <c r="B118" s="1" t="n">
        <v>45835.5909837963</v>
      </c>
      <c r="C118" s="1" t="n">
        <v>46093</v>
      </c>
      <c r="D118" t="inlineStr">
        <is>
          <t>UPPSALA LÄN</t>
        </is>
      </c>
      <c r="E118" t="inlineStr">
        <is>
          <t>ÄLVKARLEBY</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32203-2025</t>
        </is>
      </c>
      <c r="B119" s="1" t="n">
        <v>45835.57951388889</v>
      </c>
      <c r="C119" s="1" t="n">
        <v>46093</v>
      </c>
      <c r="D119" t="inlineStr">
        <is>
          <t>UPPSALA LÄN</t>
        </is>
      </c>
      <c r="E119" t="inlineStr">
        <is>
          <t>ÄLVKARLEBY</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32186-2025</t>
        </is>
      </c>
      <c r="B120" s="1" t="n">
        <v>45835.5667824074</v>
      </c>
      <c r="C120" s="1" t="n">
        <v>46093</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32187-2025</t>
        </is>
      </c>
      <c r="B121" s="1" t="n">
        <v>45835.56949074074</v>
      </c>
      <c r="C121" s="1" t="n">
        <v>46093</v>
      </c>
      <c r="D121" t="inlineStr">
        <is>
          <t>UPPSALA LÄN</t>
        </is>
      </c>
      <c r="E121" t="inlineStr">
        <is>
          <t>ÄLVKARLEBY</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c r="A122" t="inlineStr">
        <is>
          <t>A 32212-2025</t>
        </is>
      </c>
      <c r="B122" s="1" t="n">
        <v>45835.58509259259</v>
      </c>
      <c r="C122" s="1" t="n">
        <v>46093</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2026-03-12T11:13:22Z</dcterms:created>
  <dcterms:modified xmlns:dcterms="http://purl.org/dc/terms/" xmlns:xsi="http://www.w3.org/2001/XMLSchema-instance" xsi:type="dcterms:W3CDTF">2026-03-12T11:13:22Z</dcterms:modified>
</cp:coreProperties>
</file>