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45754</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45754</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45754</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45754</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45754</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45754</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45754</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45754</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45754</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45754</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45754</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45754</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45754</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45754</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45754</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45754</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45754</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45754</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45754</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45754</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45754</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45754</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45754</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45754</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45754</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45754</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45754</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48822-2019</t>
        </is>
      </c>
      <c r="B29" s="1" t="n">
        <v>43728</v>
      </c>
      <c r="C29" s="1" t="n">
        <v>45754</v>
      </c>
      <c r="D29" t="inlineStr">
        <is>
          <t>UPPSALA LÄN</t>
        </is>
      </c>
      <c r="E29" t="inlineStr">
        <is>
          <t>ÄLVKARLEBY</t>
        </is>
      </c>
      <c r="F29" t="inlineStr">
        <is>
          <t>Bergvik skog väst AB</t>
        </is>
      </c>
      <c r="G29" t="n">
        <v>3</v>
      </c>
      <c r="H29" t="n">
        <v>1</v>
      </c>
      <c r="I29" t="n">
        <v>0</v>
      </c>
      <c r="J29" t="n">
        <v>0</v>
      </c>
      <c r="K29" t="n">
        <v>0</v>
      </c>
      <c r="L29" t="n">
        <v>0</v>
      </c>
      <c r="M29" t="n">
        <v>0</v>
      </c>
      <c r="N29" t="n">
        <v>0</v>
      </c>
      <c r="O29" t="n">
        <v>0</v>
      </c>
      <c r="P29" t="n">
        <v>0</v>
      </c>
      <c r="Q29" t="n">
        <v>1</v>
      </c>
      <c r="R29" s="2" t="inlineStr">
        <is>
          <t>Törnskata</t>
        </is>
      </c>
      <c r="S29">
        <f>HYPERLINK("https://klasma.github.io/Logging_0319/artfynd/A 48822-2019 artfynd.xlsx", "A 48822-2019")</f>
        <v/>
      </c>
      <c r="T29">
        <f>HYPERLINK("https://klasma.github.io/Logging_0319/kartor/A 48822-2019 karta.png", "A 48822-2019")</f>
        <v/>
      </c>
      <c r="V29">
        <f>HYPERLINK("https://klasma.github.io/Logging_0319/klagomål/A 48822-2019 FSC-klagomål.docx", "A 48822-2019")</f>
        <v/>
      </c>
      <c r="W29">
        <f>HYPERLINK("https://klasma.github.io/Logging_0319/klagomålsmail/A 48822-2019 FSC-klagomål mail.docx", "A 48822-2019")</f>
        <v/>
      </c>
      <c r="X29">
        <f>HYPERLINK("https://klasma.github.io/Logging_0319/tillsyn/A 48822-2019 tillsynsbegäran.docx", "A 48822-2019")</f>
        <v/>
      </c>
      <c r="Y29">
        <f>HYPERLINK("https://klasma.github.io/Logging_0319/tillsynsmail/A 48822-2019 tillsynsbegäran mail.docx", "A 48822-2019")</f>
        <v/>
      </c>
      <c r="Z29">
        <f>HYPERLINK("https://klasma.github.io/Logging_0319/fåglar/A 48822-2019 prioriterade fågelarter.docx", "A 48822-2019")</f>
        <v/>
      </c>
    </row>
    <row r="30" ht="15" customHeight="1">
      <c r="A30" t="inlineStr">
        <is>
          <t>A 61147-2019</t>
        </is>
      </c>
      <c r="B30" s="1" t="n">
        <v>43782</v>
      </c>
      <c r="C30" s="1" t="n">
        <v>45754</v>
      </c>
      <c r="D30" t="inlineStr">
        <is>
          <t>UPPSALA LÄN</t>
        </is>
      </c>
      <c r="E30" t="inlineStr">
        <is>
          <t>ÄLVKARLEBY</t>
        </is>
      </c>
      <c r="F30" t="inlineStr">
        <is>
          <t>Bergvik skog väst AB</t>
        </is>
      </c>
      <c r="G30" t="n">
        <v>0.9</v>
      </c>
      <c r="H30" t="n">
        <v>0</v>
      </c>
      <c r="I30" t="n">
        <v>0</v>
      </c>
      <c r="J30" t="n">
        <v>0</v>
      </c>
      <c r="K30" t="n">
        <v>1</v>
      </c>
      <c r="L30" t="n">
        <v>0</v>
      </c>
      <c r="M30" t="n">
        <v>0</v>
      </c>
      <c r="N30" t="n">
        <v>0</v>
      </c>
      <c r="O30" t="n">
        <v>1</v>
      </c>
      <c r="P30" t="n">
        <v>1</v>
      </c>
      <c r="Q30" t="n">
        <v>1</v>
      </c>
      <c r="R30" s="2" t="inlineStr">
        <is>
          <t>Violgubbe</t>
        </is>
      </c>
      <c r="S30">
        <f>HYPERLINK("https://klasma.github.io/Logging_0319/artfynd/A 61147-2019 artfynd.xlsx", "A 61147-2019")</f>
        <v/>
      </c>
      <c r="T30">
        <f>HYPERLINK("https://klasma.github.io/Logging_0319/kartor/A 61147-2019 karta.png", "A 61147-2019")</f>
        <v/>
      </c>
      <c r="V30">
        <f>HYPERLINK("https://klasma.github.io/Logging_0319/klagomål/A 61147-2019 FSC-klagomål.docx", "A 61147-2019")</f>
        <v/>
      </c>
      <c r="W30">
        <f>HYPERLINK("https://klasma.github.io/Logging_0319/klagomålsmail/A 61147-2019 FSC-klagomål mail.docx", "A 61147-2019")</f>
        <v/>
      </c>
      <c r="X30">
        <f>HYPERLINK("https://klasma.github.io/Logging_0319/tillsyn/A 61147-2019 tillsynsbegäran.docx", "A 61147-2019")</f>
        <v/>
      </c>
      <c r="Y30">
        <f>HYPERLINK("https://klasma.github.io/Logging_0319/tillsynsmail/A 61147-2019 tillsynsbegäran mail.docx", "A 61147-2019")</f>
        <v/>
      </c>
    </row>
    <row r="31" ht="15" customHeight="1">
      <c r="A31" t="inlineStr">
        <is>
          <t>A 42895-2020</t>
        </is>
      </c>
      <c r="B31" s="1" t="n">
        <v>44078</v>
      </c>
      <c r="C31" s="1" t="n">
        <v>45754</v>
      </c>
      <c r="D31" t="inlineStr">
        <is>
          <t>UPPSALA LÄN</t>
        </is>
      </c>
      <c r="E31" t="inlineStr">
        <is>
          <t>ÄLVKARLEBY</t>
        </is>
      </c>
      <c r="F31" t="inlineStr">
        <is>
          <t>Bergvik skog väst AB</t>
        </is>
      </c>
      <c r="G31" t="n">
        <v>21.9</v>
      </c>
      <c r="H31" t="n">
        <v>1</v>
      </c>
      <c r="I31" t="n">
        <v>0</v>
      </c>
      <c r="J31" t="n">
        <v>0</v>
      </c>
      <c r="K31" t="n">
        <v>1</v>
      </c>
      <c r="L31" t="n">
        <v>0</v>
      </c>
      <c r="M31" t="n">
        <v>0</v>
      </c>
      <c r="N31" t="n">
        <v>0</v>
      </c>
      <c r="O31" t="n">
        <v>1</v>
      </c>
      <c r="P31" t="n">
        <v>1</v>
      </c>
      <c r="Q31" t="n">
        <v>1</v>
      </c>
      <c r="R31" s="2" t="inlineStr">
        <is>
          <t>Gölgroda</t>
        </is>
      </c>
      <c r="S31">
        <f>HYPERLINK("https://klasma.github.io/Logging_0319/artfynd/A 42895-2020 artfynd.xlsx", "A 42895-2020")</f>
        <v/>
      </c>
      <c r="T31">
        <f>HYPERLINK("https://klasma.github.io/Logging_0319/kartor/A 42895-2020 karta.png", "A 42895-2020")</f>
        <v/>
      </c>
      <c r="V31">
        <f>HYPERLINK("https://klasma.github.io/Logging_0319/klagomål/A 42895-2020 FSC-klagomål.docx", "A 42895-2020")</f>
        <v/>
      </c>
      <c r="W31">
        <f>HYPERLINK("https://klasma.github.io/Logging_0319/klagomålsmail/A 42895-2020 FSC-klagomål mail.docx", "A 42895-2020")</f>
        <v/>
      </c>
      <c r="X31">
        <f>HYPERLINK("https://klasma.github.io/Logging_0319/tillsyn/A 42895-2020 tillsynsbegäran.docx", "A 42895-2020")</f>
        <v/>
      </c>
      <c r="Y31">
        <f>HYPERLINK("https://klasma.github.io/Logging_0319/tillsynsmail/A 42895-2020 tillsynsbegäran mail.docx", "A 42895-2020")</f>
        <v/>
      </c>
    </row>
    <row r="32" ht="15" customHeight="1">
      <c r="A32" t="inlineStr">
        <is>
          <t>A 66277-2020</t>
        </is>
      </c>
      <c r="B32" s="1" t="n">
        <v>44176</v>
      </c>
      <c r="C32" s="1" t="n">
        <v>45754</v>
      </c>
      <c r="D32" t="inlineStr">
        <is>
          <t>UPPSALA LÄN</t>
        </is>
      </c>
      <c r="E32" t="inlineStr">
        <is>
          <t>ÄLVKARLEBY</t>
        </is>
      </c>
      <c r="F32" t="inlineStr">
        <is>
          <t>Bergvik skog väst AB</t>
        </is>
      </c>
      <c r="G32" t="n">
        <v>2.6</v>
      </c>
      <c r="H32" t="n">
        <v>1</v>
      </c>
      <c r="I32" t="n">
        <v>0</v>
      </c>
      <c r="J32" t="n">
        <v>0</v>
      </c>
      <c r="K32" t="n">
        <v>0</v>
      </c>
      <c r="L32" t="n">
        <v>0</v>
      </c>
      <c r="M32" t="n">
        <v>0</v>
      </c>
      <c r="N32" t="n">
        <v>0</v>
      </c>
      <c r="O32" t="n">
        <v>0</v>
      </c>
      <c r="P32" t="n">
        <v>0</v>
      </c>
      <c r="Q32" t="n">
        <v>1</v>
      </c>
      <c r="R32" s="2" t="inlineStr">
        <is>
          <t>Vanlig padda</t>
        </is>
      </c>
      <c r="S32">
        <f>HYPERLINK("https://klasma.github.io/Logging_0319/artfynd/A 66277-2020 artfynd.xlsx", "A 66277-2020")</f>
        <v/>
      </c>
      <c r="T32">
        <f>HYPERLINK("https://klasma.github.io/Logging_0319/kartor/A 66277-2020 karta.png", "A 66277-2020")</f>
        <v/>
      </c>
      <c r="V32">
        <f>HYPERLINK("https://klasma.github.io/Logging_0319/klagomål/A 66277-2020 FSC-klagomål.docx", "A 66277-2020")</f>
        <v/>
      </c>
      <c r="W32">
        <f>HYPERLINK("https://klasma.github.io/Logging_0319/klagomålsmail/A 66277-2020 FSC-klagomål mail.docx", "A 66277-2020")</f>
        <v/>
      </c>
      <c r="X32">
        <f>HYPERLINK("https://klasma.github.io/Logging_0319/tillsyn/A 66277-2020 tillsynsbegäran.docx", "A 66277-2020")</f>
        <v/>
      </c>
      <c r="Y32">
        <f>HYPERLINK("https://klasma.github.io/Logging_0319/tillsynsmail/A 66277-2020 tillsynsbegäran mail.docx", "A 66277-2020")</f>
        <v/>
      </c>
    </row>
    <row r="33" ht="15" customHeight="1">
      <c r="A33" t="inlineStr">
        <is>
          <t>A 10455-2022</t>
        </is>
      </c>
      <c r="B33" s="1" t="n">
        <v>44623</v>
      </c>
      <c r="C33" s="1" t="n">
        <v>45754</v>
      </c>
      <c r="D33" t="inlineStr">
        <is>
          <t>UPPSALA LÄN</t>
        </is>
      </c>
      <c r="E33" t="inlineStr">
        <is>
          <t>ÄLVKARLEBY</t>
        </is>
      </c>
      <c r="F33" t="inlineStr">
        <is>
          <t>Bergvik skog öst AB</t>
        </is>
      </c>
      <c r="G33" t="n">
        <v>1.1</v>
      </c>
      <c r="H33" t="n">
        <v>0</v>
      </c>
      <c r="I33" t="n">
        <v>0</v>
      </c>
      <c r="J33" t="n">
        <v>1</v>
      </c>
      <c r="K33" t="n">
        <v>0</v>
      </c>
      <c r="L33" t="n">
        <v>0</v>
      </c>
      <c r="M33" t="n">
        <v>0</v>
      </c>
      <c r="N33" t="n">
        <v>0</v>
      </c>
      <c r="O33" t="n">
        <v>1</v>
      </c>
      <c r="P33" t="n">
        <v>0</v>
      </c>
      <c r="Q33" t="n">
        <v>1</v>
      </c>
      <c r="R33" s="2" t="inlineStr">
        <is>
          <t>Sandviol</t>
        </is>
      </c>
      <c r="S33">
        <f>HYPERLINK("https://klasma.github.io/Logging_0319/artfynd/A 10455-2022 artfynd.xlsx", "A 10455-2022")</f>
        <v/>
      </c>
      <c r="T33">
        <f>HYPERLINK("https://klasma.github.io/Logging_0319/kartor/A 10455-2022 karta.png", "A 10455-2022")</f>
        <v/>
      </c>
      <c r="V33">
        <f>HYPERLINK("https://klasma.github.io/Logging_0319/klagomål/A 10455-2022 FSC-klagomål.docx", "A 10455-2022")</f>
        <v/>
      </c>
      <c r="W33">
        <f>HYPERLINK("https://klasma.github.io/Logging_0319/klagomålsmail/A 10455-2022 FSC-klagomål mail.docx", "A 10455-2022")</f>
        <v/>
      </c>
      <c r="X33">
        <f>HYPERLINK("https://klasma.github.io/Logging_0319/tillsyn/A 10455-2022 tillsynsbegäran.docx", "A 10455-2022")</f>
        <v/>
      </c>
      <c r="Y33">
        <f>HYPERLINK("https://klasma.github.io/Logging_0319/tillsynsmail/A 10455-2022 tillsynsbegäran mail.docx", "A 10455-2022")</f>
        <v/>
      </c>
    </row>
    <row r="34" ht="15" customHeight="1">
      <c r="A34" t="inlineStr">
        <is>
          <t>A 29748-2022</t>
        </is>
      </c>
      <c r="B34" s="1" t="n">
        <v>44755</v>
      </c>
      <c r="C34" s="1" t="n">
        <v>45754</v>
      </c>
      <c r="D34" t="inlineStr">
        <is>
          <t>UPPSALA LÄN</t>
        </is>
      </c>
      <c r="E34" t="inlineStr">
        <is>
          <t>ÄLVKARLEBY</t>
        </is>
      </c>
      <c r="F34" t="inlineStr">
        <is>
          <t>Bergvik skog väst AB</t>
        </is>
      </c>
      <c r="G34" t="n">
        <v>2</v>
      </c>
      <c r="H34" t="n">
        <v>0</v>
      </c>
      <c r="I34" t="n">
        <v>0</v>
      </c>
      <c r="J34" t="n">
        <v>0</v>
      </c>
      <c r="K34" t="n">
        <v>0</v>
      </c>
      <c r="L34" t="n">
        <v>1</v>
      </c>
      <c r="M34" t="n">
        <v>0</v>
      </c>
      <c r="N34" t="n">
        <v>0</v>
      </c>
      <c r="O34" t="n">
        <v>1</v>
      </c>
      <c r="P34" t="n">
        <v>1</v>
      </c>
      <c r="Q34" t="n">
        <v>1</v>
      </c>
      <c r="R34" s="2" t="inlineStr">
        <is>
          <t>Stor bockrot</t>
        </is>
      </c>
      <c r="S34">
        <f>HYPERLINK("https://klasma.github.io/Logging_0319/artfynd/A 29748-2022 artfynd.xlsx", "A 29748-2022")</f>
        <v/>
      </c>
      <c r="T34">
        <f>HYPERLINK("https://klasma.github.io/Logging_0319/kartor/A 29748-2022 karta.png", "A 29748-2022")</f>
        <v/>
      </c>
      <c r="V34">
        <f>HYPERLINK("https://klasma.github.io/Logging_0319/klagomål/A 29748-2022 FSC-klagomål.docx", "A 29748-2022")</f>
        <v/>
      </c>
      <c r="W34">
        <f>HYPERLINK("https://klasma.github.io/Logging_0319/klagomålsmail/A 29748-2022 FSC-klagomål mail.docx", "A 29748-2022")</f>
        <v/>
      </c>
      <c r="X34">
        <f>HYPERLINK("https://klasma.github.io/Logging_0319/tillsyn/A 29748-2022 tillsynsbegäran.docx", "A 29748-2022")</f>
        <v/>
      </c>
      <c r="Y34">
        <f>HYPERLINK("https://klasma.github.io/Logging_0319/tillsynsmail/A 29748-2022 tillsynsbegäran mail.docx", "A 29748-2022")</f>
        <v/>
      </c>
    </row>
    <row r="35" ht="15" customHeight="1">
      <c r="A35" t="inlineStr">
        <is>
          <t>A 6834-2023</t>
        </is>
      </c>
      <c r="B35" s="1" t="n">
        <v>44967</v>
      </c>
      <c r="C35" s="1" t="n">
        <v>45754</v>
      </c>
      <c r="D35" t="inlineStr">
        <is>
          <t>UPPSALA LÄN</t>
        </is>
      </c>
      <c r="E35" t="inlineStr">
        <is>
          <t>ÄLVKARLEBY</t>
        </is>
      </c>
      <c r="F35" t="inlineStr">
        <is>
          <t>Bergvik skog väst AB</t>
        </is>
      </c>
      <c r="G35" t="n">
        <v>8.1</v>
      </c>
      <c r="H35" t="n">
        <v>1</v>
      </c>
      <c r="I35" t="n">
        <v>0</v>
      </c>
      <c r="J35" t="n">
        <v>0</v>
      </c>
      <c r="K35" t="n">
        <v>0</v>
      </c>
      <c r="L35" t="n">
        <v>0</v>
      </c>
      <c r="M35" t="n">
        <v>0</v>
      </c>
      <c r="N35" t="n">
        <v>0</v>
      </c>
      <c r="O35" t="n">
        <v>0</v>
      </c>
      <c r="P35" t="n">
        <v>0</v>
      </c>
      <c r="Q35" t="n">
        <v>1</v>
      </c>
      <c r="R35" s="2" t="inlineStr">
        <is>
          <t>Kopparödla</t>
        </is>
      </c>
      <c r="S35">
        <f>HYPERLINK("https://klasma.github.io/Logging_0319/artfynd/A 6834-2023 artfynd.xlsx", "A 6834-2023")</f>
        <v/>
      </c>
      <c r="T35">
        <f>HYPERLINK("https://klasma.github.io/Logging_0319/kartor/A 6834-2023 karta.png", "A 6834-2023")</f>
        <v/>
      </c>
      <c r="V35">
        <f>HYPERLINK("https://klasma.github.io/Logging_0319/klagomål/A 6834-2023 FSC-klagomål.docx", "A 6834-2023")</f>
        <v/>
      </c>
      <c r="W35">
        <f>HYPERLINK("https://klasma.github.io/Logging_0319/klagomålsmail/A 6834-2023 FSC-klagomål mail.docx", "A 6834-2023")</f>
        <v/>
      </c>
      <c r="X35">
        <f>HYPERLINK("https://klasma.github.io/Logging_0319/tillsyn/A 6834-2023 tillsynsbegäran.docx", "A 6834-2023")</f>
        <v/>
      </c>
      <c r="Y35">
        <f>HYPERLINK("https://klasma.github.io/Logging_0319/tillsynsmail/A 6834-2023 tillsynsbegäran mail.docx", "A 6834-2023")</f>
        <v/>
      </c>
    </row>
    <row r="36" ht="15" customHeight="1">
      <c r="A36" t="inlineStr">
        <is>
          <t>A 12415-2023</t>
        </is>
      </c>
      <c r="B36" s="1" t="n">
        <v>44999</v>
      </c>
      <c r="C36" s="1" t="n">
        <v>45754</v>
      </c>
      <c r="D36" t="inlineStr">
        <is>
          <t>UPPSALA LÄN</t>
        </is>
      </c>
      <c r="E36" t="inlineStr">
        <is>
          <t>ÄLVKARLEBY</t>
        </is>
      </c>
      <c r="F36" t="inlineStr">
        <is>
          <t>Bergvik skog väst AB</t>
        </is>
      </c>
      <c r="G36" t="n">
        <v>7.2</v>
      </c>
      <c r="H36" t="n">
        <v>0</v>
      </c>
      <c r="I36" t="n">
        <v>1</v>
      </c>
      <c r="J36" t="n">
        <v>0</v>
      </c>
      <c r="K36" t="n">
        <v>0</v>
      </c>
      <c r="L36" t="n">
        <v>0</v>
      </c>
      <c r="M36" t="n">
        <v>0</v>
      </c>
      <c r="N36" t="n">
        <v>0</v>
      </c>
      <c r="O36" t="n">
        <v>0</v>
      </c>
      <c r="P36" t="n">
        <v>0</v>
      </c>
      <c r="Q36" t="n">
        <v>1</v>
      </c>
      <c r="R36" s="2" t="inlineStr">
        <is>
          <t>Sårläka</t>
        </is>
      </c>
      <c r="S36">
        <f>HYPERLINK("https://klasma.github.io/Logging_0319/artfynd/A 12415-2023 artfynd.xlsx", "A 12415-2023")</f>
        <v/>
      </c>
      <c r="T36">
        <f>HYPERLINK("https://klasma.github.io/Logging_0319/kartor/A 12415-2023 karta.png", "A 12415-2023")</f>
        <v/>
      </c>
      <c r="V36">
        <f>HYPERLINK("https://klasma.github.io/Logging_0319/klagomål/A 12415-2023 FSC-klagomål.docx", "A 12415-2023")</f>
        <v/>
      </c>
      <c r="W36">
        <f>HYPERLINK("https://klasma.github.io/Logging_0319/klagomålsmail/A 12415-2023 FSC-klagomål mail.docx", "A 12415-2023")</f>
        <v/>
      </c>
      <c r="X36">
        <f>HYPERLINK("https://klasma.github.io/Logging_0319/tillsyn/A 12415-2023 tillsynsbegäran.docx", "A 12415-2023")</f>
        <v/>
      </c>
      <c r="Y36">
        <f>HYPERLINK("https://klasma.github.io/Logging_0319/tillsynsmail/A 12415-2023 tillsynsbegäran mail.docx", "A 12415-2023")</f>
        <v/>
      </c>
    </row>
    <row r="37" ht="15" customHeight="1">
      <c r="A37" t="inlineStr">
        <is>
          <t>A 46354-2023</t>
        </is>
      </c>
      <c r="B37" s="1" t="n">
        <v>45197</v>
      </c>
      <c r="C37" s="1" t="n">
        <v>45754</v>
      </c>
      <c r="D37" t="inlineStr">
        <is>
          <t>UPPSALA LÄN</t>
        </is>
      </c>
      <c r="E37" t="inlineStr">
        <is>
          <t>ÄLVKARLEBY</t>
        </is>
      </c>
      <c r="F37" t="inlineStr">
        <is>
          <t>Bergvik skog öst AB</t>
        </is>
      </c>
      <c r="G37" t="n">
        <v>2.3</v>
      </c>
      <c r="H37" t="n">
        <v>1</v>
      </c>
      <c r="I37" t="n">
        <v>1</v>
      </c>
      <c r="J37" t="n">
        <v>0</v>
      </c>
      <c r="K37" t="n">
        <v>0</v>
      </c>
      <c r="L37" t="n">
        <v>0</v>
      </c>
      <c r="M37" t="n">
        <v>0</v>
      </c>
      <c r="N37" t="n">
        <v>0</v>
      </c>
      <c r="O37" t="n">
        <v>0</v>
      </c>
      <c r="P37" t="n">
        <v>0</v>
      </c>
      <c r="Q37" t="n">
        <v>1</v>
      </c>
      <c r="R37" s="2" t="inlineStr">
        <is>
          <t>Skogsknipprot</t>
        </is>
      </c>
      <c r="S37">
        <f>HYPERLINK("https://klasma.github.io/Logging_0319/artfynd/A 46354-2023 artfynd.xlsx", "A 46354-2023")</f>
        <v/>
      </c>
      <c r="T37">
        <f>HYPERLINK("https://klasma.github.io/Logging_0319/kartor/A 46354-2023 karta.png", "A 46354-2023")</f>
        <v/>
      </c>
      <c r="V37">
        <f>HYPERLINK("https://klasma.github.io/Logging_0319/klagomål/A 46354-2023 FSC-klagomål.docx", "A 46354-2023")</f>
        <v/>
      </c>
      <c r="W37">
        <f>HYPERLINK("https://klasma.github.io/Logging_0319/klagomålsmail/A 46354-2023 FSC-klagomål mail.docx", "A 46354-2023")</f>
        <v/>
      </c>
      <c r="X37">
        <f>HYPERLINK("https://klasma.github.io/Logging_0319/tillsyn/A 46354-2023 tillsynsbegäran.docx", "A 46354-2023")</f>
        <v/>
      </c>
      <c r="Y37">
        <f>HYPERLINK("https://klasma.github.io/Logging_0319/tillsynsmail/A 46354-2023 tillsynsbegäran mail.docx", "A 46354-2023")</f>
        <v/>
      </c>
    </row>
    <row r="38" ht="15" customHeight="1">
      <c r="A38" t="inlineStr">
        <is>
          <t>A 5209-2024</t>
        </is>
      </c>
      <c r="B38" s="1" t="n">
        <v>45330</v>
      </c>
      <c r="C38" s="1" t="n">
        <v>45754</v>
      </c>
      <c r="D38" t="inlineStr">
        <is>
          <t>UPPSALA LÄN</t>
        </is>
      </c>
      <c r="E38" t="inlineStr">
        <is>
          <t>ÄLVKARLEBY</t>
        </is>
      </c>
      <c r="G38" t="n">
        <v>6.3</v>
      </c>
      <c r="H38" t="n">
        <v>1</v>
      </c>
      <c r="I38" t="n">
        <v>1</v>
      </c>
      <c r="J38" t="n">
        <v>0</v>
      </c>
      <c r="K38" t="n">
        <v>0</v>
      </c>
      <c r="L38" t="n">
        <v>0</v>
      </c>
      <c r="M38" t="n">
        <v>0</v>
      </c>
      <c r="N38" t="n">
        <v>0</v>
      </c>
      <c r="O38" t="n">
        <v>0</v>
      </c>
      <c r="P38" t="n">
        <v>0</v>
      </c>
      <c r="Q38" t="n">
        <v>1</v>
      </c>
      <c r="R38" s="2" t="inlineStr">
        <is>
          <t>Guckusko</t>
        </is>
      </c>
      <c r="S38">
        <f>HYPERLINK("https://klasma.github.io/Logging_0319/artfynd/A 5209-2024 artfynd.xlsx", "A 5209-2024")</f>
        <v/>
      </c>
      <c r="T38">
        <f>HYPERLINK("https://klasma.github.io/Logging_0319/kartor/A 5209-2024 karta.png", "A 5209-2024")</f>
        <v/>
      </c>
      <c r="V38">
        <f>HYPERLINK("https://klasma.github.io/Logging_0319/klagomål/A 5209-2024 FSC-klagomål.docx", "A 5209-2024")</f>
        <v/>
      </c>
      <c r="W38">
        <f>HYPERLINK("https://klasma.github.io/Logging_0319/klagomålsmail/A 5209-2024 FSC-klagomål mail.docx", "A 5209-2024")</f>
        <v/>
      </c>
      <c r="X38">
        <f>HYPERLINK("https://klasma.github.io/Logging_0319/tillsyn/A 5209-2024 tillsynsbegäran.docx", "A 5209-2024")</f>
        <v/>
      </c>
      <c r="Y38">
        <f>HYPERLINK("https://klasma.github.io/Logging_0319/tillsynsmail/A 5209-2024 tillsynsbegäran mail.docx", "A 5209-2024")</f>
        <v/>
      </c>
    </row>
    <row r="39" ht="15" customHeight="1">
      <c r="A39" t="inlineStr">
        <is>
          <t>A 19300-2024</t>
        </is>
      </c>
      <c r="B39" s="1" t="n">
        <v>45428</v>
      </c>
      <c r="C39" s="1" t="n">
        <v>45754</v>
      </c>
      <c r="D39" t="inlineStr">
        <is>
          <t>UPPSALA LÄN</t>
        </is>
      </c>
      <c r="E39" t="inlineStr">
        <is>
          <t>ÄLVKARLEBY</t>
        </is>
      </c>
      <c r="G39" t="n">
        <v>0.9</v>
      </c>
      <c r="H39" t="n">
        <v>1</v>
      </c>
      <c r="I39" t="n">
        <v>0</v>
      </c>
      <c r="J39" t="n">
        <v>0</v>
      </c>
      <c r="K39" t="n">
        <v>1</v>
      </c>
      <c r="L39" t="n">
        <v>0</v>
      </c>
      <c r="M39" t="n">
        <v>0</v>
      </c>
      <c r="N39" t="n">
        <v>0</v>
      </c>
      <c r="O39" t="n">
        <v>1</v>
      </c>
      <c r="P39" t="n">
        <v>1</v>
      </c>
      <c r="Q39" t="n">
        <v>1</v>
      </c>
      <c r="R39" s="2" t="inlineStr">
        <is>
          <t>Kricka</t>
        </is>
      </c>
      <c r="S39">
        <f>HYPERLINK("https://klasma.github.io/Logging_0319/artfynd/A 19300-2024 artfynd.xlsx", "A 19300-2024")</f>
        <v/>
      </c>
      <c r="T39">
        <f>HYPERLINK("https://klasma.github.io/Logging_0319/kartor/A 19300-2024 karta.png", "A 19300-2024")</f>
        <v/>
      </c>
      <c r="V39">
        <f>HYPERLINK("https://klasma.github.io/Logging_0319/klagomål/A 19300-2024 FSC-klagomål.docx", "A 19300-2024")</f>
        <v/>
      </c>
      <c r="W39">
        <f>HYPERLINK("https://klasma.github.io/Logging_0319/klagomålsmail/A 19300-2024 FSC-klagomål mail.docx", "A 19300-2024")</f>
        <v/>
      </c>
      <c r="X39">
        <f>HYPERLINK("https://klasma.github.io/Logging_0319/tillsyn/A 19300-2024 tillsynsbegäran.docx", "A 19300-2024")</f>
        <v/>
      </c>
      <c r="Y39">
        <f>HYPERLINK("https://klasma.github.io/Logging_0319/tillsynsmail/A 19300-2024 tillsynsbegäran mail.docx", "A 19300-2024")</f>
        <v/>
      </c>
      <c r="Z39">
        <f>HYPERLINK("https://klasma.github.io/Logging_0319/fåglar/A 19300-2024 prioriterade fågelarter.docx", "A 19300-2024")</f>
        <v/>
      </c>
    </row>
    <row r="40" ht="15" customHeight="1">
      <c r="A40" t="inlineStr">
        <is>
          <t>A 21700-2024</t>
        </is>
      </c>
      <c r="B40" s="1" t="n">
        <v>45442</v>
      </c>
      <c r="C40" s="1" t="n">
        <v>45754</v>
      </c>
      <c r="D40" t="inlineStr">
        <is>
          <t>UPPSALA LÄN</t>
        </is>
      </c>
      <c r="E40" t="inlineStr">
        <is>
          <t>ÄLVKARLEBY</t>
        </is>
      </c>
      <c r="F40" t="inlineStr">
        <is>
          <t>Bergvik skog väst AB</t>
        </is>
      </c>
      <c r="G40" t="n">
        <v>1.1</v>
      </c>
      <c r="H40" t="n">
        <v>0</v>
      </c>
      <c r="I40" t="n">
        <v>0</v>
      </c>
      <c r="J40" t="n">
        <v>0</v>
      </c>
      <c r="K40" t="n">
        <v>1</v>
      </c>
      <c r="L40" t="n">
        <v>0</v>
      </c>
      <c r="M40" t="n">
        <v>0</v>
      </c>
      <c r="N40" t="n">
        <v>0</v>
      </c>
      <c r="O40" t="n">
        <v>1</v>
      </c>
      <c r="P40" t="n">
        <v>1</v>
      </c>
      <c r="Q40" t="n">
        <v>1</v>
      </c>
      <c r="R40" s="2" t="inlineStr">
        <is>
          <t>Töcknig trymal</t>
        </is>
      </c>
      <c r="S40">
        <f>HYPERLINK("https://klasma.github.io/Logging_0319/artfynd/A 21700-2024 artfynd.xlsx", "A 21700-2024")</f>
        <v/>
      </c>
      <c r="T40">
        <f>HYPERLINK("https://klasma.github.io/Logging_0319/kartor/A 21700-2024 karta.png", "A 21700-2024")</f>
        <v/>
      </c>
      <c r="V40">
        <f>HYPERLINK("https://klasma.github.io/Logging_0319/klagomål/A 21700-2024 FSC-klagomål.docx", "A 21700-2024")</f>
        <v/>
      </c>
      <c r="W40">
        <f>HYPERLINK("https://klasma.github.io/Logging_0319/klagomålsmail/A 21700-2024 FSC-klagomål mail.docx", "A 21700-2024")</f>
        <v/>
      </c>
      <c r="X40">
        <f>HYPERLINK("https://klasma.github.io/Logging_0319/tillsyn/A 21700-2024 tillsynsbegäran.docx", "A 21700-2024")</f>
        <v/>
      </c>
      <c r="Y40">
        <f>HYPERLINK("https://klasma.github.io/Logging_0319/tillsynsmail/A 21700-2024 tillsynsbegäran mail.docx", "A 21700-2024")</f>
        <v/>
      </c>
    </row>
    <row r="41" ht="15" customHeight="1">
      <c r="A41" t="inlineStr">
        <is>
          <t>A 26471-2024</t>
        </is>
      </c>
      <c r="B41" s="1" t="n">
        <v>45469</v>
      </c>
      <c r="C41" s="1" t="n">
        <v>45754</v>
      </c>
      <c r="D41" t="inlineStr">
        <is>
          <t>UPPSALA LÄN</t>
        </is>
      </c>
      <c r="E41" t="inlineStr">
        <is>
          <t>ÄLVKARLEBY</t>
        </is>
      </c>
      <c r="F41" t="inlineStr">
        <is>
          <t>Bergvik skog väst AB</t>
        </is>
      </c>
      <c r="G41" t="n">
        <v>5.3</v>
      </c>
      <c r="H41" t="n">
        <v>1</v>
      </c>
      <c r="I41" t="n">
        <v>0</v>
      </c>
      <c r="J41" t="n">
        <v>1</v>
      </c>
      <c r="K41" t="n">
        <v>0</v>
      </c>
      <c r="L41" t="n">
        <v>0</v>
      </c>
      <c r="M41" t="n">
        <v>0</v>
      </c>
      <c r="N41" t="n">
        <v>0</v>
      </c>
      <c r="O41" t="n">
        <v>1</v>
      </c>
      <c r="P41" t="n">
        <v>0</v>
      </c>
      <c r="Q41" t="n">
        <v>1</v>
      </c>
      <c r="R41" s="2" t="inlineStr">
        <is>
          <t>Slaguggla</t>
        </is>
      </c>
      <c r="S41">
        <f>HYPERLINK("https://klasma.github.io/Logging_0319/artfynd/A 26471-2024 artfynd.xlsx", "A 26471-2024")</f>
        <v/>
      </c>
      <c r="T41">
        <f>HYPERLINK("https://klasma.github.io/Logging_0319/kartor/A 26471-2024 karta.png", "A 26471-2024")</f>
        <v/>
      </c>
      <c r="V41">
        <f>HYPERLINK("https://klasma.github.io/Logging_0319/klagomål/A 26471-2024 FSC-klagomål.docx", "A 26471-2024")</f>
        <v/>
      </c>
      <c r="W41">
        <f>HYPERLINK("https://klasma.github.io/Logging_0319/klagomålsmail/A 26471-2024 FSC-klagomål mail.docx", "A 26471-2024")</f>
        <v/>
      </c>
      <c r="X41">
        <f>HYPERLINK("https://klasma.github.io/Logging_0319/tillsyn/A 26471-2024 tillsynsbegäran.docx", "A 26471-2024")</f>
        <v/>
      </c>
      <c r="Y41">
        <f>HYPERLINK("https://klasma.github.io/Logging_0319/tillsynsmail/A 26471-2024 tillsynsbegäran mail.docx", "A 26471-2024")</f>
        <v/>
      </c>
      <c r="Z41">
        <f>HYPERLINK("https://klasma.github.io/Logging_0319/fåglar/A 26471-2024 prioriterade fågelarter.docx", "A 26471-2024")</f>
        <v/>
      </c>
    </row>
    <row r="42" ht="15" customHeight="1">
      <c r="A42" t="inlineStr">
        <is>
          <t>A 33775-2024</t>
        </is>
      </c>
      <c r="B42" s="1" t="n">
        <v>45520</v>
      </c>
      <c r="C42" s="1" t="n">
        <v>45754</v>
      </c>
      <c r="D42" t="inlineStr">
        <is>
          <t>UPPSALA LÄN</t>
        </is>
      </c>
      <c r="E42" t="inlineStr">
        <is>
          <t>ÄLVKARLEBY</t>
        </is>
      </c>
      <c r="F42" t="inlineStr">
        <is>
          <t>Bergvik skog väst AB</t>
        </is>
      </c>
      <c r="G42" t="n">
        <v>5.6</v>
      </c>
      <c r="H42" t="n">
        <v>0</v>
      </c>
      <c r="I42" t="n">
        <v>1</v>
      </c>
      <c r="J42" t="n">
        <v>0</v>
      </c>
      <c r="K42" t="n">
        <v>0</v>
      </c>
      <c r="L42" t="n">
        <v>0</v>
      </c>
      <c r="M42" t="n">
        <v>0</v>
      </c>
      <c r="N42" t="n">
        <v>0</v>
      </c>
      <c r="O42" t="n">
        <v>0</v>
      </c>
      <c r="P42" t="n">
        <v>0</v>
      </c>
      <c r="Q42" t="n">
        <v>1</v>
      </c>
      <c r="R42" s="2" t="inlineStr">
        <is>
          <t>Tibast</t>
        </is>
      </c>
      <c r="S42">
        <f>HYPERLINK("https://klasma.github.io/Logging_0319/artfynd/A 33775-2024 artfynd.xlsx", "A 33775-2024")</f>
        <v/>
      </c>
      <c r="T42">
        <f>HYPERLINK("https://klasma.github.io/Logging_0319/kartor/A 33775-2024 karta.png", "A 33775-2024")</f>
        <v/>
      </c>
      <c r="V42">
        <f>HYPERLINK("https://klasma.github.io/Logging_0319/klagomål/A 33775-2024 FSC-klagomål.docx", "A 33775-2024")</f>
        <v/>
      </c>
      <c r="W42">
        <f>HYPERLINK("https://klasma.github.io/Logging_0319/klagomålsmail/A 33775-2024 FSC-klagomål mail.docx", "A 33775-2024")</f>
        <v/>
      </c>
      <c r="X42">
        <f>HYPERLINK("https://klasma.github.io/Logging_0319/tillsyn/A 33775-2024 tillsynsbegäran.docx", "A 33775-2024")</f>
        <v/>
      </c>
      <c r="Y42">
        <f>HYPERLINK("https://klasma.github.io/Logging_0319/tillsynsmail/A 33775-2024 tillsynsbegäran mail.docx", "A 33775-2024")</f>
        <v/>
      </c>
    </row>
    <row r="43" ht="15" customHeight="1">
      <c r="A43" t="inlineStr">
        <is>
          <t>A 33796-2024</t>
        </is>
      </c>
      <c r="B43" s="1" t="n">
        <v>45520</v>
      </c>
      <c r="C43" s="1" t="n">
        <v>45754</v>
      </c>
      <c r="D43" t="inlineStr">
        <is>
          <t>UPPSALA LÄN</t>
        </is>
      </c>
      <c r="E43" t="inlineStr">
        <is>
          <t>ÄLVKARLEBY</t>
        </is>
      </c>
      <c r="F43" t="inlineStr">
        <is>
          <t>Bergvik skog väst AB</t>
        </is>
      </c>
      <c r="G43" t="n">
        <v>4.6</v>
      </c>
      <c r="H43" t="n">
        <v>1</v>
      </c>
      <c r="I43" t="n">
        <v>0</v>
      </c>
      <c r="J43" t="n">
        <v>0</v>
      </c>
      <c r="K43" t="n">
        <v>0</v>
      </c>
      <c r="L43" t="n">
        <v>0</v>
      </c>
      <c r="M43" t="n">
        <v>0</v>
      </c>
      <c r="N43" t="n">
        <v>0</v>
      </c>
      <c r="O43" t="n">
        <v>0</v>
      </c>
      <c r="P43" t="n">
        <v>0</v>
      </c>
      <c r="Q43" t="n">
        <v>1</v>
      </c>
      <c r="R43" s="2" t="inlineStr">
        <is>
          <t>Revlummer</t>
        </is>
      </c>
      <c r="S43">
        <f>HYPERLINK("https://klasma.github.io/Logging_0319/artfynd/A 33796-2024 artfynd.xlsx", "A 33796-2024")</f>
        <v/>
      </c>
      <c r="T43">
        <f>HYPERLINK("https://klasma.github.io/Logging_0319/kartor/A 33796-2024 karta.png", "A 33796-2024")</f>
        <v/>
      </c>
      <c r="V43">
        <f>HYPERLINK("https://klasma.github.io/Logging_0319/klagomål/A 33796-2024 FSC-klagomål.docx", "A 33796-2024")</f>
        <v/>
      </c>
      <c r="W43">
        <f>HYPERLINK("https://klasma.github.io/Logging_0319/klagomålsmail/A 33796-2024 FSC-klagomål mail.docx", "A 33796-2024")</f>
        <v/>
      </c>
      <c r="X43">
        <f>HYPERLINK("https://klasma.github.io/Logging_0319/tillsyn/A 33796-2024 tillsynsbegäran.docx", "A 33796-2024")</f>
        <v/>
      </c>
      <c r="Y43">
        <f>HYPERLINK("https://klasma.github.io/Logging_0319/tillsynsmail/A 33796-2024 tillsynsbegäran mail.docx", "A 33796-2024")</f>
        <v/>
      </c>
    </row>
    <row r="44" ht="15" customHeight="1">
      <c r="A44" t="inlineStr">
        <is>
          <t>A 55554-2024</t>
        </is>
      </c>
      <c r="B44" s="1" t="n">
        <v>45622</v>
      </c>
      <c r="C44" s="1" t="n">
        <v>45754</v>
      </c>
      <c r="D44" t="inlineStr">
        <is>
          <t>UPPSALA LÄN</t>
        </is>
      </c>
      <c r="E44" t="inlineStr">
        <is>
          <t>ÄLVKARLEBY</t>
        </is>
      </c>
      <c r="F44" t="inlineStr">
        <is>
          <t>Bergvik skog väst AB</t>
        </is>
      </c>
      <c r="G44" t="n">
        <v>1.2</v>
      </c>
      <c r="H44" t="n">
        <v>1</v>
      </c>
      <c r="I44" t="n">
        <v>0</v>
      </c>
      <c r="J44" t="n">
        <v>0</v>
      </c>
      <c r="K44" t="n">
        <v>1</v>
      </c>
      <c r="L44" t="n">
        <v>0</v>
      </c>
      <c r="M44" t="n">
        <v>0</v>
      </c>
      <c r="N44" t="n">
        <v>0</v>
      </c>
      <c r="O44" t="n">
        <v>1</v>
      </c>
      <c r="P44" t="n">
        <v>1</v>
      </c>
      <c r="Q44" t="n">
        <v>1</v>
      </c>
      <c r="R44" s="2" t="inlineStr">
        <is>
          <t>Knärot</t>
        </is>
      </c>
      <c r="S44">
        <f>HYPERLINK("https://klasma.github.io/Logging_0319/artfynd/A 55554-2024 artfynd.xlsx", "A 55554-2024")</f>
        <v/>
      </c>
      <c r="T44">
        <f>HYPERLINK("https://klasma.github.io/Logging_0319/kartor/A 55554-2024 karta.png", "A 55554-2024")</f>
        <v/>
      </c>
      <c r="U44">
        <f>HYPERLINK("https://klasma.github.io/Logging_0319/knärot/A 55554-2024 karta knärot.png", "A 55554-2024")</f>
        <v/>
      </c>
      <c r="V44">
        <f>HYPERLINK("https://klasma.github.io/Logging_0319/klagomål/A 55554-2024 FSC-klagomål.docx", "A 55554-2024")</f>
        <v/>
      </c>
      <c r="W44">
        <f>HYPERLINK("https://klasma.github.io/Logging_0319/klagomålsmail/A 55554-2024 FSC-klagomål mail.docx", "A 55554-2024")</f>
        <v/>
      </c>
      <c r="X44">
        <f>HYPERLINK("https://klasma.github.io/Logging_0319/tillsyn/A 55554-2024 tillsynsbegäran.docx", "A 55554-2024")</f>
        <v/>
      </c>
      <c r="Y44">
        <f>HYPERLINK("https://klasma.github.io/Logging_0319/tillsynsmail/A 55554-2024 tillsynsbegäran mail.docx", "A 55554-2024")</f>
        <v/>
      </c>
    </row>
    <row r="45" ht="15" customHeight="1">
      <c r="A45" t="inlineStr">
        <is>
          <t>A 55560-2024</t>
        </is>
      </c>
      <c r="B45" s="1" t="n">
        <v>45622</v>
      </c>
      <c r="C45" s="1" t="n">
        <v>45754</v>
      </c>
      <c r="D45" t="inlineStr">
        <is>
          <t>UPPSALA LÄN</t>
        </is>
      </c>
      <c r="E45" t="inlineStr">
        <is>
          <t>ÄLVKARLEBY</t>
        </is>
      </c>
      <c r="F45" t="inlineStr">
        <is>
          <t>Bergvik skog väst AB</t>
        </is>
      </c>
      <c r="G45" t="n">
        <v>1</v>
      </c>
      <c r="H45" t="n">
        <v>1</v>
      </c>
      <c r="I45" t="n">
        <v>0</v>
      </c>
      <c r="J45" t="n">
        <v>0</v>
      </c>
      <c r="K45" t="n">
        <v>1</v>
      </c>
      <c r="L45" t="n">
        <v>0</v>
      </c>
      <c r="M45" t="n">
        <v>0</v>
      </c>
      <c r="N45" t="n">
        <v>0</v>
      </c>
      <c r="O45" t="n">
        <v>1</v>
      </c>
      <c r="P45" t="n">
        <v>1</v>
      </c>
      <c r="Q45" t="n">
        <v>1</v>
      </c>
      <c r="R45" s="2" t="inlineStr">
        <is>
          <t>Knärot</t>
        </is>
      </c>
      <c r="S45">
        <f>HYPERLINK("https://klasma.github.io/Logging_0319/artfynd/A 55560-2024 artfynd.xlsx", "A 55560-2024")</f>
        <v/>
      </c>
      <c r="T45">
        <f>HYPERLINK("https://klasma.github.io/Logging_0319/kartor/A 55560-2024 karta.png", "A 55560-2024")</f>
        <v/>
      </c>
      <c r="U45">
        <f>HYPERLINK("https://klasma.github.io/Logging_0319/knärot/A 55560-2024 karta knärot.png", "A 55560-2024")</f>
        <v/>
      </c>
      <c r="V45">
        <f>HYPERLINK("https://klasma.github.io/Logging_0319/klagomål/A 55560-2024 FSC-klagomål.docx", "A 55560-2024")</f>
        <v/>
      </c>
      <c r="W45">
        <f>HYPERLINK("https://klasma.github.io/Logging_0319/klagomålsmail/A 55560-2024 FSC-klagomål mail.docx", "A 55560-2024")</f>
        <v/>
      </c>
      <c r="X45">
        <f>HYPERLINK("https://klasma.github.io/Logging_0319/tillsyn/A 55560-2024 tillsynsbegäran.docx", "A 55560-2024")</f>
        <v/>
      </c>
      <c r="Y45">
        <f>HYPERLINK("https://klasma.github.io/Logging_0319/tillsynsmail/A 55560-2024 tillsynsbegäran mail.docx", "A 55560-2024")</f>
        <v/>
      </c>
    </row>
    <row r="46" ht="15" customHeight="1">
      <c r="A46" t="inlineStr">
        <is>
          <t>A 9521-2025</t>
        </is>
      </c>
      <c r="B46" s="1" t="n">
        <v>45715</v>
      </c>
      <c r="C46" s="1" t="n">
        <v>45754</v>
      </c>
      <c r="D46" t="inlineStr">
        <is>
          <t>UPPSALA LÄN</t>
        </is>
      </c>
      <c r="E46" t="inlineStr">
        <is>
          <t>ÄLVKARLEBY</t>
        </is>
      </c>
      <c r="G46" t="n">
        <v>6.3</v>
      </c>
      <c r="H46" t="n">
        <v>0</v>
      </c>
      <c r="I46" t="n">
        <v>1</v>
      </c>
      <c r="J46" t="n">
        <v>0</v>
      </c>
      <c r="K46" t="n">
        <v>0</v>
      </c>
      <c r="L46" t="n">
        <v>0</v>
      </c>
      <c r="M46" t="n">
        <v>0</v>
      </c>
      <c r="N46" t="n">
        <v>0</v>
      </c>
      <c r="O46" t="n">
        <v>0</v>
      </c>
      <c r="P46" t="n">
        <v>0</v>
      </c>
      <c r="Q46" t="n">
        <v>1</v>
      </c>
      <c r="R46" s="2" t="inlineStr">
        <is>
          <t>Rödgul trumpetsvamp</t>
        </is>
      </c>
      <c r="S46">
        <f>HYPERLINK("https://klasma.github.io/Logging_030319/artfynd/A 9521-2025 artfynd.xlsx", "A 9521-2025")</f>
        <v/>
      </c>
      <c r="T46">
        <f>HYPERLINK("https://klasma.github.io/Logging_030319/kartor/A 9521-2025 karta.png", "A 9521-2025")</f>
        <v/>
      </c>
      <c r="V46">
        <f>HYPERLINK("https://klasma.github.io/Logging_030319/klagomål/A 9521-2025 FSC-klagomål.docx", "A 9521-2025")</f>
        <v/>
      </c>
      <c r="W46">
        <f>HYPERLINK("https://klasma.github.io/Logging_030319/klagomålsmail/A 9521-2025 FSC-klagomål mail.docx", "A 9521-2025")</f>
        <v/>
      </c>
      <c r="X46">
        <f>HYPERLINK("https://klasma.github.io/Logging_030319/tillsyn/A 9521-2025 tillsynsbegäran.docx", "A 9521-2025")</f>
        <v/>
      </c>
      <c r="Y46">
        <f>HYPERLINK("https://klasma.github.io/Logging_030319/tillsynsmail/A 9521-2025 tillsynsbegäran mail.docx", "A 9521-2025")</f>
        <v/>
      </c>
    </row>
    <row r="47" ht="15" customHeight="1">
      <c r="A47" t="inlineStr">
        <is>
          <t>A 12427-2025</t>
        </is>
      </c>
      <c r="B47" s="1" t="n">
        <v>45730</v>
      </c>
      <c r="C47" s="1" t="n">
        <v>45754</v>
      </c>
      <c r="D47" t="inlineStr">
        <is>
          <t>UPPSALA LÄN</t>
        </is>
      </c>
      <c r="E47" t="inlineStr">
        <is>
          <t>ÄLVKARLEBY</t>
        </is>
      </c>
      <c r="F47" t="inlineStr">
        <is>
          <t>Bergvik skog öst AB</t>
        </is>
      </c>
      <c r="G47" t="n">
        <v>9.300000000000001</v>
      </c>
      <c r="H47" t="n">
        <v>1</v>
      </c>
      <c r="I47" t="n">
        <v>1</v>
      </c>
      <c r="J47" t="n">
        <v>0</v>
      </c>
      <c r="K47" t="n">
        <v>0</v>
      </c>
      <c r="L47" t="n">
        <v>0</v>
      </c>
      <c r="M47" t="n">
        <v>0</v>
      </c>
      <c r="N47" t="n">
        <v>0</v>
      </c>
      <c r="O47" t="n">
        <v>0</v>
      </c>
      <c r="P47" t="n">
        <v>0</v>
      </c>
      <c r="Q47" t="n">
        <v>1</v>
      </c>
      <c r="R47" s="2" t="inlineStr">
        <is>
          <t>Guckusko</t>
        </is>
      </c>
      <c r="S47">
        <f>HYPERLINK("https://klasma.github.io/Logging_030319/artfynd/A 12427-2025 artfynd.xlsx", "A 12427-2025")</f>
        <v/>
      </c>
      <c r="T47">
        <f>HYPERLINK("https://klasma.github.io/Logging_030319/kartor/A 12427-2025 karta.png", "A 12427-2025")</f>
        <v/>
      </c>
      <c r="V47">
        <f>HYPERLINK("https://klasma.github.io/Logging_030319/klagomål/A 12427-2025 FSC-klagomål.docx", "A 12427-2025")</f>
        <v/>
      </c>
      <c r="W47">
        <f>HYPERLINK("https://klasma.github.io/Logging_030319/klagomålsmail/A 12427-2025 FSC-klagomål mail.docx", "A 12427-2025")</f>
        <v/>
      </c>
      <c r="X47">
        <f>HYPERLINK("https://klasma.github.io/Logging_030319/tillsyn/A 12427-2025 tillsynsbegäran.docx", "A 12427-2025")</f>
        <v/>
      </c>
      <c r="Y47">
        <f>HYPERLINK("https://klasma.github.io/Logging_030319/tillsynsmail/A 12427-2025 tillsynsbegäran mail.docx", "A 12427-2025")</f>
        <v/>
      </c>
    </row>
    <row r="48" ht="15" customHeight="1">
      <c r="A48" t="inlineStr">
        <is>
          <t>A 19969-2019</t>
        </is>
      </c>
      <c r="B48" s="1" t="n">
        <v>43570</v>
      </c>
      <c r="C48" s="1" t="n">
        <v>45754</v>
      </c>
      <c r="D48" t="inlineStr">
        <is>
          <t>UPPSALA LÄN</t>
        </is>
      </c>
      <c r="E48" t="inlineStr">
        <is>
          <t>ÄLVKARLEBY</t>
        </is>
      </c>
      <c r="F48" t="inlineStr">
        <is>
          <t>Bergvik skog väst AB</t>
        </is>
      </c>
      <c r="G48" t="n">
        <v>3.6</v>
      </c>
      <c r="H48" t="n">
        <v>0</v>
      </c>
      <c r="I48" t="n">
        <v>0</v>
      </c>
      <c r="J48" t="n">
        <v>0</v>
      </c>
      <c r="K48" t="n">
        <v>0</v>
      </c>
      <c r="L48" t="n">
        <v>0</v>
      </c>
      <c r="M48" t="n">
        <v>0</v>
      </c>
      <c r="N48" t="n">
        <v>0</v>
      </c>
      <c r="O48" t="n">
        <v>0</v>
      </c>
      <c r="P48" t="n">
        <v>0</v>
      </c>
      <c r="Q48" t="n">
        <v>0</v>
      </c>
      <c r="R48" s="2" t="inlineStr"/>
    </row>
    <row r="49" ht="15" customHeight="1">
      <c r="A49" t="inlineStr">
        <is>
          <t>A 24105-2019</t>
        </is>
      </c>
      <c r="B49" s="1" t="n">
        <v>43598</v>
      </c>
      <c r="C49" s="1" t="n">
        <v>45754</v>
      </c>
      <c r="D49" t="inlineStr">
        <is>
          <t>UPPSALA LÄN</t>
        </is>
      </c>
      <c r="E49" t="inlineStr">
        <is>
          <t>ÄLVKARLEBY</t>
        </is>
      </c>
      <c r="F49" t="inlineStr">
        <is>
          <t>Kyrkan</t>
        </is>
      </c>
      <c r="G49" t="n">
        <v>0.6</v>
      </c>
      <c r="H49" t="n">
        <v>0</v>
      </c>
      <c r="I49" t="n">
        <v>0</v>
      </c>
      <c r="J49" t="n">
        <v>0</v>
      </c>
      <c r="K49" t="n">
        <v>0</v>
      </c>
      <c r="L49" t="n">
        <v>0</v>
      </c>
      <c r="M49" t="n">
        <v>0</v>
      </c>
      <c r="N49" t="n">
        <v>0</v>
      </c>
      <c r="O49" t="n">
        <v>0</v>
      </c>
      <c r="P49" t="n">
        <v>0</v>
      </c>
      <c r="Q49" t="n">
        <v>0</v>
      </c>
      <c r="R49" s="2" t="inlineStr"/>
    </row>
    <row r="50" ht="15" customHeight="1">
      <c r="A50" t="inlineStr">
        <is>
          <t>A 25340-2019</t>
        </is>
      </c>
      <c r="B50" s="1" t="n">
        <v>43606</v>
      </c>
      <c r="C50" s="1" t="n">
        <v>45754</v>
      </c>
      <c r="D50" t="inlineStr">
        <is>
          <t>UPPSALA LÄN</t>
        </is>
      </c>
      <c r="E50" t="inlineStr">
        <is>
          <t>ÄLVKARLEBY</t>
        </is>
      </c>
      <c r="F50" t="inlineStr">
        <is>
          <t>Bergvik skog väst AB</t>
        </is>
      </c>
      <c r="G50" t="n">
        <v>2.9</v>
      </c>
      <c r="H50" t="n">
        <v>0</v>
      </c>
      <c r="I50" t="n">
        <v>0</v>
      </c>
      <c r="J50" t="n">
        <v>0</v>
      </c>
      <c r="K50" t="n">
        <v>0</v>
      </c>
      <c r="L50" t="n">
        <v>0</v>
      </c>
      <c r="M50" t="n">
        <v>0</v>
      </c>
      <c r="N50" t="n">
        <v>0</v>
      </c>
      <c r="O50" t="n">
        <v>0</v>
      </c>
      <c r="P50" t="n">
        <v>0</v>
      </c>
      <c r="Q50" t="n">
        <v>0</v>
      </c>
      <c r="R50" s="2" t="inlineStr"/>
    </row>
    <row r="51" ht="15" customHeight="1">
      <c r="A51" t="inlineStr">
        <is>
          <t>A 44457-2019</t>
        </is>
      </c>
      <c r="B51" s="1" t="n">
        <v>43711</v>
      </c>
      <c r="C51" s="1" t="n">
        <v>45754</v>
      </c>
      <c r="D51" t="inlineStr">
        <is>
          <t>UPPSALA LÄN</t>
        </is>
      </c>
      <c r="E51" t="inlineStr">
        <is>
          <t>ÄLVKARLEBY</t>
        </is>
      </c>
      <c r="F51" t="inlineStr">
        <is>
          <t>Bergvik skog väst AB</t>
        </is>
      </c>
      <c r="G51" t="n">
        <v>8.699999999999999</v>
      </c>
      <c r="H51" t="n">
        <v>0</v>
      </c>
      <c r="I51" t="n">
        <v>0</v>
      </c>
      <c r="J51" t="n">
        <v>0</v>
      </c>
      <c r="K51" t="n">
        <v>0</v>
      </c>
      <c r="L51" t="n">
        <v>0</v>
      </c>
      <c r="M51" t="n">
        <v>0</v>
      </c>
      <c r="N51" t="n">
        <v>0</v>
      </c>
      <c r="O51" t="n">
        <v>0</v>
      </c>
      <c r="P51" t="n">
        <v>0</v>
      </c>
      <c r="Q51" t="n">
        <v>0</v>
      </c>
      <c r="R51" s="2" t="inlineStr"/>
    </row>
    <row r="52" ht="15" customHeight="1">
      <c r="A52" t="inlineStr">
        <is>
          <t>A 57745-2019</t>
        </is>
      </c>
      <c r="B52" s="1" t="n">
        <v>43768</v>
      </c>
      <c r="C52" s="1" t="n">
        <v>45754</v>
      </c>
      <c r="D52" t="inlineStr">
        <is>
          <t>UPPSALA LÄN</t>
        </is>
      </c>
      <c r="E52" t="inlineStr">
        <is>
          <t>ÄLVKARLEBY</t>
        </is>
      </c>
      <c r="F52" t="inlineStr">
        <is>
          <t>Bergvik skog väst AB</t>
        </is>
      </c>
      <c r="G52" t="n">
        <v>0.5</v>
      </c>
      <c r="H52" t="n">
        <v>0</v>
      </c>
      <c r="I52" t="n">
        <v>0</v>
      </c>
      <c r="J52" t="n">
        <v>0</v>
      </c>
      <c r="K52" t="n">
        <v>0</v>
      </c>
      <c r="L52" t="n">
        <v>0</v>
      </c>
      <c r="M52" t="n">
        <v>0</v>
      </c>
      <c r="N52" t="n">
        <v>0</v>
      </c>
      <c r="O52" t="n">
        <v>0</v>
      </c>
      <c r="P52" t="n">
        <v>0</v>
      </c>
      <c r="Q52" t="n">
        <v>0</v>
      </c>
      <c r="R52" s="2" t="inlineStr"/>
    </row>
    <row r="53" ht="15" customHeight="1">
      <c r="A53" t="inlineStr">
        <is>
          <t>A 5511-2020</t>
        </is>
      </c>
      <c r="B53" s="1" t="n">
        <v>43861</v>
      </c>
      <c r="C53" s="1" t="n">
        <v>45754</v>
      </c>
      <c r="D53" t="inlineStr">
        <is>
          <t>UPPSALA LÄN</t>
        </is>
      </c>
      <c r="E53" t="inlineStr">
        <is>
          <t>ÄLVKARLEBY</t>
        </is>
      </c>
      <c r="G53" t="n">
        <v>1.2</v>
      </c>
      <c r="H53" t="n">
        <v>0</v>
      </c>
      <c r="I53" t="n">
        <v>0</v>
      </c>
      <c r="J53" t="n">
        <v>0</v>
      </c>
      <c r="K53" t="n">
        <v>0</v>
      </c>
      <c r="L53" t="n">
        <v>0</v>
      </c>
      <c r="M53" t="n">
        <v>0</v>
      </c>
      <c r="N53" t="n">
        <v>0</v>
      </c>
      <c r="O53" t="n">
        <v>0</v>
      </c>
      <c r="P53" t="n">
        <v>0</v>
      </c>
      <c r="Q53" t="n">
        <v>0</v>
      </c>
      <c r="R53" s="2" t="inlineStr"/>
    </row>
    <row r="54" ht="15" customHeight="1">
      <c r="A54" t="inlineStr">
        <is>
          <t>A 15213-2020</t>
        </is>
      </c>
      <c r="B54" s="1" t="n">
        <v>43913</v>
      </c>
      <c r="C54" s="1" t="n">
        <v>45754</v>
      </c>
      <c r="D54" t="inlineStr">
        <is>
          <t>UPPSALA LÄN</t>
        </is>
      </c>
      <c r="E54" t="inlineStr">
        <is>
          <t>ÄLVKARLEBY</t>
        </is>
      </c>
      <c r="G54" t="n">
        <v>5</v>
      </c>
      <c r="H54" t="n">
        <v>0</v>
      </c>
      <c r="I54" t="n">
        <v>0</v>
      </c>
      <c r="J54" t="n">
        <v>0</v>
      </c>
      <c r="K54" t="n">
        <v>0</v>
      </c>
      <c r="L54" t="n">
        <v>0</v>
      </c>
      <c r="M54" t="n">
        <v>0</v>
      </c>
      <c r="N54" t="n">
        <v>0</v>
      </c>
      <c r="O54" t="n">
        <v>0</v>
      </c>
      <c r="P54" t="n">
        <v>0</v>
      </c>
      <c r="Q54" t="n">
        <v>0</v>
      </c>
      <c r="R54" s="2" t="inlineStr"/>
    </row>
    <row r="55" ht="15" customHeight="1">
      <c r="A55" t="inlineStr">
        <is>
          <t>A 32416-2020</t>
        </is>
      </c>
      <c r="B55" s="1" t="n">
        <v>44018</v>
      </c>
      <c r="C55" s="1" t="n">
        <v>45754</v>
      </c>
      <c r="D55" t="inlineStr">
        <is>
          <t>UPPSALA LÄN</t>
        </is>
      </c>
      <c r="E55" t="inlineStr">
        <is>
          <t>ÄLVKARLEBY</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37193-2020</t>
        </is>
      </c>
      <c r="B56" s="1" t="n">
        <v>44054</v>
      </c>
      <c r="C56" s="1" t="n">
        <v>45754</v>
      </c>
      <c r="D56" t="inlineStr">
        <is>
          <t>UPPSALA LÄN</t>
        </is>
      </c>
      <c r="E56" t="inlineStr">
        <is>
          <t>ÄLVKARLEBY</t>
        </is>
      </c>
      <c r="F56" t="inlineStr">
        <is>
          <t>Bergvik skog väst AB</t>
        </is>
      </c>
      <c r="G56" t="n">
        <v>2.3</v>
      </c>
      <c r="H56" t="n">
        <v>0</v>
      </c>
      <c r="I56" t="n">
        <v>0</v>
      </c>
      <c r="J56" t="n">
        <v>0</v>
      </c>
      <c r="K56" t="n">
        <v>0</v>
      </c>
      <c r="L56" t="n">
        <v>0</v>
      </c>
      <c r="M56" t="n">
        <v>0</v>
      </c>
      <c r="N56" t="n">
        <v>0</v>
      </c>
      <c r="O56" t="n">
        <v>0</v>
      </c>
      <c r="P56" t="n">
        <v>0</v>
      </c>
      <c r="Q56" t="n">
        <v>0</v>
      </c>
      <c r="R56" s="2" t="inlineStr"/>
    </row>
    <row r="57" ht="15" customHeight="1">
      <c r="A57" t="inlineStr">
        <is>
          <t>A 40667-2020</t>
        </is>
      </c>
      <c r="B57" s="1" t="n">
        <v>44069</v>
      </c>
      <c r="C57" s="1" t="n">
        <v>45754</v>
      </c>
      <c r="D57" t="inlineStr">
        <is>
          <t>UPPSALA LÄN</t>
        </is>
      </c>
      <c r="E57" t="inlineStr">
        <is>
          <t>ÄLVKARLEBY</t>
        </is>
      </c>
      <c r="F57" t="inlineStr">
        <is>
          <t>Bergvik skog väst AB</t>
        </is>
      </c>
      <c r="G57" t="n">
        <v>20.7</v>
      </c>
      <c r="H57" t="n">
        <v>0</v>
      </c>
      <c r="I57" t="n">
        <v>0</v>
      </c>
      <c r="J57" t="n">
        <v>0</v>
      </c>
      <c r="K57" t="n">
        <v>0</v>
      </c>
      <c r="L57" t="n">
        <v>0</v>
      </c>
      <c r="M57" t="n">
        <v>0</v>
      </c>
      <c r="N57" t="n">
        <v>0</v>
      </c>
      <c r="O57" t="n">
        <v>0</v>
      </c>
      <c r="P57" t="n">
        <v>0</v>
      </c>
      <c r="Q57" t="n">
        <v>0</v>
      </c>
      <c r="R57" s="2" t="inlineStr"/>
    </row>
    <row r="58" ht="15" customHeight="1">
      <c r="A58" t="inlineStr">
        <is>
          <t>A 50413-2020</t>
        </is>
      </c>
      <c r="B58" s="1" t="n">
        <v>44110</v>
      </c>
      <c r="C58" s="1" t="n">
        <v>45754</v>
      </c>
      <c r="D58" t="inlineStr">
        <is>
          <t>UPPSALA LÄN</t>
        </is>
      </c>
      <c r="E58" t="inlineStr">
        <is>
          <t>ÄLVKARLEBY</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50416-2020</t>
        </is>
      </c>
      <c r="B59" s="1" t="n">
        <v>44110</v>
      </c>
      <c r="C59" s="1" t="n">
        <v>45754</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50409-2020</t>
        </is>
      </c>
      <c r="B60" s="1" t="n">
        <v>44110</v>
      </c>
      <c r="C60" s="1" t="n">
        <v>45754</v>
      </c>
      <c r="D60" t="inlineStr">
        <is>
          <t>UPPSALA LÄN</t>
        </is>
      </c>
      <c r="E60" t="inlineStr">
        <is>
          <t>ÄLVKARLEBY</t>
        </is>
      </c>
      <c r="F60" t="inlineStr">
        <is>
          <t>Bergvik skog väst AB</t>
        </is>
      </c>
      <c r="G60" t="n">
        <v>4</v>
      </c>
      <c r="H60" t="n">
        <v>0</v>
      </c>
      <c r="I60" t="n">
        <v>0</v>
      </c>
      <c r="J60" t="n">
        <v>0</v>
      </c>
      <c r="K60" t="n">
        <v>0</v>
      </c>
      <c r="L60" t="n">
        <v>0</v>
      </c>
      <c r="M60" t="n">
        <v>0</v>
      </c>
      <c r="N60" t="n">
        <v>0</v>
      </c>
      <c r="O60" t="n">
        <v>0</v>
      </c>
      <c r="P60" t="n">
        <v>0</v>
      </c>
      <c r="Q60" t="n">
        <v>0</v>
      </c>
      <c r="R60" s="2" t="inlineStr"/>
    </row>
    <row r="61" ht="15" customHeight="1">
      <c r="A61" t="inlineStr">
        <is>
          <t>A 66278-2020</t>
        </is>
      </c>
      <c r="B61" s="1" t="n">
        <v>44176</v>
      </c>
      <c r="C61" s="1" t="n">
        <v>45754</v>
      </c>
      <c r="D61" t="inlineStr">
        <is>
          <t>UPPSALA LÄN</t>
        </is>
      </c>
      <c r="E61" t="inlineStr">
        <is>
          <t>ÄLVKARLEBY</t>
        </is>
      </c>
      <c r="F61" t="inlineStr">
        <is>
          <t>Bergvik skog väst AB</t>
        </is>
      </c>
      <c r="G61" t="n">
        <v>4.1</v>
      </c>
      <c r="H61" t="n">
        <v>0</v>
      </c>
      <c r="I61" t="n">
        <v>0</v>
      </c>
      <c r="J61" t="n">
        <v>0</v>
      </c>
      <c r="K61" t="n">
        <v>0</v>
      </c>
      <c r="L61" t="n">
        <v>0</v>
      </c>
      <c r="M61" t="n">
        <v>0</v>
      </c>
      <c r="N61" t="n">
        <v>0</v>
      </c>
      <c r="O61" t="n">
        <v>0</v>
      </c>
      <c r="P61" t="n">
        <v>0</v>
      </c>
      <c r="Q61" t="n">
        <v>0</v>
      </c>
      <c r="R61" s="2" t="inlineStr"/>
    </row>
    <row r="62" ht="15" customHeight="1">
      <c r="A62" t="inlineStr">
        <is>
          <t>A 967-2021</t>
        </is>
      </c>
      <c r="B62" s="1" t="n">
        <v>44207</v>
      </c>
      <c r="C62" s="1" t="n">
        <v>45754</v>
      </c>
      <c r="D62" t="inlineStr">
        <is>
          <t>UPPSALA LÄN</t>
        </is>
      </c>
      <c r="E62" t="inlineStr">
        <is>
          <t>ÄLVKARLEBY</t>
        </is>
      </c>
      <c r="G62" t="n">
        <v>0.7</v>
      </c>
      <c r="H62" t="n">
        <v>0</v>
      </c>
      <c r="I62" t="n">
        <v>0</v>
      </c>
      <c r="J62" t="n">
        <v>0</v>
      </c>
      <c r="K62" t="n">
        <v>0</v>
      </c>
      <c r="L62" t="n">
        <v>0</v>
      </c>
      <c r="M62" t="n">
        <v>0</v>
      </c>
      <c r="N62" t="n">
        <v>0</v>
      </c>
      <c r="O62" t="n">
        <v>0</v>
      </c>
      <c r="P62" t="n">
        <v>0</v>
      </c>
      <c r="Q62" t="n">
        <v>0</v>
      </c>
      <c r="R62" s="2" t="inlineStr"/>
    </row>
    <row r="63" ht="15" customHeight="1">
      <c r="A63" t="inlineStr">
        <is>
          <t>A 11553-2021</t>
        </is>
      </c>
      <c r="B63" s="1" t="n">
        <v>44264</v>
      </c>
      <c r="C63" s="1" t="n">
        <v>45754</v>
      </c>
      <c r="D63" t="inlineStr">
        <is>
          <t>UPPSALA LÄN</t>
        </is>
      </c>
      <c r="E63" t="inlineStr">
        <is>
          <t>ÄLVKARLEBY</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13476-2021</t>
        </is>
      </c>
      <c r="B64" s="1" t="n">
        <v>44273</v>
      </c>
      <c r="C64" s="1" t="n">
        <v>45754</v>
      </c>
      <c r="D64" t="inlineStr">
        <is>
          <t>UPPSALA LÄN</t>
        </is>
      </c>
      <c r="E64" t="inlineStr">
        <is>
          <t>ÄLVKARLEBY</t>
        </is>
      </c>
      <c r="F64" t="inlineStr">
        <is>
          <t>Bergvik skog väst AB</t>
        </is>
      </c>
      <c r="G64" t="n">
        <v>12.1</v>
      </c>
      <c r="H64" t="n">
        <v>0</v>
      </c>
      <c r="I64" t="n">
        <v>0</v>
      </c>
      <c r="J64" t="n">
        <v>0</v>
      </c>
      <c r="K64" t="n">
        <v>0</v>
      </c>
      <c r="L64" t="n">
        <v>0</v>
      </c>
      <c r="M64" t="n">
        <v>0</v>
      </c>
      <c r="N64" t="n">
        <v>0</v>
      </c>
      <c r="O64" t="n">
        <v>0</v>
      </c>
      <c r="P64" t="n">
        <v>0</v>
      </c>
      <c r="Q64" t="n">
        <v>0</v>
      </c>
      <c r="R64" s="2" t="inlineStr"/>
    </row>
    <row r="65" ht="15" customHeight="1">
      <c r="A65" t="inlineStr">
        <is>
          <t>A 39791-2021</t>
        </is>
      </c>
      <c r="B65" s="1" t="n">
        <v>44417</v>
      </c>
      <c r="C65" s="1" t="n">
        <v>45754</v>
      </c>
      <c r="D65" t="inlineStr">
        <is>
          <t>UPPSALA LÄN</t>
        </is>
      </c>
      <c r="E65" t="inlineStr">
        <is>
          <t>ÄLVKARLEBY</t>
        </is>
      </c>
      <c r="G65" t="n">
        <v>1.8</v>
      </c>
      <c r="H65" t="n">
        <v>0</v>
      </c>
      <c r="I65" t="n">
        <v>0</v>
      </c>
      <c r="J65" t="n">
        <v>0</v>
      </c>
      <c r="K65" t="n">
        <v>0</v>
      </c>
      <c r="L65" t="n">
        <v>0</v>
      </c>
      <c r="M65" t="n">
        <v>0</v>
      </c>
      <c r="N65" t="n">
        <v>0</v>
      </c>
      <c r="O65" t="n">
        <v>0</v>
      </c>
      <c r="P65" t="n">
        <v>0</v>
      </c>
      <c r="Q65" t="n">
        <v>0</v>
      </c>
      <c r="R65" s="2" t="inlineStr"/>
    </row>
    <row r="66" ht="15" customHeight="1">
      <c r="A66" t="inlineStr">
        <is>
          <t>A 47226-2021</t>
        </is>
      </c>
      <c r="B66" s="1" t="n">
        <v>44447</v>
      </c>
      <c r="C66" s="1" t="n">
        <v>45754</v>
      </c>
      <c r="D66" t="inlineStr">
        <is>
          <t>UPPSALA LÄN</t>
        </is>
      </c>
      <c r="E66" t="inlineStr">
        <is>
          <t>ÄLVKARLEBY</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16990-2022</t>
        </is>
      </c>
      <c r="B67" s="1" t="n">
        <v>44676</v>
      </c>
      <c r="C67" s="1" t="n">
        <v>45754</v>
      </c>
      <c r="D67" t="inlineStr">
        <is>
          <t>UPPSALA LÄN</t>
        </is>
      </c>
      <c r="E67" t="inlineStr">
        <is>
          <t>ÄLVKARLEBY</t>
        </is>
      </c>
      <c r="F67" t="inlineStr">
        <is>
          <t>Bergvik skog väst AB</t>
        </is>
      </c>
      <c r="G67" t="n">
        <v>2.6</v>
      </c>
      <c r="H67" t="n">
        <v>0</v>
      </c>
      <c r="I67" t="n">
        <v>0</v>
      </c>
      <c r="J67" t="n">
        <v>0</v>
      </c>
      <c r="K67" t="n">
        <v>0</v>
      </c>
      <c r="L67" t="n">
        <v>0</v>
      </c>
      <c r="M67" t="n">
        <v>0</v>
      </c>
      <c r="N67" t="n">
        <v>0</v>
      </c>
      <c r="O67" t="n">
        <v>0</v>
      </c>
      <c r="P67" t="n">
        <v>0</v>
      </c>
      <c r="Q67" t="n">
        <v>0</v>
      </c>
      <c r="R67" s="2" t="inlineStr"/>
    </row>
    <row r="68" ht="15" customHeight="1">
      <c r="A68" t="inlineStr">
        <is>
          <t>A 22916-2022</t>
        </is>
      </c>
      <c r="B68" s="1" t="n">
        <v>44715</v>
      </c>
      <c r="C68" s="1" t="n">
        <v>45754</v>
      </c>
      <c r="D68" t="inlineStr">
        <is>
          <t>UPPSALA LÄN</t>
        </is>
      </c>
      <c r="E68" t="inlineStr">
        <is>
          <t>ÄLVKARLEBY</t>
        </is>
      </c>
      <c r="F68" t="inlineStr">
        <is>
          <t>Bergvik skog väst AB</t>
        </is>
      </c>
      <c r="G68" t="n">
        <v>9.199999999999999</v>
      </c>
      <c r="H68" t="n">
        <v>0</v>
      </c>
      <c r="I68" t="n">
        <v>0</v>
      </c>
      <c r="J68" t="n">
        <v>0</v>
      </c>
      <c r="K68" t="n">
        <v>0</v>
      </c>
      <c r="L68" t="n">
        <v>0</v>
      </c>
      <c r="M68" t="n">
        <v>0</v>
      </c>
      <c r="N68" t="n">
        <v>0</v>
      </c>
      <c r="O68" t="n">
        <v>0</v>
      </c>
      <c r="P68" t="n">
        <v>0</v>
      </c>
      <c r="Q68" t="n">
        <v>0</v>
      </c>
      <c r="R68" s="2" t="inlineStr"/>
    </row>
    <row r="69" ht="15" customHeight="1">
      <c r="A69" t="inlineStr">
        <is>
          <t>A 26815-2022</t>
        </is>
      </c>
      <c r="B69" s="1" t="n">
        <v>44740</v>
      </c>
      <c r="C69" s="1" t="n">
        <v>45754</v>
      </c>
      <c r="D69" t="inlineStr">
        <is>
          <t>UPPSALA LÄN</t>
        </is>
      </c>
      <c r="E69" t="inlineStr">
        <is>
          <t>ÄLVKARLEBY</t>
        </is>
      </c>
      <c r="G69" t="n">
        <v>5.8</v>
      </c>
      <c r="H69" t="n">
        <v>0</v>
      </c>
      <c r="I69" t="n">
        <v>0</v>
      </c>
      <c r="J69" t="n">
        <v>0</v>
      </c>
      <c r="K69" t="n">
        <v>0</v>
      </c>
      <c r="L69" t="n">
        <v>0</v>
      </c>
      <c r="M69" t="n">
        <v>0</v>
      </c>
      <c r="N69" t="n">
        <v>0</v>
      </c>
      <c r="O69" t="n">
        <v>0</v>
      </c>
      <c r="P69" t="n">
        <v>0</v>
      </c>
      <c r="Q69" t="n">
        <v>0</v>
      </c>
      <c r="R69" s="2" t="inlineStr"/>
    </row>
    <row r="70" ht="15" customHeight="1">
      <c r="A70" t="inlineStr">
        <is>
          <t>A 29116-2022</t>
        </is>
      </c>
      <c r="B70" s="1" t="n">
        <v>44750</v>
      </c>
      <c r="C70" s="1" t="n">
        <v>45754</v>
      </c>
      <c r="D70" t="inlineStr">
        <is>
          <t>UPPSALA LÄN</t>
        </is>
      </c>
      <c r="E70" t="inlineStr">
        <is>
          <t>ÄLVKARLEBY</t>
        </is>
      </c>
      <c r="F70" t="inlineStr">
        <is>
          <t>Kommuner</t>
        </is>
      </c>
      <c r="G70" t="n">
        <v>1.6</v>
      </c>
      <c r="H70" t="n">
        <v>0</v>
      </c>
      <c r="I70" t="n">
        <v>0</v>
      </c>
      <c r="J70" t="n">
        <v>0</v>
      </c>
      <c r="K70" t="n">
        <v>0</v>
      </c>
      <c r="L70" t="n">
        <v>0</v>
      </c>
      <c r="M70" t="n">
        <v>0</v>
      </c>
      <c r="N70" t="n">
        <v>0</v>
      </c>
      <c r="O70" t="n">
        <v>0</v>
      </c>
      <c r="P70" t="n">
        <v>0</v>
      </c>
      <c r="Q70" t="n">
        <v>0</v>
      </c>
      <c r="R70" s="2" t="inlineStr"/>
    </row>
    <row r="71" ht="15" customHeight="1">
      <c r="A71" t="inlineStr">
        <is>
          <t>A 29168-2022</t>
        </is>
      </c>
      <c r="B71" s="1" t="n">
        <v>44750</v>
      </c>
      <c r="C71" s="1" t="n">
        <v>45754</v>
      </c>
      <c r="D71" t="inlineStr">
        <is>
          <t>UPPSALA LÄN</t>
        </is>
      </c>
      <c r="E71" t="inlineStr">
        <is>
          <t>ÄLVKARLEBY</t>
        </is>
      </c>
      <c r="F71" t="inlineStr">
        <is>
          <t>Kommuner</t>
        </is>
      </c>
      <c r="G71" t="n">
        <v>5.1</v>
      </c>
      <c r="H71" t="n">
        <v>0</v>
      </c>
      <c r="I71" t="n">
        <v>0</v>
      </c>
      <c r="J71" t="n">
        <v>0</v>
      </c>
      <c r="K71" t="n">
        <v>0</v>
      </c>
      <c r="L71" t="n">
        <v>0</v>
      </c>
      <c r="M71" t="n">
        <v>0</v>
      </c>
      <c r="N71" t="n">
        <v>0</v>
      </c>
      <c r="O71" t="n">
        <v>0</v>
      </c>
      <c r="P71" t="n">
        <v>0</v>
      </c>
      <c r="Q71" t="n">
        <v>0</v>
      </c>
      <c r="R71" s="2" t="inlineStr"/>
    </row>
    <row r="72" ht="15" customHeight="1">
      <c r="A72" t="inlineStr">
        <is>
          <t>A 36216-2022</t>
        </is>
      </c>
      <c r="B72" s="1" t="n">
        <v>44803</v>
      </c>
      <c r="C72" s="1" t="n">
        <v>45754</v>
      </c>
      <c r="D72" t="inlineStr">
        <is>
          <t>UPPSALA LÄN</t>
        </is>
      </c>
      <c r="E72" t="inlineStr">
        <is>
          <t>ÄLVKARLEBY</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36217-2022</t>
        </is>
      </c>
      <c r="B73" s="1" t="n">
        <v>44803</v>
      </c>
      <c r="C73" s="1" t="n">
        <v>45754</v>
      </c>
      <c r="D73" t="inlineStr">
        <is>
          <t>UPPSALA LÄN</t>
        </is>
      </c>
      <c r="E73" t="inlineStr">
        <is>
          <t>ÄLVKARLEBY</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36282-2022</t>
        </is>
      </c>
      <c r="B74" s="1" t="n">
        <v>44803</v>
      </c>
      <c r="C74" s="1" t="n">
        <v>45754</v>
      </c>
      <c r="D74" t="inlineStr">
        <is>
          <t>UPPSALA LÄN</t>
        </is>
      </c>
      <c r="E74" t="inlineStr">
        <is>
          <t>ÄLVKARLEBY</t>
        </is>
      </c>
      <c r="G74" t="n">
        <v>0.1</v>
      </c>
      <c r="H74" t="n">
        <v>0</v>
      </c>
      <c r="I74" t="n">
        <v>0</v>
      </c>
      <c r="J74" t="n">
        <v>0</v>
      </c>
      <c r="K74" t="n">
        <v>0</v>
      </c>
      <c r="L74" t="n">
        <v>0</v>
      </c>
      <c r="M74" t="n">
        <v>0</v>
      </c>
      <c r="N74" t="n">
        <v>0</v>
      </c>
      <c r="O74" t="n">
        <v>0</v>
      </c>
      <c r="P74" t="n">
        <v>0</v>
      </c>
      <c r="Q74" t="n">
        <v>0</v>
      </c>
      <c r="R74" s="2" t="inlineStr"/>
    </row>
    <row r="75" ht="15" customHeight="1">
      <c r="A75" t="inlineStr">
        <is>
          <t>A 41757-2022</t>
        </is>
      </c>
      <c r="B75" s="1" t="n">
        <v>44827</v>
      </c>
      <c r="C75" s="1" t="n">
        <v>45754</v>
      </c>
      <c r="D75" t="inlineStr">
        <is>
          <t>UPPSALA LÄN</t>
        </is>
      </c>
      <c r="E75" t="inlineStr">
        <is>
          <t>ÄLVKARLEBY</t>
        </is>
      </c>
      <c r="F75" t="inlineStr">
        <is>
          <t>Bergvik skog väst AB</t>
        </is>
      </c>
      <c r="G75" t="n">
        <v>12.7</v>
      </c>
      <c r="H75" t="n">
        <v>0</v>
      </c>
      <c r="I75" t="n">
        <v>0</v>
      </c>
      <c r="J75" t="n">
        <v>0</v>
      </c>
      <c r="K75" t="n">
        <v>0</v>
      </c>
      <c r="L75" t="n">
        <v>0</v>
      </c>
      <c r="M75" t="n">
        <v>0</v>
      </c>
      <c r="N75" t="n">
        <v>0</v>
      </c>
      <c r="O75" t="n">
        <v>0</v>
      </c>
      <c r="P75" t="n">
        <v>0</v>
      </c>
      <c r="Q75" t="n">
        <v>0</v>
      </c>
      <c r="R75" s="2" t="inlineStr"/>
    </row>
    <row r="76" ht="15" customHeight="1">
      <c r="A76" t="inlineStr">
        <is>
          <t>A 60837-2022</t>
        </is>
      </c>
      <c r="B76" s="1" t="n">
        <v>44914</v>
      </c>
      <c r="C76" s="1" t="n">
        <v>45754</v>
      </c>
      <c r="D76" t="inlineStr">
        <is>
          <t>UPPSALA LÄN</t>
        </is>
      </c>
      <c r="E76" t="inlineStr">
        <is>
          <t>ÄLVKARLEBY</t>
        </is>
      </c>
      <c r="F76" t="inlineStr">
        <is>
          <t>Bergvik skog väst AB</t>
        </is>
      </c>
      <c r="G76" t="n">
        <v>3.1</v>
      </c>
      <c r="H76" t="n">
        <v>0</v>
      </c>
      <c r="I76" t="n">
        <v>0</v>
      </c>
      <c r="J76" t="n">
        <v>0</v>
      </c>
      <c r="K76" t="n">
        <v>0</v>
      </c>
      <c r="L76" t="n">
        <v>0</v>
      </c>
      <c r="M76" t="n">
        <v>0</v>
      </c>
      <c r="N76" t="n">
        <v>0</v>
      </c>
      <c r="O76" t="n">
        <v>0</v>
      </c>
      <c r="P76" t="n">
        <v>0</v>
      </c>
      <c r="Q76" t="n">
        <v>0</v>
      </c>
      <c r="R76" s="2" t="inlineStr"/>
    </row>
    <row r="77" ht="15" customHeight="1">
      <c r="A77" t="inlineStr">
        <is>
          <t>A 6839-2023</t>
        </is>
      </c>
      <c r="B77" s="1" t="n">
        <v>44967</v>
      </c>
      <c r="C77" s="1" t="n">
        <v>45754</v>
      </c>
      <c r="D77" t="inlineStr">
        <is>
          <t>UPPSALA LÄN</t>
        </is>
      </c>
      <c r="E77" t="inlineStr">
        <is>
          <t>ÄLVKARLEBY</t>
        </is>
      </c>
      <c r="F77" t="inlineStr">
        <is>
          <t>Bergvik skog väst AB</t>
        </is>
      </c>
      <c r="G77" t="n">
        <v>2.2</v>
      </c>
      <c r="H77" t="n">
        <v>0</v>
      </c>
      <c r="I77" t="n">
        <v>0</v>
      </c>
      <c r="J77" t="n">
        <v>0</v>
      </c>
      <c r="K77" t="n">
        <v>0</v>
      </c>
      <c r="L77" t="n">
        <v>0</v>
      </c>
      <c r="M77" t="n">
        <v>0</v>
      </c>
      <c r="N77" t="n">
        <v>0</v>
      </c>
      <c r="O77" t="n">
        <v>0</v>
      </c>
      <c r="P77" t="n">
        <v>0</v>
      </c>
      <c r="Q77" t="n">
        <v>0</v>
      </c>
      <c r="R77" s="2" t="inlineStr"/>
    </row>
    <row r="78" ht="15" customHeight="1">
      <c r="A78" t="inlineStr">
        <is>
          <t>A 7286-2023</t>
        </is>
      </c>
      <c r="B78" s="1" t="n">
        <v>44970</v>
      </c>
      <c r="C78" s="1" t="n">
        <v>45754</v>
      </c>
      <c r="D78" t="inlineStr">
        <is>
          <t>UPPSALA LÄN</t>
        </is>
      </c>
      <c r="E78" t="inlineStr">
        <is>
          <t>ÄLVKARLEBY</t>
        </is>
      </c>
      <c r="F78" t="inlineStr">
        <is>
          <t>Bergvik skog väst AB</t>
        </is>
      </c>
      <c r="G78" t="n">
        <v>2.5</v>
      </c>
      <c r="H78" t="n">
        <v>0</v>
      </c>
      <c r="I78" t="n">
        <v>0</v>
      </c>
      <c r="J78" t="n">
        <v>0</v>
      </c>
      <c r="K78" t="n">
        <v>0</v>
      </c>
      <c r="L78" t="n">
        <v>0</v>
      </c>
      <c r="M78" t="n">
        <v>0</v>
      </c>
      <c r="N78" t="n">
        <v>0</v>
      </c>
      <c r="O78" t="n">
        <v>0</v>
      </c>
      <c r="P78" t="n">
        <v>0</v>
      </c>
      <c r="Q78" t="n">
        <v>0</v>
      </c>
      <c r="R78" s="2" t="inlineStr"/>
    </row>
    <row r="79" ht="15" customHeight="1">
      <c r="A79" t="inlineStr">
        <is>
          <t>A 14590-2023</t>
        </is>
      </c>
      <c r="B79" s="1" t="n">
        <v>45013</v>
      </c>
      <c r="C79" s="1" t="n">
        <v>45754</v>
      </c>
      <c r="D79" t="inlineStr">
        <is>
          <t>UPPSALA LÄN</t>
        </is>
      </c>
      <c r="E79" t="inlineStr">
        <is>
          <t>ÄLVKARLEBY</t>
        </is>
      </c>
      <c r="G79" t="n">
        <v>1.8</v>
      </c>
      <c r="H79" t="n">
        <v>0</v>
      </c>
      <c r="I79" t="n">
        <v>0</v>
      </c>
      <c r="J79" t="n">
        <v>0</v>
      </c>
      <c r="K79" t="n">
        <v>0</v>
      </c>
      <c r="L79" t="n">
        <v>0</v>
      </c>
      <c r="M79" t="n">
        <v>0</v>
      </c>
      <c r="N79" t="n">
        <v>0</v>
      </c>
      <c r="O79" t="n">
        <v>0</v>
      </c>
      <c r="P79" t="n">
        <v>0</v>
      </c>
      <c r="Q79" t="n">
        <v>0</v>
      </c>
      <c r="R79" s="2" t="inlineStr"/>
    </row>
    <row r="80" ht="15" customHeight="1">
      <c r="A80" t="inlineStr">
        <is>
          <t>A 21520-2023</t>
        </is>
      </c>
      <c r="B80" s="1" t="n">
        <v>45063</v>
      </c>
      <c r="C80" s="1" t="n">
        <v>45754</v>
      </c>
      <c r="D80" t="inlineStr">
        <is>
          <t>UPPSALA LÄN</t>
        </is>
      </c>
      <c r="E80" t="inlineStr">
        <is>
          <t>ÄLVKARLEBY</t>
        </is>
      </c>
      <c r="F80" t="inlineStr">
        <is>
          <t>Bergvik skog väst AB</t>
        </is>
      </c>
      <c r="G80" t="n">
        <v>3.8</v>
      </c>
      <c r="H80" t="n">
        <v>0</v>
      </c>
      <c r="I80" t="n">
        <v>0</v>
      </c>
      <c r="J80" t="n">
        <v>0</v>
      </c>
      <c r="K80" t="n">
        <v>0</v>
      </c>
      <c r="L80" t="n">
        <v>0</v>
      </c>
      <c r="M80" t="n">
        <v>0</v>
      </c>
      <c r="N80" t="n">
        <v>0</v>
      </c>
      <c r="O80" t="n">
        <v>0</v>
      </c>
      <c r="P80" t="n">
        <v>0</v>
      </c>
      <c r="Q80" t="n">
        <v>0</v>
      </c>
      <c r="R80" s="2" t="inlineStr"/>
    </row>
    <row r="81" ht="15" customHeight="1">
      <c r="A81" t="inlineStr">
        <is>
          <t>A 26983-2023</t>
        </is>
      </c>
      <c r="B81" s="1" t="n">
        <v>45093</v>
      </c>
      <c r="C81" s="1" t="n">
        <v>45754</v>
      </c>
      <c r="D81" t="inlineStr">
        <is>
          <t>UPPSALA LÄN</t>
        </is>
      </c>
      <c r="E81" t="inlineStr">
        <is>
          <t>ÄLVKARLEBY</t>
        </is>
      </c>
      <c r="F81" t="inlineStr">
        <is>
          <t>Bergvik skog väst AB</t>
        </is>
      </c>
      <c r="G81" t="n">
        <v>4.5</v>
      </c>
      <c r="H81" t="n">
        <v>0</v>
      </c>
      <c r="I81" t="n">
        <v>0</v>
      </c>
      <c r="J81" t="n">
        <v>0</v>
      </c>
      <c r="K81" t="n">
        <v>0</v>
      </c>
      <c r="L81" t="n">
        <v>0</v>
      </c>
      <c r="M81" t="n">
        <v>0</v>
      </c>
      <c r="N81" t="n">
        <v>0</v>
      </c>
      <c r="O81" t="n">
        <v>0</v>
      </c>
      <c r="P81" t="n">
        <v>0</v>
      </c>
      <c r="Q81" t="n">
        <v>0</v>
      </c>
      <c r="R81" s="2" t="inlineStr"/>
    </row>
    <row r="82" ht="15" customHeight="1">
      <c r="A82" t="inlineStr">
        <is>
          <t>A 38306-2023</t>
        </is>
      </c>
      <c r="B82" s="1" t="n">
        <v>45161</v>
      </c>
      <c r="C82" s="1" t="n">
        <v>45754</v>
      </c>
      <c r="D82" t="inlineStr">
        <is>
          <t>UPPSALA LÄN</t>
        </is>
      </c>
      <c r="E82" t="inlineStr">
        <is>
          <t>ÄLVKARLEBY</t>
        </is>
      </c>
      <c r="F82" t="inlineStr">
        <is>
          <t>Bergvik skog väst AB</t>
        </is>
      </c>
      <c r="G82" t="n">
        <v>18.6</v>
      </c>
      <c r="H82" t="n">
        <v>0</v>
      </c>
      <c r="I82" t="n">
        <v>0</v>
      </c>
      <c r="J82" t="n">
        <v>0</v>
      </c>
      <c r="K82" t="n">
        <v>0</v>
      </c>
      <c r="L82" t="n">
        <v>0</v>
      </c>
      <c r="M82" t="n">
        <v>0</v>
      </c>
      <c r="N82" t="n">
        <v>0</v>
      </c>
      <c r="O82" t="n">
        <v>0</v>
      </c>
      <c r="P82" t="n">
        <v>0</v>
      </c>
      <c r="Q82" t="n">
        <v>0</v>
      </c>
      <c r="R82" s="2" t="inlineStr"/>
    </row>
    <row r="83" ht="15" customHeight="1">
      <c r="A83" t="inlineStr">
        <is>
          <t>A 38226-2023</t>
        </is>
      </c>
      <c r="B83" s="1" t="n">
        <v>45161</v>
      </c>
      <c r="C83" s="1" t="n">
        <v>45754</v>
      </c>
      <c r="D83" t="inlineStr">
        <is>
          <t>UPPSALA LÄN</t>
        </is>
      </c>
      <c r="E83" t="inlineStr">
        <is>
          <t>ÄLVKARLEBY</t>
        </is>
      </c>
      <c r="F83" t="inlineStr">
        <is>
          <t>Bergvik skog väst AB</t>
        </is>
      </c>
      <c r="G83" t="n">
        <v>4.5</v>
      </c>
      <c r="H83" t="n">
        <v>0</v>
      </c>
      <c r="I83" t="n">
        <v>0</v>
      </c>
      <c r="J83" t="n">
        <v>0</v>
      </c>
      <c r="K83" t="n">
        <v>0</v>
      </c>
      <c r="L83" t="n">
        <v>0</v>
      </c>
      <c r="M83" t="n">
        <v>0</v>
      </c>
      <c r="N83" t="n">
        <v>0</v>
      </c>
      <c r="O83" t="n">
        <v>0</v>
      </c>
      <c r="P83" t="n">
        <v>0</v>
      </c>
      <c r="Q83" t="n">
        <v>0</v>
      </c>
      <c r="R83" s="2" t="inlineStr"/>
    </row>
    <row r="84" ht="15" customHeight="1">
      <c r="A84" t="inlineStr">
        <is>
          <t>A 38454-2023</t>
        </is>
      </c>
      <c r="B84" s="1" t="n">
        <v>45162</v>
      </c>
      <c r="C84" s="1" t="n">
        <v>45754</v>
      </c>
      <c r="D84" t="inlineStr">
        <is>
          <t>UPPSALA LÄN</t>
        </is>
      </c>
      <c r="E84" t="inlineStr">
        <is>
          <t>ÄLVKARLEBY</t>
        </is>
      </c>
      <c r="F84" t="inlineStr">
        <is>
          <t>Bergvik skog väst AB</t>
        </is>
      </c>
      <c r="G84" t="n">
        <v>3.3</v>
      </c>
      <c r="H84" t="n">
        <v>0</v>
      </c>
      <c r="I84" t="n">
        <v>0</v>
      </c>
      <c r="J84" t="n">
        <v>0</v>
      </c>
      <c r="K84" t="n">
        <v>0</v>
      </c>
      <c r="L84" t="n">
        <v>0</v>
      </c>
      <c r="M84" t="n">
        <v>0</v>
      </c>
      <c r="N84" t="n">
        <v>0</v>
      </c>
      <c r="O84" t="n">
        <v>0</v>
      </c>
      <c r="P84" t="n">
        <v>0</v>
      </c>
      <c r="Q84" t="n">
        <v>0</v>
      </c>
      <c r="R84" s="2" t="inlineStr"/>
    </row>
    <row r="85" ht="15" customHeight="1">
      <c r="A85" t="inlineStr">
        <is>
          <t>A 38453-2023</t>
        </is>
      </c>
      <c r="B85" s="1" t="n">
        <v>45162</v>
      </c>
      <c r="C85" s="1" t="n">
        <v>45754</v>
      </c>
      <c r="D85" t="inlineStr">
        <is>
          <t>UPPSALA LÄN</t>
        </is>
      </c>
      <c r="E85" t="inlineStr">
        <is>
          <t>ÄLVKARLEBY</t>
        </is>
      </c>
      <c r="F85" t="inlineStr">
        <is>
          <t>Bergvik skog väst AB</t>
        </is>
      </c>
      <c r="G85" t="n">
        <v>3.7</v>
      </c>
      <c r="H85" t="n">
        <v>0</v>
      </c>
      <c r="I85" t="n">
        <v>0</v>
      </c>
      <c r="J85" t="n">
        <v>0</v>
      </c>
      <c r="K85" t="n">
        <v>0</v>
      </c>
      <c r="L85" t="n">
        <v>0</v>
      </c>
      <c r="M85" t="n">
        <v>0</v>
      </c>
      <c r="N85" t="n">
        <v>0</v>
      </c>
      <c r="O85" t="n">
        <v>0</v>
      </c>
      <c r="P85" t="n">
        <v>0</v>
      </c>
      <c r="Q85" t="n">
        <v>0</v>
      </c>
      <c r="R85" s="2" t="inlineStr"/>
    </row>
    <row r="86" ht="15" customHeight="1">
      <c r="A86" t="inlineStr">
        <is>
          <t>A 38461-2023</t>
        </is>
      </c>
      <c r="B86" s="1" t="n">
        <v>45162</v>
      </c>
      <c r="C86" s="1" t="n">
        <v>45754</v>
      </c>
      <c r="D86" t="inlineStr">
        <is>
          <t>UPPSALA LÄN</t>
        </is>
      </c>
      <c r="E86" t="inlineStr">
        <is>
          <t>ÄLVKARLEBY</t>
        </is>
      </c>
      <c r="F86" t="inlineStr">
        <is>
          <t>Bergvik skog väst AB</t>
        </is>
      </c>
      <c r="G86" t="n">
        <v>17.8</v>
      </c>
      <c r="H86" t="n">
        <v>0</v>
      </c>
      <c r="I86" t="n">
        <v>0</v>
      </c>
      <c r="J86" t="n">
        <v>0</v>
      </c>
      <c r="K86" t="n">
        <v>0</v>
      </c>
      <c r="L86" t="n">
        <v>0</v>
      </c>
      <c r="M86" t="n">
        <v>0</v>
      </c>
      <c r="N86" t="n">
        <v>0</v>
      </c>
      <c r="O86" t="n">
        <v>0</v>
      </c>
      <c r="P86" t="n">
        <v>0</v>
      </c>
      <c r="Q86" t="n">
        <v>0</v>
      </c>
      <c r="R86" s="2" t="inlineStr"/>
    </row>
    <row r="87" ht="15" customHeight="1">
      <c r="A87" t="inlineStr">
        <is>
          <t>A 41000-2023</t>
        </is>
      </c>
      <c r="B87" s="1" t="n">
        <v>45173</v>
      </c>
      <c r="C87" s="1" t="n">
        <v>45754</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41263-2023</t>
        </is>
      </c>
      <c r="B88" s="1" t="n">
        <v>45174</v>
      </c>
      <c r="C88" s="1" t="n">
        <v>45754</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41272-2023</t>
        </is>
      </c>
      <c r="B89" s="1" t="n">
        <v>45174</v>
      </c>
      <c r="C89" s="1" t="n">
        <v>45754</v>
      </c>
      <c r="D89" t="inlineStr">
        <is>
          <t>UPPSALA LÄN</t>
        </is>
      </c>
      <c r="E89" t="inlineStr">
        <is>
          <t>ÄLVKARLEBY</t>
        </is>
      </c>
      <c r="F89" t="inlineStr">
        <is>
          <t>Bergvik skog väst AB</t>
        </is>
      </c>
      <c r="G89" t="n">
        <v>0.9</v>
      </c>
      <c r="H89" t="n">
        <v>0</v>
      </c>
      <c r="I89" t="n">
        <v>0</v>
      </c>
      <c r="J89" t="n">
        <v>0</v>
      </c>
      <c r="K89" t="n">
        <v>0</v>
      </c>
      <c r="L89" t="n">
        <v>0</v>
      </c>
      <c r="M89" t="n">
        <v>0</v>
      </c>
      <c r="N89" t="n">
        <v>0</v>
      </c>
      <c r="O89" t="n">
        <v>0</v>
      </c>
      <c r="P89" t="n">
        <v>0</v>
      </c>
      <c r="Q89" t="n">
        <v>0</v>
      </c>
      <c r="R89" s="2" t="inlineStr"/>
    </row>
    <row r="90" ht="15" customHeight="1">
      <c r="A90" t="inlineStr">
        <is>
          <t>A 41276-2023</t>
        </is>
      </c>
      <c r="B90" s="1" t="n">
        <v>45174</v>
      </c>
      <c r="C90" s="1" t="n">
        <v>45754</v>
      </c>
      <c r="D90" t="inlineStr">
        <is>
          <t>UPPSALA LÄN</t>
        </is>
      </c>
      <c r="E90" t="inlineStr">
        <is>
          <t>ÄLVKARLEBY</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42600-2023</t>
        </is>
      </c>
      <c r="B91" s="1" t="n">
        <v>45181</v>
      </c>
      <c r="C91" s="1" t="n">
        <v>45754</v>
      </c>
      <c r="D91" t="inlineStr">
        <is>
          <t>UPPSALA LÄN</t>
        </is>
      </c>
      <c r="E91" t="inlineStr">
        <is>
          <t>ÄLVKARLEBY</t>
        </is>
      </c>
      <c r="G91" t="n">
        <v>1.7</v>
      </c>
      <c r="H91" t="n">
        <v>0</v>
      </c>
      <c r="I91" t="n">
        <v>0</v>
      </c>
      <c r="J91" t="n">
        <v>0</v>
      </c>
      <c r="K91" t="n">
        <v>0</v>
      </c>
      <c r="L91" t="n">
        <v>0</v>
      </c>
      <c r="M91" t="n">
        <v>0</v>
      </c>
      <c r="N91" t="n">
        <v>0</v>
      </c>
      <c r="O91" t="n">
        <v>0</v>
      </c>
      <c r="P91" t="n">
        <v>0</v>
      </c>
      <c r="Q91" t="n">
        <v>0</v>
      </c>
      <c r="R91" s="2" t="inlineStr"/>
      <c r="U91">
        <f>HYPERLINK("https://klasma.github.io/Logging_0319/knärot/A 42600-2023 karta knärot.png", "A 42600-2023")</f>
        <v/>
      </c>
      <c r="V91">
        <f>HYPERLINK("https://klasma.github.io/Logging_0319/klagomål/A 42600-2023 FSC-klagomål.docx", "A 42600-2023")</f>
        <v/>
      </c>
      <c r="W91">
        <f>HYPERLINK("https://klasma.github.io/Logging_0319/klagomålsmail/A 42600-2023 FSC-klagomål mail.docx", "A 42600-2023")</f>
        <v/>
      </c>
      <c r="X91">
        <f>HYPERLINK("https://klasma.github.io/Logging_0319/tillsyn/A 42600-2023 tillsynsbegäran.docx", "A 42600-2023")</f>
        <v/>
      </c>
      <c r="Y91">
        <f>HYPERLINK("https://klasma.github.io/Logging_0319/tillsynsmail/A 42600-2023 tillsynsbegäran mail.docx", "A 42600-2023")</f>
        <v/>
      </c>
    </row>
    <row r="92" ht="15" customHeight="1">
      <c r="A92" t="inlineStr">
        <is>
          <t>A 43285-2023</t>
        </is>
      </c>
      <c r="B92" s="1" t="n">
        <v>45183</v>
      </c>
      <c r="C92" s="1" t="n">
        <v>45754</v>
      </c>
      <c r="D92" t="inlineStr">
        <is>
          <t>UPPSALA LÄN</t>
        </is>
      </c>
      <c r="E92" t="inlineStr">
        <is>
          <t>ÄLVKARLEBY</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43288-2023</t>
        </is>
      </c>
      <c r="B93" s="1" t="n">
        <v>45183</v>
      </c>
      <c r="C93" s="1" t="n">
        <v>45754</v>
      </c>
      <c r="D93" t="inlineStr">
        <is>
          <t>UPPSALA LÄN</t>
        </is>
      </c>
      <c r="E93" t="inlineStr">
        <is>
          <t>ÄLVKARLEBY</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45527-2023</t>
        </is>
      </c>
      <c r="B94" s="1" t="n">
        <v>45194</v>
      </c>
      <c r="C94" s="1" t="n">
        <v>45754</v>
      </c>
      <c r="D94" t="inlineStr">
        <is>
          <t>UPPSALA LÄN</t>
        </is>
      </c>
      <c r="E94" t="inlineStr">
        <is>
          <t>ÄLVKARLEBY</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45529-2023</t>
        </is>
      </c>
      <c r="B95" s="1" t="n">
        <v>45194</v>
      </c>
      <c r="C95" s="1" t="n">
        <v>45754</v>
      </c>
      <c r="D95" t="inlineStr">
        <is>
          <t>UPPSALA LÄN</t>
        </is>
      </c>
      <c r="E95" t="inlineStr">
        <is>
          <t>ÄLVKARLEBY</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45528-2023</t>
        </is>
      </c>
      <c r="B96" s="1" t="n">
        <v>45194</v>
      </c>
      <c r="C96" s="1" t="n">
        <v>45754</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45871-2023</t>
        </is>
      </c>
      <c r="B97" s="1" t="n">
        <v>45195</v>
      </c>
      <c r="C97" s="1" t="n">
        <v>45754</v>
      </c>
      <c r="D97" t="inlineStr">
        <is>
          <t>UPPSALA LÄN</t>
        </is>
      </c>
      <c r="E97" t="inlineStr">
        <is>
          <t>ÄLVKARLEBY</t>
        </is>
      </c>
      <c r="G97" t="n">
        <v>3.7</v>
      </c>
      <c r="H97" t="n">
        <v>0</v>
      </c>
      <c r="I97" t="n">
        <v>0</v>
      </c>
      <c r="J97" t="n">
        <v>0</v>
      </c>
      <c r="K97" t="n">
        <v>0</v>
      </c>
      <c r="L97" t="n">
        <v>0</v>
      </c>
      <c r="M97" t="n">
        <v>0</v>
      </c>
      <c r="N97" t="n">
        <v>0</v>
      </c>
      <c r="O97" t="n">
        <v>0</v>
      </c>
      <c r="P97" t="n">
        <v>0</v>
      </c>
      <c r="Q97" t="n">
        <v>0</v>
      </c>
      <c r="R97" s="2" t="inlineStr"/>
    </row>
    <row r="98" ht="15" customHeight="1">
      <c r="A98" t="inlineStr">
        <is>
          <t>A 46113-2023</t>
        </is>
      </c>
      <c r="B98" s="1" t="n">
        <v>45196</v>
      </c>
      <c r="C98" s="1" t="n">
        <v>45754</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46106-2023</t>
        </is>
      </c>
      <c r="B99" s="1" t="n">
        <v>45196</v>
      </c>
      <c r="C99" s="1" t="n">
        <v>45754</v>
      </c>
      <c r="D99" t="inlineStr">
        <is>
          <t>UPPSALA LÄN</t>
        </is>
      </c>
      <c r="E99" t="inlineStr">
        <is>
          <t>ÄLVKARLEBY</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46429-2023</t>
        </is>
      </c>
      <c r="B100" s="1" t="n">
        <v>45197</v>
      </c>
      <c r="C100" s="1" t="n">
        <v>45754</v>
      </c>
      <c r="D100" t="inlineStr">
        <is>
          <t>UPPSALA LÄN</t>
        </is>
      </c>
      <c r="E100" t="inlineStr">
        <is>
          <t>ÄLVKARLEBY</t>
        </is>
      </c>
      <c r="G100" t="n">
        <v>1.7</v>
      </c>
      <c r="H100" t="n">
        <v>0</v>
      </c>
      <c r="I100" t="n">
        <v>0</v>
      </c>
      <c r="J100" t="n">
        <v>0</v>
      </c>
      <c r="K100" t="n">
        <v>0</v>
      </c>
      <c r="L100" t="n">
        <v>0</v>
      </c>
      <c r="M100" t="n">
        <v>0</v>
      </c>
      <c r="N100" t="n">
        <v>0</v>
      </c>
      <c r="O100" t="n">
        <v>0</v>
      </c>
      <c r="P100" t="n">
        <v>0</v>
      </c>
      <c r="Q100" t="n">
        <v>0</v>
      </c>
      <c r="R100" s="2" t="inlineStr"/>
    </row>
    <row r="101" ht="15" customHeight="1">
      <c r="A101" t="inlineStr">
        <is>
          <t>A 46436-2023</t>
        </is>
      </c>
      <c r="B101" s="1" t="n">
        <v>45197</v>
      </c>
      <c r="C101" s="1" t="n">
        <v>45754</v>
      </c>
      <c r="D101" t="inlineStr">
        <is>
          <t>UPPSALA LÄN</t>
        </is>
      </c>
      <c r="E101" t="inlineStr">
        <is>
          <t>ÄLVKARLEBY</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46477-2023</t>
        </is>
      </c>
      <c r="B102" s="1" t="n">
        <v>45197</v>
      </c>
      <c r="C102" s="1" t="n">
        <v>45754</v>
      </c>
      <c r="D102" t="inlineStr">
        <is>
          <t>UPPSALA LÄN</t>
        </is>
      </c>
      <c r="E102" t="inlineStr">
        <is>
          <t>ÄLVKARLEBY</t>
        </is>
      </c>
      <c r="G102" t="n">
        <v>3.6</v>
      </c>
      <c r="H102" t="n">
        <v>0</v>
      </c>
      <c r="I102" t="n">
        <v>0</v>
      </c>
      <c r="J102" t="n">
        <v>0</v>
      </c>
      <c r="K102" t="n">
        <v>0</v>
      </c>
      <c r="L102" t="n">
        <v>0</v>
      </c>
      <c r="M102" t="n">
        <v>0</v>
      </c>
      <c r="N102" t="n">
        <v>0</v>
      </c>
      <c r="O102" t="n">
        <v>0</v>
      </c>
      <c r="P102" t="n">
        <v>0</v>
      </c>
      <c r="Q102" t="n">
        <v>0</v>
      </c>
      <c r="R102" s="2" t="inlineStr"/>
    </row>
    <row r="103" ht="15" customHeight="1">
      <c r="A103" t="inlineStr">
        <is>
          <t>A 47548-2023</t>
        </is>
      </c>
      <c r="B103" s="1" t="n">
        <v>45203</v>
      </c>
      <c r="C103" s="1" t="n">
        <v>45754</v>
      </c>
      <c r="D103" t="inlineStr">
        <is>
          <t>UPPSALA LÄN</t>
        </is>
      </c>
      <c r="E103" t="inlineStr">
        <is>
          <t>ÄLVKARLEBY</t>
        </is>
      </c>
      <c r="F103" t="inlineStr">
        <is>
          <t>Bergvik skog väst AB</t>
        </is>
      </c>
      <c r="G103" t="n">
        <v>4</v>
      </c>
      <c r="H103" t="n">
        <v>0</v>
      </c>
      <c r="I103" t="n">
        <v>0</v>
      </c>
      <c r="J103" t="n">
        <v>0</v>
      </c>
      <c r="K103" t="n">
        <v>0</v>
      </c>
      <c r="L103" t="n">
        <v>0</v>
      </c>
      <c r="M103" t="n">
        <v>0</v>
      </c>
      <c r="N103" t="n">
        <v>0</v>
      </c>
      <c r="O103" t="n">
        <v>0</v>
      </c>
      <c r="P103" t="n">
        <v>0</v>
      </c>
      <c r="Q103" t="n">
        <v>0</v>
      </c>
      <c r="R103" s="2" t="inlineStr"/>
    </row>
    <row r="104" ht="15" customHeight="1">
      <c r="A104" t="inlineStr">
        <is>
          <t>A 47570-2023</t>
        </is>
      </c>
      <c r="B104" s="1" t="n">
        <v>45203</v>
      </c>
      <c r="C104" s="1" t="n">
        <v>45754</v>
      </c>
      <c r="D104" t="inlineStr">
        <is>
          <t>UPPSALA LÄN</t>
        </is>
      </c>
      <c r="E104" t="inlineStr">
        <is>
          <t>ÄLVKARLEBY</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47554-2023</t>
        </is>
      </c>
      <c r="B105" s="1" t="n">
        <v>45203</v>
      </c>
      <c r="C105" s="1" t="n">
        <v>45754</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47559-2023</t>
        </is>
      </c>
      <c r="B106" s="1" t="n">
        <v>45203</v>
      </c>
      <c r="C106" s="1" t="n">
        <v>45754</v>
      </c>
      <c r="D106" t="inlineStr">
        <is>
          <t>UPPSALA LÄN</t>
        </is>
      </c>
      <c r="E106" t="inlineStr">
        <is>
          <t>ÄLVKARLEBY</t>
        </is>
      </c>
      <c r="F106" t="inlineStr">
        <is>
          <t>Bergvik skog väst AB</t>
        </is>
      </c>
      <c r="G106" t="n">
        <v>4.9</v>
      </c>
      <c r="H106" t="n">
        <v>0</v>
      </c>
      <c r="I106" t="n">
        <v>0</v>
      </c>
      <c r="J106" t="n">
        <v>0</v>
      </c>
      <c r="K106" t="n">
        <v>0</v>
      </c>
      <c r="L106" t="n">
        <v>0</v>
      </c>
      <c r="M106" t="n">
        <v>0</v>
      </c>
      <c r="N106" t="n">
        <v>0</v>
      </c>
      <c r="O106" t="n">
        <v>0</v>
      </c>
      <c r="P106" t="n">
        <v>0</v>
      </c>
      <c r="Q106" t="n">
        <v>0</v>
      </c>
      <c r="R106" s="2" t="inlineStr"/>
    </row>
    <row r="107" ht="15" customHeight="1">
      <c r="A107" t="inlineStr">
        <is>
          <t>A 48614-2023</t>
        </is>
      </c>
      <c r="B107" s="1" t="n">
        <v>45208</v>
      </c>
      <c r="C107" s="1" t="n">
        <v>45754</v>
      </c>
      <c r="D107" t="inlineStr">
        <is>
          <t>UPPSALA LÄN</t>
        </is>
      </c>
      <c r="E107" t="inlineStr">
        <is>
          <t>ÄLVKARLEBY</t>
        </is>
      </c>
      <c r="F107" t="inlineStr">
        <is>
          <t>Bergvik skog öst AB</t>
        </is>
      </c>
      <c r="G107" t="n">
        <v>5.4</v>
      </c>
      <c r="H107" t="n">
        <v>0</v>
      </c>
      <c r="I107" t="n">
        <v>0</v>
      </c>
      <c r="J107" t="n">
        <v>0</v>
      </c>
      <c r="K107" t="n">
        <v>0</v>
      </c>
      <c r="L107" t="n">
        <v>0</v>
      </c>
      <c r="M107" t="n">
        <v>0</v>
      </c>
      <c r="N107" t="n">
        <v>0</v>
      </c>
      <c r="O107" t="n">
        <v>0</v>
      </c>
      <c r="P107" t="n">
        <v>0</v>
      </c>
      <c r="Q107" t="n">
        <v>0</v>
      </c>
      <c r="R107" s="2" t="inlineStr"/>
    </row>
    <row r="108" ht="15" customHeight="1">
      <c r="A108" t="inlineStr">
        <is>
          <t>A 48620-2023</t>
        </is>
      </c>
      <c r="B108" s="1" t="n">
        <v>45208</v>
      </c>
      <c r="C108" s="1" t="n">
        <v>45754</v>
      </c>
      <c r="D108" t="inlineStr">
        <is>
          <t>UPPSALA LÄN</t>
        </is>
      </c>
      <c r="E108" t="inlineStr">
        <is>
          <t>ÄLVKARLEBY</t>
        </is>
      </c>
      <c r="F108" t="inlineStr">
        <is>
          <t>Bergvik skog öst AB</t>
        </is>
      </c>
      <c r="G108" t="n">
        <v>2</v>
      </c>
      <c r="H108" t="n">
        <v>0</v>
      </c>
      <c r="I108" t="n">
        <v>0</v>
      </c>
      <c r="J108" t="n">
        <v>0</v>
      </c>
      <c r="K108" t="n">
        <v>0</v>
      </c>
      <c r="L108" t="n">
        <v>0</v>
      </c>
      <c r="M108" t="n">
        <v>0</v>
      </c>
      <c r="N108" t="n">
        <v>0</v>
      </c>
      <c r="O108" t="n">
        <v>0</v>
      </c>
      <c r="P108" t="n">
        <v>0</v>
      </c>
      <c r="Q108" t="n">
        <v>0</v>
      </c>
      <c r="R108" s="2" t="inlineStr"/>
    </row>
    <row r="109" ht="15" customHeight="1">
      <c r="A109" t="inlineStr">
        <is>
          <t>A 48674-2023</t>
        </is>
      </c>
      <c r="B109" s="1" t="n">
        <v>45208</v>
      </c>
      <c r="C109" s="1" t="n">
        <v>45754</v>
      </c>
      <c r="D109" t="inlineStr">
        <is>
          <t>UPPSALA LÄN</t>
        </is>
      </c>
      <c r="E109" t="inlineStr">
        <is>
          <t>ÄLVKARLEBY</t>
        </is>
      </c>
      <c r="F109" t="inlineStr">
        <is>
          <t>Bergvik skog öst AB</t>
        </is>
      </c>
      <c r="G109" t="n">
        <v>15.5</v>
      </c>
      <c r="H109" t="n">
        <v>0</v>
      </c>
      <c r="I109" t="n">
        <v>0</v>
      </c>
      <c r="J109" t="n">
        <v>0</v>
      </c>
      <c r="K109" t="n">
        <v>0</v>
      </c>
      <c r="L109" t="n">
        <v>0</v>
      </c>
      <c r="M109" t="n">
        <v>0</v>
      </c>
      <c r="N109" t="n">
        <v>0</v>
      </c>
      <c r="O109" t="n">
        <v>0</v>
      </c>
      <c r="P109" t="n">
        <v>0</v>
      </c>
      <c r="Q109" t="n">
        <v>0</v>
      </c>
      <c r="R109" s="2" t="inlineStr"/>
    </row>
    <row r="110" ht="15" customHeight="1">
      <c r="A110" t="inlineStr">
        <is>
          <t>A 49432-2023</t>
        </is>
      </c>
      <c r="B110" s="1" t="n">
        <v>45211</v>
      </c>
      <c r="C110" s="1" t="n">
        <v>45754</v>
      </c>
      <c r="D110" t="inlineStr">
        <is>
          <t>UPPSALA LÄN</t>
        </is>
      </c>
      <c r="E110" t="inlineStr">
        <is>
          <t>ÄLVKARLEBY</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50048-2023</t>
        </is>
      </c>
      <c r="B111" s="1" t="n">
        <v>45215</v>
      </c>
      <c r="C111" s="1" t="n">
        <v>45754</v>
      </c>
      <c r="D111" t="inlineStr">
        <is>
          <t>UPPSALA LÄN</t>
        </is>
      </c>
      <c r="E111" t="inlineStr">
        <is>
          <t>ÄLVKARLEBY</t>
        </is>
      </c>
      <c r="F111" t="inlineStr">
        <is>
          <t>Bergvik skog väst AB</t>
        </is>
      </c>
      <c r="G111" t="n">
        <v>5.8</v>
      </c>
      <c r="H111" t="n">
        <v>0</v>
      </c>
      <c r="I111" t="n">
        <v>0</v>
      </c>
      <c r="J111" t="n">
        <v>0</v>
      </c>
      <c r="K111" t="n">
        <v>0</v>
      </c>
      <c r="L111" t="n">
        <v>0</v>
      </c>
      <c r="M111" t="n">
        <v>0</v>
      </c>
      <c r="N111" t="n">
        <v>0</v>
      </c>
      <c r="O111" t="n">
        <v>0</v>
      </c>
      <c r="P111" t="n">
        <v>0</v>
      </c>
      <c r="Q111" t="n">
        <v>0</v>
      </c>
      <c r="R111" s="2" t="inlineStr"/>
    </row>
    <row r="112" ht="15" customHeight="1">
      <c r="A112" t="inlineStr">
        <is>
          <t>A 54858-2023</t>
        </is>
      </c>
      <c r="B112" s="1" t="n">
        <v>45236</v>
      </c>
      <c r="C112" s="1" t="n">
        <v>45754</v>
      </c>
      <c r="D112" t="inlineStr">
        <is>
          <t>UPPSALA LÄN</t>
        </is>
      </c>
      <c r="E112" t="inlineStr">
        <is>
          <t>ÄLVKARLEBY</t>
        </is>
      </c>
      <c r="F112" t="inlineStr">
        <is>
          <t>Bergvik skog öst AB</t>
        </is>
      </c>
      <c r="G112" t="n">
        <v>13.3</v>
      </c>
      <c r="H112" t="n">
        <v>0</v>
      </c>
      <c r="I112" t="n">
        <v>0</v>
      </c>
      <c r="J112" t="n">
        <v>0</v>
      </c>
      <c r="K112" t="n">
        <v>0</v>
      </c>
      <c r="L112" t="n">
        <v>0</v>
      </c>
      <c r="M112" t="n">
        <v>0</v>
      </c>
      <c r="N112" t="n">
        <v>0</v>
      </c>
      <c r="O112" t="n">
        <v>0</v>
      </c>
      <c r="P112" t="n">
        <v>0</v>
      </c>
      <c r="Q112" t="n">
        <v>0</v>
      </c>
      <c r="R112" s="2" t="inlineStr"/>
    </row>
    <row r="113" ht="15" customHeight="1">
      <c r="A113" t="inlineStr">
        <is>
          <t>A 59004-2023</t>
        </is>
      </c>
      <c r="B113" s="1" t="n">
        <v>45252</v>
      </c>
      <c r="C113" s="1" t="n">
        <v>45754</v>
      </c>
      <c r="D113" t="inlineStr">
        <is>
          <t>UPPSALA LÄN</t>
        </is>
      </c>
      <c r="E113" t="inlineStr">
        <is>
          <t>ÄLVKARLEBY</t>
        </is>
      </c>
      <c r="F113" t="inlineStr">
        <is>
          <t>Bergvik skog öst AB</t>
        </is>
      </c>
      <c r="G113" t="n">
        <v>1.7</v>
      </c>
      <c r="H113" t="n">
        <v>0</v>
      </c>
      <c r="I113" t="n">
        <v>0</v>
      </c>
      <c r="J113" t="n">
        <v>0</v>
      </c>
      <c r="K113" t="n">
        <v>0</v>
      </c>
      <c r="L113" t="n">
        <v>0</v>
      </c>
      <c r="M113" t="n">
        <v>0</v>
      </c>
      <c r="N113" t="n">
        <v>0</v>
      </c>
      <c r="O113" t="n">
        <v>0</v>
      </c>
      <c r="P113" t="n">
        <v>0</v>
      </c>
      <c r="Q113" t="n">
        <v>0</v>
      </c>
      <c r="R113" s="2" t="inlineStr"/>
    </row>
    <row r="114" ht="15" customHeight="1">
      <c r="A114" t="inlineStr">
        <is>
          <t>A 60151-2023</t>
        </is>
      </c>
      <c r="B114" s="1" t="n">
        <v>45258</v>
      </c>
      <c r="C114" s="1" t="n">
        <v>45754</v>
      </c>
      <c r="D114" t="inlineStr">
        <is>
          <t>UPPSALA LÄN</t>
        </is>
      </c>
      <c r="E114" t="inlineStr">
        <is>
          <t>ÄLVKARLEBY</t>
        </is>
      </c>
      <c r="F114" t="inlineStr">
        <is>
          <t>Bergvik skog väst AB</t>
        </is>
      </c>
      <c r="G114" t="n">
        <v>32.2</v>
      </c>
      <c r="H114" t="n">
        <v>0</v>
      </c>
      <c r="I114" t="n">
        <v>0</v>
      </c>
      <c r="J114" t="n">
        <v>0</v>
      </c>
      <c r="K114" t="n">
        <v>0</v>
      </c>
      <c r="L114" t="n">
        <v>0</v>
      </c>
      <c r="M114" t="n">
        <v>0</v>
      </c>
      <c r="N114" t="n">
        <v>0</v>
      </c>
      <c r="O114" t="n">
        <v>0</v>
      </c>
      <c r="P114" t="n">
        <v>0</v>
      </c>
      <c r="Q114" t="n">
        <v>0</v>
      </c>
      <c r="R114" s="2" t="inlineStr"/>
    </row>
    <row r="115" ht="15" customHeight="1">
      <c r="A115" t="inlineStr">
        <is>
          <t>A 60455-2023</t>
        </is>
      </c>
      <c r="B115" s="1" t="n">
        <v>45259</v>
      </c>
      <c r="C115" s="1" t="n">
        <v>45754</v>
      </c>
      <c r="D115" t="inlineStr">
        <is>
          <t>UPPSALA LÄN</t>
        </is>
      </c>
      <c r="E115" t="inlineStr">
        <is>
          <t>ÄLVKARLEBY</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895-2024</t>
        </is>
      </c>
      <c r="B116" s="1" t="n">
        <v>45301</v>
      </c>
      <c r="C116" s="1" t="n">
        <v>45754</v>
      </c>
      <c r="D116" t="inlineStr">
        <is>
          <t>UPPSALA LÄN</t>
        </is>
      </c>
      <c r="E116" t="inlineStr">
        <is>
          <t>ÄLVKARLEBY</t>
        </is>
      </c>
      <c r="G116" t="n">
        <v>1.7</v>
      </c>
      <c r="H116" t="n">
        <v>0</v>
      </c>
      <c r="I116" t="n">
        <v>0</v>
      </c>
      <c r="J116" t="n">
        <v>0</v>
      </c>
      <c r="K116" t="n">
        <v>0</v>
      </c>
      <c r="L116" t="n">
        <v>0</v>
      </c>
      <c r="M116" t="n">
        <v>0</v>
      </c>
      <c r="N116" t="n">
        <v>0</v>
      </c>
      <c r="O116" t="n">
        <v>0</v>
      </c>
      <c r="P116" t="n">
        <v>0</v>
      </c>
      <c r="Q116" t="n">
        <v>0</v>
      </c>
      <c r="R116" s="2" t="inlineStr"/>
    </row>
    <row r="117" ht="15" customHeight="1">
      <c r="A117" t="inlineStr">
        <is>
          <t>A 996-2024</t>
        </is>
      </c>
      <c r="B117" s="1" t="n">
        <v>45301</v>
      </c>
      <c r="C117" s="1" t="n">
        <v>45754</v>
      </c>
      <c r="D117" t="inlineStr">
        <is>
          <t>UPPSALA LÄN</t>
        </is>
      </c>
      <c r="E117" t="inlineStr">
        <is>
          <t>ÄLVKARLEBY</t>
        </is>
      </c>
      <c r="F117" t="inlineStr">
        <is>
          <t>Bergvik skog väst AB</t>
        </is>
      </c>
      <c r="G117" t="n">
        <v>5.6</v>
      </c>
      <c r="H117" t="n">
        <v>0</v>
      </c>
      <c r="I117" t="n">
        <v>0</v>
      </c>
      <c r="J117" t="n">
        <v>0</v>
      </c>
      <c r="K117" t="n">
        <v>0</v>
      </c>
      <c r="L117" t="n">
        <v>0</v>
      </c>
      <c r="M117" t="n">
        <v>0</v>
      </c>
      <c r="N117" t="n">
        <v>0</v>
      </c>
      <c r="O117" t="n">
        <v>0</v>
      </c>
      <c r="P117" t="n">
        <v>0</v>
      </c>
      <c r="Q117" t="n">
        <v>0</v>
      </c>
      <c r="R117" s="2" t="inlineStr"/>
    </row>
    <row r="118" ht="15" customHeight="1">
      <c r="A118" t="inlineStr">
        <is>
          <t>A 2183-2024</t>
        </is>
      </c>
      <c r="B118" s="1" t="n">
        <v>45309</v>
      </c>
      <c r="C118" s="1" t="n">
        <v>45754</v>
      </c>
      <c r="D118" t="inlineStr">
        <is>
          <t>UPPSALA LÄN</t>
        </is>
      </c>
      <c r="E118" t="inlineStr">
        <is>
          <t>ÄLVKARLEBY</t>
        </is>
      </c>
      <c r="G118" t="n">
        <v>0.5</v>
      </c>
      <c r="H118" t="n">
        <v>0</v>
      </c>
      <c r="I118" t="n">
        <v>0</v>
      </c>
      <c r="J118" t="n">
        <v>0</v>
      </c>
      <c r="K118" t="n">
        <v>0</v>
      </c>
      <c r="L118" t="n">
        <v>0</v>
      </c>
      <c r="M118" t="n">
        <v>0</v>
      </c>
      <c r="N118" t="n">
        <v>0</v>
      </c>
      <c r="O118" t="n">
        <v>0</v>
      </c>
      <c r="P118" t="n">
        <v>0</v>
      </c>
      <c r="Q118" t="n">
        <v>0</v>
      </c>
      <c r="R118" s="2" t="inlineStr"/>
    </row>
    <row r="119" ht="15" customHeight="1">
      <c r="A119" t="inlineStr">
        <is>
          <t>A 2184-2024</t>
        </is>
      </c>
      <c r="B119" s="1" t="n">
        <v>45309</v>
      </c>
      <c r="C119" s="1" t="n">
        <v>45754</v>
      </c>
      <c r="D119" t="inlineStr">
        <is>
          <t>UPPSALA LÄN</t>
        </is>
      </c>
      <c r="E119" t="inlineStr">
        <is>
          <t>ÄLVKARLEBY</t>
        </is>
      </c>
      <c r="G119" t="n">
        <v>0.6</v>
      </c>
      <c r="H119" t="n">
        <v>0</v>
      </c>
      <c r="I119" t="n">
        <v>0</v>
      </c>
      <c r="J119" t="n">
        <v>0</v>
      </c>
      <c r="K119" t="n">
        <v>0</v>
      </c>
      <c r="L119" t="n">
        <v>0</v>
      </c>
      <c r="M119" t="n">
        <v>0</v>
      </c>
      <c r="N119" t="n">
        <v>0</v>
      </c>
      <c r="O119" t="n">
        <v>0</v>
      </c>
      <c r="P119" t="n">
        <v>0</v>
      </c>
      <c r="Q119" t="n">
        <v>0</v>
      </c>
      <c r="R119" s="2" t="inlineStr"/>
    </row>
    <row r="120" ht="15" customHeight="1">
      <c r="A120" t="inlineStr">
        <is>
          <t>A 19304-2024</t>
        </is>
      </c>
      <c r="B120" s="1" t="n">
        <v>45428</v>
      </c>
      <c r="C120" s="1" t="n">
        <v>45754</v>
      </c>
      <c r="D120" t="inlineStr">
        <is>
          <t>UPPSALA LÄN</t>
        </is>
      </c>
      <c r="E120" t="inlineStr">
        <is>
          <t>ÄLVKARLEBY</t>
        </is>
      </c>
      <c r="G120" t="n">
        <v>0.2</v>
      </c>
      <c r="H120" t="n">
        <v>0</v>
      </c>
      <c r="I120" t="n">
        <v>0</v>
      </c>
      <c r="J120" t="n">
        <v>0</v>
      </c>
      <c r="K120" t="n">
        <v>0</v>
      </c>
      <c r="L120" t="n">
        <v>0</v>
      </c>
      <c r="M120" t="n">
        <v>0</v>
      </c>
      <c r="N120" t="n">
        <v>0</v>
      </c>
      <c r="O120" t="n">
        <v>0</v>
      </c>
      <c r="P120" t="n">
        <v>0</v>
      </c>
      <c r="Q120" t="n">
        <v>0</v>
      </c>
      <c r="R120" s="2" t="inlineStr"/>
    </row>
    <row r="121" ht="15" customHeight="1">
      <c r="A121" t="inlineStr">
        <is>
          <t>A 19303-2024</t>
        </is>
      </c>
      <c r="B121" s="1" t="n">
        <v>45428</v>
      </c>
      <c r="C121" s="1" t="n">
        <v>45754</v>
      </c>
      <c r="D121" t="inlineStr">
        <is>
          <t>UPPSALA LÄN</t>
        </is>
      </c>
      <c r="E121" t="inlineStr">
        <is>
          <t>ÄLVKARLEBY</t>
        </is>
      </c>
      <c r="G121" t="n">
        <v>0.4</v>
      </c>
      <c r="H121" t="n">
        <v>0</v>
      </c>
      <c r="I121" t="n">
        <v>0</v>
      </c>
      <c r="J121" t="n">
        <v>0</v>
      </c>
      <c r="K121" t="n">
        <v>0</v>
      </c>
      <c r="L121" t="n">
        <v>0</v>
      </c>
      <c r="M121" t="n">
        <v>0</v>
      </c>
      <c r="N121" t="n">
        <v>0</v>
      </c>
      <c r="O121" t="n">
        <v>0</v>
      </c>
      <c r="P121" t="n">
        <v>0</v>
      </c>
      <c r="Q121" t="n">
        <v>0</v>
      </c>
      <c r="R121" s="2" t="inlineStr"/>
    </row>
    <row r="122" ht="15" customHeight="1">
      <c r="A122" t="inlineStr">
        <is>
          <t>A 19298-2024</t>
        </is>
      </c>
      <c r="B122" s="1" t="n">
        <v>45428</v>
      </c>
      <c r="C122" s="1" t="n">
        <v>45754</v>
      </c>
      <c r="D122" t="inlineStr">
        <is>
          <t>UPPSALA LÄN</t>
        </is>
      </c>
      <c r="E122" t="inlineStr">
        <is>
          <t>ÄLVKARLEBY</t>
        </is>
      </c>
      <c r="G122" t="n">
        <v>1.2</v>
      </c>
      <c r="H122" t="n">
        <v>0</v>
      </c>
      <c r="I122" t="n">
        <v>0</v>
      </c>
      <c r="J122" t="n">
        <v>0</v>
      </c>
      <c r="K122" t="n">
        <v>0</v>
      </c>
      <c r="L122" t="n">
        <v>0</v>
      </c>
      <c r="M122" t="n">
        <v>0</v>
      </c>
      <c r="N122" t="n">
        <v>0</v>
      </c>
      <c r="O122" t="n">
        <v>0</v>
      </c>
      <c r="P122" t="n">
        <v>0</v>
      </c>
      <c r="Q122" t="n">
        <v>0</v>
      </c>
      <c r="R122" s="2" t="inlineStr"/>
    </row>
    <row r="123" ht="15" customHeight="1">
      <c r="A123" t="inlineStr">
        <is>
          <t>A 29899-2024</t>
        </is>
      </c>
      <c r="B123" s="1" t="n">
        <v>45487</v>
      </c>
      <c r="C123" s="1" t="n">
        <v>45754</v>
      </c>
      <c r="D123" t="inlineStr">
        <is>
          <t>UPPSALA LÄN</t>
        </is>
      </c>
      <c r="E123" t="inlineStr">
        <is>
          <t>ÄLVKARLEBY</t>
        </is>
      </c>
      <c r="F123" t="inlineStr">
        <is>
          <t>Bergvik skog väst AB</t>
        </is>
      </c>
      <c r="G123" t="n">
        <v>7.1</v>
      </c>
      <c r="H123" t="n">
        <v>0</v>
      </c>
      <c r="I123" t="n">
        <v>0</v>
      </c>
      <c r="J123" t="n">
        <v>0</v>
      </c>
      <c r="K123" t="n">
        <v>0</v>
      </c>
      <c r="L123" t="n">
        <v>0</v>
      </c>
      <c r="M123" t="n">
        <v>0</v>
      </c>
      <c r="N123" t="n">
        <v>0</v>
      </c>
      <c r="O123" t="n">
        <v>0</v>
      </c>
      <c r="P123" t="n">
        <v>0</v>
      </c>
      <c r="Q123" t="n">
        <v>0</v>
      </c>
      <c r="R123" s="2" t="inlineStr"/>
    </row>
    <row r="124" ht="15" customHeight="1">
      <c r="A124" t="inlineStr">
        <is>
          <t>A 33781-2024</t>
        </is>
      </c>
      <c r="B124" s="1" t="n">
        <v>45520</v>
      </c>
      <c r="C124" s="1" t="n">
        <v>45754</v>
      </c>
      <c r="D124" t="inlineStr">
        <is>
          <t>UPPSALA LÄN</t>
        </is>
      </c>
      <c r="E124" t="inlineStr">
        <is>
          <t>ÄLVKARLEBY</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34963-2024</t>
        </is>
      </c>
      <c r="B125" s="1" t="n">
        <v>45527</v>
      </c>
      <c r="C125" s="1" t="n">
        <v>45754</v>
      </c>
      <c r="D125" t="inlineStr">
        <is>
          <t>UPPSALA LÄN</t>
        </is>
      </c>
      <c r="E125" t="inlineStr">
        <is>
          <t>ÄLVKARLEBY</t>
        </is>
      </c>
      <c r="F125" t="inlineStr">
        <is>
          <t>Bergvik skog väst AB</t>
        </is>
      </c>
      <c r="G125" t="n">
        <v>8.1</v>
      </c>
      <c r="H125" t="n">
        <v>0</v>
      </c>
      <c r="I125" t="n">
        <v>0</v>
      </c>
      <c r="J125" t="n">
        <v>0</v>
      </c>
      <c r="K125" t="n">
        <v>0</v>
      </c>
      <c r="L125" t="n">
        <v>0</v>
      </c>
      <c r="M125" t="n">
        <v>0</v>
      </c>
      <c r="N125" t="n">
        <v>0</v>
      </c>
      <c r="O125" t="n">
        <v>0</v>
      </c>
      <c r="P125" t="n">
        <v>0</v>
      </c>
      <c r="Q125" t="n">
        <v>0</v>
      </c>
      <c r="R125" s="2" t="inlineStr"/>
    </row>
    <row r="126" ht="15" customHeight="1">
      <c r="A126" t="inlineStr">
        <is>
          <t>A 35832-2024</t>
        </is>
      </c>
      <c r="B126" s="1" t="n">
        <v>45532</v>
      </c>
      <c r="C126" s="1" t="n">
        <v>45754</v>
      </c>
      <c r="D126" t="inlineStr">
        <is>
          <t>UPPSALA LÄN</t>
        </is>
      </c>
      <c r="E126" t="inlineStr">
        <is>
          <t>ÄLVKARLEBY</t>
        </is>
      </c>
      <c r="F126" t="inlineStr">
        <is>
          <t>Bergvik skog väst AB</t>
        </is>
      </c>
      <c r="G126" t="n">
        <v>2.3</v>
      </c>
      <c r="H126" t="n">
        <v>0</v>
      </c>
      <c r="I126" t="n">
        <v>0</v>
      </c>
      <c r="J126" t="n">
        <v>0</v>
      </c>
      <c r="K126" t="n">
        <v>0</v>
      </c>
      <c r="L126" t="n">
        <v>0</v>
      </c>
      <c r="M126" t="n">
        <v>0</v>
      </c>
      <c r="N126" t="n">
        <v>0</v>
      </c>
      <c r="O126" t="n">
        <v>0</v>
      </c>
      <c r="P126" t="n">
        <v>0</v>
      </c>
      <c r="Q126" t="n">
        <v>0</v>
      </c>
      <c r="R126" s="2" t="inlineStr"/>
    </row>
    <row r="127" ht="15" customHeight="1">
      <c r="A127" t="inlineStr">
        <is>
          <t>A 38195-2024</t>
        </is>
      </c>
      <c r="B127" s="1" t="n">
        <v>45545</v>
      </c>
      <c r="C127" s="1" t="n">
        <v>45754</v>
      </c>
      <c r="D127" t="inlineStr">
        <is>
          <t>UPPSALA LÄN</t>
        </is>
      </c>
      <c r="E127" t="inlineStr">
        <is>
          <t>ÄLVKARLEBY</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38199-2024</t>
        </is>
      </c>
      <c r="B128" s="1" t="n">
        <v>45545</v>
      </c>
      <c r="C128" s="1" t="n">
        <v>45754</v>
      </c>
      <c r="D128" t="inlineStr">
        <is>
          <t>UPPSALA LÄN</t>
        </is>
      </c>
      <c r="E128" t="inlineStr">
        <is>
          <t>ÄLVKARLEBY</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38217-2024</t>
        </is>
      </c>
      <c r="B129" s="1" t="n">
        <v>45545</v>
      </c>
      <c r="C129" s="1" t="n">
        <v>45754</v>
      </c>
      <c r="D129" t="inlineStr">
        <is>
          <t>UPPSALA LÄN</t>
        </is>
      </c>
      <c r="E129" t="inlineStr">
        <is>
          <t>ÄLVKARLEBY</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41121-2024</t>
        </is>
      </c>
      <c r="B130" s="1" t="n">
        <v>45559</v>
      </c>
      <c r="C130" s="1" t="n">
        <v>45754</v>
      </c>
      <c r="D130" t="inlineStr">
        <is>
          <t>UPPSALA LÄN</t>
        </is>
      </c>
      <c r="E130" t="inlineStr">
        <is>
          <t>ÄLVKARLEBY</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41929-2024</t>
        </is>
      </c>
      <c r="B131" s="1" t="n">
        <v>45561</v>
      </c>
      <c r="C131" s="1" t="n">
        <v>45754</v>
      </c>
      <c r="D131" t="inlineStr">
        <is>
          <t>UPPSALA LÄN</t>
        </is>
      </c>
      <c r="E131" t="inlineStr">
        <is>
          <t>ÄLVKARLEBY</t>
        </is>
      </c>
      <c r="F131" t="inlineStr">
        <is>
          <t>Bergvik skog väst AB</t>
        </is>
      </c>
      <c r="G131" t="n">
        <v>4.9</v>
      </c>
      <c r="H131" t="n">
        <v>0</v>
      </c>
      <c r="I131" t="n">
        <v>0</v>
      </c>
      <c r="J131" t="n">
        <v>0</v>
      </c>
      <c r="K131" t="n">
        <v>0</v>
      </c>
      <c r="L131" t="n">
        <v>0</v>
      </c>
      <c r="M131" t="n">
        <v>0</v>
      </c>
      <c r="N131" t="n">
        <v>0</v>
      </c>
      <c r="O131" t="n">
        <v>0</v>
      </c>
      <c r="P131" t="n">
        <v>0</v>
      </c>
      <c r="Q131" t="n">
        <v>0</v>
      </c>
      <c r="R131" s="2" t="inlineStr"/>
    </row>
    <row r="132" ht="15" customHeight="1">
      <c r="A132" t="inlineStr">
        <is>
          <t>A 41979-2024</t>
        </is>
      </c>
      <c r="B132" s="1" t="n">
        <v>45561</v>
      </c>
      <c r="C132" s="1" t="n">
        <v>45754</v>
      </c>
      <c r="D132" t="inlineStr">
        <is>
          <t>UPPSALA LÄN</t>
        </is>
      </c>
      <c r="E132" t="inlineStr">
        <is>
          <t>ÄLVKARLEBY</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41894-2024</t>
        </is>
      </c>
      <c r="B133" s="1" t="n">
        <v>45561</v>
      </c>
      <c r="C133" s="1" t="n">
        <v>45754</v>
      </c>
      <c r="D133" t="inlineStr">
        <is>
          <t>UPPSALA LÄN</t>
        </is>
      </c>
      <c r="E133" t="inlineStr">
        <is>
          <t>ÄLVKARLEBY</t>
        </is>
      </c>
      <c r="F133" t="inlineStr">
        <is>
          <t>Bergvik skog väst AB</t>
        </is>
      </c>
      <c r="G133" t="n">
        <v>5.6</v>
      </c>
      <c r="H133" t="n">
        <v>0</v>
      </c>
      <c r="I133" t="n">
        <v>0</v>
      </c>
      <c r="J133" t="n">
        <v>0</v>
      </c>
      <c r="K133" t="n">
        <v>0</v>
      </c>
      <c r="L133" t="n">
        <v>0</v>
      </c>
      <c r="M133" t="n">
        <v>0</v>
      </c>
      <c r="N133" t="n">
        <v>0</v>
      </c>
      <c r="O133" t="n">
        <v>0</v>
      </c>
      <c r="P133" t="n">
        <v>0</v>
      </c>
      <c r="Q133" t="n">
        <v>0</v>
      </c>
      <c r="R133" s="2" t="inlineStr"/>
    </row>
    <row r="134" ht="15" customHeight="1">
      <c r="A134" t="inlineStr">
        <is>
          <t>A 41898-2024</t>
        </is>
      </c>
      <c r="B134" s="1" t="n">
        <v>45561</v>
      </c>
      <c r="C134" s="1" t="n">
        <v>45754</v>
      </c>
      <c r="D134" t="inlineStr">
        <is>
          <t>UPPSALA LÄN</t>
        </is>
      </c>
      <c r="E134" t="inlineStr">
        <is>
          <t>ÄLVKARLEBY</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45039-2024</t>
        </is>
      </c>
      <c r="B135" s="1" t="n">
        <v>45575</v>
      </c>
      <c r="C135" s="1" t="n">
        <v>45754</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45040-2024</t>
        </is>
      </c>
      <c r="B136" s="1" t="n">
        <v>45575</v>
      </c>
      <c r="C136" s="1" t="n">
        <v>45754</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45371-2024</t>
        </is>
      </c>
      <c r="B137" s="1" t="n">
        <v>45576</v>
      </c>
      <c r="C137" s="1" t="n">
        <v>45754</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45372-2024</t>
        </is>
      </c>
      <c r="B138" s="1" t="n">
        <v>45576</v>
      </c>
      <c r="C138" s="1" t="n">
        <v>45754</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47754-2024</t>
        </is>
      </c>
      <c r="B139" s="1" t="n">
        <v>45588</v>
      </c>
      <c r="C139" s="1" t="n">
        <v>45754</v>
      </c>
      <c r="D139" t="inlineStr">
        <is>
          <t>UPPSALA LÄN</t>
        </is>
      </c>
      <c r="E139" t="inlineStr">
        <is>
          <t>ÄLVKARLEBY</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47798-2024</t>
        </is>
      </c>
      <c r="B140" s="1" t="n">
        <v>45588</v>
      </c>
      <c r="C140" s="1" t="n">
        <v>45754</v>
      </c>
      <c r="D140" t="inlineStr">
        <is>
          <t>UPPSALA LÄN</t>
        </is>
      </c>
      <c r="E140" t="inlineStr">
        <is>
          <t>ÄLVKARLEBY</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47799-2024</t>
        </is>
      </c>
      <c r="B141" s="1" t="n">
        <v>45588</v>
      </c>
      <c r="C141" s="1" t="n">
        <v>45754</v>
      </c>
      <c r="D141" t="inlineStr">
        <is>
          <t>UPPSALA LÄN</t>
        </is>
      </c>
      <c r="E141" t="inlineStr">
        <is>
          <t>ÄLVKARLEBY</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47796-2024</t>
        </is>
      </c>
      <c r="B142" s="1" t="n">
        <v>45588</v>
      </c>
      <c r="C142" s="1" t="n">
        <v>45754</v>
      </c>
      <c r="D142" t="inlineStr">
        <is>
          <t>UPPSALA LÄN</t>
        </is>
      </c>
      <c r="E142" t="inlineStr">
        <is>
          <t>ÄLVKARLEBY</t>
        </is>
      </c>
      <c r="F142" t="inlineStr">
        <is>
          <t>Bergvik skog väst AB</t>
        </is>
      </c>
      <c r="G142" t="n">
        <v>4.1</v>
      </c>
      <c r="H142" t="n">
        <v>0</v>
      </c>
      <c r="I142" t="n">
        <v>0</v>
      </c>
      <c r="J142" t="n">
        <v>0</v>
      </c>
      <c r="K142" t="n">
        <v>0</v>
      </c>
      <c r="L142" t="n">
        <v>0</v>
      </c>
      <c r="M142" t="n">
        <v>0</v>
      </c>
      <c r="N142" t="n">
        <v>0</v>
      </c>
      <c r="O142" t="n">
        <v>0</v>
      </c>
      <c r="P142" t="n">
        <v>0</v>
      </c>
      <c r="Q142" t="n">
        <v>0</v>
      </c>
      <c r="R142" s="2" t="inlineStr"/>
    </row>
    <row r="143" ht="15" customHeight="1">
      <c r="A143" t="inlineStr">
        <is>
          <t>A 49628-2024</t>
        </is>
      </c>
      <c r="B143" s="1" t="n">
        <v>45596</v>
      </c>
      <c r="C143" s="1" t="n">
        <v>45754</v>
      </c>
      <c r="D143" t="inlineStr">
        <is>
          <t>UPPSALA LÄN</t>
        </is>
      </c>
      <c r="E143" t="inlineStr">
        <is>
          <t>ÄLVKARLEBY</t>
        </is>
      </c>
      <c r="F143" t="inlineStr">
        <is>
          <t>Bergvik skog väst AB</t>
        </is>
      </c>
      <c r="G143" t="n">
        <v>18.2</v>
      </c>
      <c r="H143" t="n">
        <v>0</v>
      </c>
      <c r="I143" t="n">
        <v>0</v>
      </c>
      <c r="J143" t="n">
        <v>0</v>
      </c>
      <c r="K143" t="n">
        <v>0</v>
      </c>
      <c r="L143" t="n">
        <v>0</v>
      </c>
      <c r="M143" t="n">
        <v>0</v>
      </c>
      <c r="N143" t="n">
        <v>0</v>
      </c>
      <c r="O143" t="n">
        <v>0</v>
      </c>
      <c r="P143" t="n">
        <v>0</v>
      </c>
      <c r="Q143" t="n">
        <v>0</v>
      </c>
      <c r="R143" s="2" t="inlineStr"/>
    </row>
    <row r="144" ht="15" customHeight="1">
      <c r="A144" t="inlineStr">
        <is>
          <t>A 51507-2024</t>
        </is>
      </c>
      <c r="B144" s="1" t="n">
        <v>45604</v>
      </c>
      <c r="C144" s="1" t="n">
        <v>45754</v>
      </c>
      <c r="D144" t="inlineStr">
        <is>
          <t>UPPSALA LÄN</t>
        </is>
      </c>
      <c r="E144" t="inlineStr">
        <is>
          <t>ÄLVKARLEBY</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51509-2024</t>
        </is>
      </c>
      <c r="B145" s="1" t="n">
        <v>45604</v>
      </c>
      <c r="C145" s="1" t="n">
        <v>45754</v>
      </c>
      <c r="D145" t="inlineStr">
        <is>
          <t>UPPSALA LÄN</t>
        </is>
      </c>
      <c r="E145" t="inlineStr">
        <is>
          <t>ÄLVKARLEBY</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54204-2024</t>
        </is>
      </c>
      <c r="B146" s="1" t="n">
        <v>45616</v>
      </c>
      <c r="C146" s="1" t="n">
        <v>45754</v>
      </c>
      <c r="D146" t="inlineStr">
        <is>
          <t>UPPSALA LÄN</t>
        </is>
      </c>
      <c r="E146" t="inlineStr">
        <is>
          <t>ÄLVKARLEBY</t>
        </is>
      </c>
      <c r="G146" t="n">
        <v>2</v>
      </c>
      <c r="H146" t="n">
        <v>0</v>
      </c>
      <c r="I146" t="n">
        <v>0</v>
      </c>
      <c r="J146" t="n">
        <v>0</v>
      </c>
      <c r="K146" t="n">
        <v>0</v>
      </c>
      <c r="L146" t="n">
        <v>0</v>
      </c>
      <c r="M146" t="n">
        <v>0</v>
      </c>
      <c r="N146" t="n">
        <v>0</v>
      </c>
      <c r="O146" t="n">
        <v>0</v>
      </c>
      <c r="P146" t="n">
        <v>0</v>
      </c>
      <c r="Q146" t="n">
        <v>0</v>
      </c>
      <c r="R146" s="2" t="inlineStr"/>
    </row>
    <row r="147" ht="15" customHeight="1">
      <c r="A147" t="inlineStr">
        <is>
          <t>A 55139-2024</t>
        </is>
      </c>
      <c r="B147" s="1" t="n">
        <v>45621</v>
      </c>
      <c r="C147" s="1" t="n">
        <v>45754</v>
      </c>
      <c r="D147" t="inlineStr">
        <is>
          <t>UPPSALA LÄN</t>
        </is>
      </c>
      <c r="E147" t="inlineStr">
        <is>
          <t>ÄLVKARLEBY</t>
        </is>
      </c>
      <c r="F147" t="inlineStr">
        <is>
          <t>Bergvik skog väst AB</t>
        </is>
      </c>
      <c r="G147" t="n">
        <v>10.4</v>
      </c>
      <c r="H147" t="n">
        <v>0</v>
      </c>
      <c r="I147" t="n">
        <v>0</v>
      </c>
      <c r="J147" t="n">
        <v>0</v>
      </c>
      <c r="K147" t="n">
        <v>0</v>
      </c>
      <c r="L147" t="n">
        <v>0</v>
      </c>
      <c r="M147" t="n">
        <v>0</v>
      </c>
      <c r="N147" t="n">
        <v>0</v>
      </c>
      <c r="O147" t="n">
        <v>0</v>
      </c>
      <c r="P147" t="n">
        <v>0</v>
      </c>
      <c r="Q147" t="n">
        <v>0</v>
      </c>
      <c r="R147" s="2" t="inlineStr"/>
    </row>
    <row r="148" ht="15" customHeight="1">
      <c r="A148" t="inlineStr">
        <is>
          <t>A 55578-2024</t>
        </is>
      </c>
      <c r="B148" s="1" t="n">
        <v>45622</v>
      </c>
      <c r="C148" s="1" t="n">
        <v>45754</v>
      </c>
      <c r="D148" t="inlineStr">
        <is>
          <t>UPPSALA LÄN</t>
        </is>
      </c>
      <c r="E148" t="inlineStr">
        <is>
          <t>ÄLVKARLEBY</t>
        </is>
      </c>
      <c r="F148" t="inlineStr">
        <is>
          <t>Bergvik skog väst AB</t>
        </is>
      </c>
      <c r="G148" t="n">
        <v>5.8</v>
      </c>
      <c r="H148" t="n">
        <v>0</v>
      </c>
      <c r="I148" t="n">
        <v>0</v>
      </c>
      <c r="J148" t="n">
        <v>0</v>
      </c>
      <c r="K148" t="n">
        <v>0</v>
      </c>
      <c r="L148" t="n">
        <v>0</v>
      </c>
      <c r="M148" t="n">
        <v>0</v>
      </c>
      <c r="N148" t="n">
        <v>0</v>
      </c>
      <c r="O148" t="n">
        <v>0</v>
      </c>
      <c r="P148" t="n">
        <v>0</v>
      </c>
      <c r="Q148" t="n">
        <v>0</v>
      </c>
      <c r="R148" s="2" t="inlineStr"/>
    </row>
    <row r="149" ht="15" customHeight="1">
      <c r="A149" t="inlineStr">
        <is>
          <t>A 56864-2024</t>
        </is>
      </c>
      <c r="B149" s="1" t="n">
        <v>45628</v>
      </c>
      <c r="C149" s="1" t="n">
        <v>45754</v>
      </c>
      <c r="D149" t="inlineStr">
        <is>
          <t>UPPSALA LÄN</t>
        </is>
      </c>
      <c r="E149" t="inlineStr">
        <is>
          <t>ÄLVKARLEBY</t>
        </is>
      </c>
      <c r="F149" t="inlineStr">
        <is>
          <t>Bergvik skog väst AB</t>
        </is>
      </c>
      <c r="G149" t="n">
        <v>11.3</v>
      </c>
      <c r="H149" t="n">
        <v>0</v>
      </c>
      <c r="I149" t="n">
        <v>0</v>
      </c>
      <c r="J149" t="n">
        <v>0</v>
      </c>
      <c r="K149" t="n">
        <v>0</v>
      </c>
      <c r="L149" t="n">
        <v>0</v>
      </c>
      <c r="M149" t="n">
        <v>0</v>
      </c>
      <c r="N149" t="n">
        <v>0</v>
      </c>
      <c r="O149" t="n">
        <v>0</v>
      </c>
      <c r="P149" t="n">
        <v>0</v>
      </c>
      <c r="Q149" t="n">
        <v>0</v>
      </c>
      <c r="R149" s="2" t="inlineStr"/>
    </row>
    <row r="150" ht="15" customHeight="1">
      <c r="A150" t="inlineStr">
        <is>
          <t>A 3950-2025</t>
        </is>
      </c>
      <c r="B150" s="1" t="n">
        <v>45684</v>
      </c>
      <c r="C150" s="1" t="n">
        <v>45754</v>
      </c>
      <c r="D150" t="inlineStr">
        <is>
          <t>UPPSALA LÄN</t>
        </is>
      </c>
      <c r="E150" t="inlineStr">
        <is>
          <t>ÄLVKARLEBY</t>
        </is>
      </c>
      <c r="G150" t="n">
        <v>3.1</v>
      </c>
      <c r="H150" t="n">
        <v>0</v>
      </c>
      <c r="I150" t="n">
        <v>0</v>
      </c>
      <c r="J150" t="n">
        <v>0</v>
      </c>
      <c r="K150" t="n">
        <v>0</v>
      </c>
      <c r="L150" t="n">
        <v>0</v>
      </c>
      <c r="M150" t="n">
        <v>0</v>
      </c>
      <c r="N150" t="n">
        <v>0</v>
      </c>
      <c r="O150" t="n">
        <v>0</v>
      </c>
      <c r="P150" t="n">
        <v>0</v>
      </c>
      <c r="Q150" t="n">
        <v>0</v>
      </c>
      <c r="R150" s="2" t="inlineStr"/>
    </row>
    <row r="151" ht="15" customHeight="1">
      <c r="A151" t="inlineStr">
        <is>
          <t>A 8030-2025</t>
        </is>
      </c>
      <c r="B151" s="1" t="n">
        <v>45707</v>
      </c>
      <c r="C151" s="1" t="n">
        <v>45754</v>
      </c>
      <c r="D151" t="inlineStr">
        <is>
          <t>UPPSALA LÄN</t>
        </is>
      </c>
      <c r="E151" t="inlineStr">
        <is>
          <t>ÄLVKARLEBY</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8031-2025</t>
        </is>
      </c>
      <c r="B152" s="1" t="n">
        <v>45707</v>
      </c>
      <c r="C152" s="1" t="n">
        <v>45754</v>
      </c>
      <c r="D152" t="inlineStr">
        <is>
          <t>UPPSALA LÄN</t>
        </is>
      </c>
      <c r="E152" t="inlineStr">
        <is>
          <t>ÄLVKARLEBY</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8966-2025</t>
        </is>
      </c>
      <c r="B153" s="1" t="n">
        <v>45713</v>
      </c>
      <c r="C153" s="1" t="n">
        <v>45754</v>
      </c>
      <c r="D153" t="inlineStr">
        <is>
          <t>UPPSALA LÄN</t>
        </is>
      </c>
      <c r="E153" t="inlineStr">
        <is>
          <t>ÄLVKARLEBY</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9311-2025</t>
        </is>
      </c>
      <c r="B154" s="1" t="n">
        <v>45714</v>
      </c>
      <c r="C154" s="1" t="n">
        <v>45754</v>
      </c>
      <c r="D154" t="inlineStr">
        <is>
          <t>UPPSALA LÄN</t>
        </is>
      </c>
      <c r="E154" t="inlineStr">
        <is>
          <t>ÄLVKARLEBY</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9533-2025</t>
        </is>
      </c>
      <c r="B155" s="1" t="n">
        <v>45715</v>
      </c>
      <c r="C155" s="1" t="n">
        <v>45754</v>
      </c>
      <c r="D155" t="inlineStr">
        <is>
          <t>UPPSALA LÄN</t>
        </is>
      </c>
      <c r="E155" t="inlineStr">
        <is>
          <t>ÄLVKARLEBY</t>
        </is>
      </c>
      <c r="G155" t="n">
        <v>2.1</v>
      </c>
      <c r="H155" t="n">
        <v>0</v>
      </c>
      <c r="I155" t="n">
        <v>0</v>
      </c>
      <c r="J155" t="n">
        <v>0</v>
      </c>
      <c r="K155" t="n">
        <v>0</v>
      </c>
      <c r="L155" t="n">
        <v>0</v>
      </c>
      <c r="M155" t="n">
        <v>0</v>
      </c>
      <c r="N155" t="n">
        <v>0</v>
      </c>
      <c r="O155" t="n">
        <v>0</v>
      </c>
      <c r="P155" t="n">
        <v>0</v>
      </c>
      <c r="Q155" t="n">
        <v>0</v>
      </c>
      <c r="R155" s="2" t="inlineStr"/>
    </row>
    <row r="156" ht="15" customHeight="1">
      <c r="A156" t="inlineStr">
        <is>
          <t>A 14004-2025</t>
        </is>
      </c>
      <c r="B156" s="1" t="n">
        <v>45740</v>
      </c>
      <c r="C156" s="1" t="n">
        <v>45754</v>
      </c>
      <c r="D156" t="inlineStr">
        <is>
          <t>UPPSALA LÄN</t>
        </is>
      </c>
      <c r="E156" t="inlineStr">
        <is>
          <t>ÄLVKARLEBY</t>
        </is>
      </c>
      <c r="F156" t="inlineStr">
        <is>
          <t>Bergvik skog öst AB</t>
        </is>
      </c>
      <c r="G156" t="n">
        <v>10.1</v>
      </c>
      <c r="H156" t="n">
        <v>0</v>
      </c>
      <c r="I156" t="n">
        <v>0</v>
      </c>
      <c r="J156" t="n">
        <v>0</v>
      </c>
      <c r="K156" t="n">
        <v>0</v>
      </c>
      <c r="L156" t="n">
        <v>0</v>
      </c>
      <c r="M156" t="n">
        <v>0</v>
      </c>
      <c r="N156" t="n">
        <v>0</v>
      </c>
      <c r="O156" t="n">
        <v>0</v>
      </c>
      <c r="P156" t="n">
        <v>0</v>
      </c>
      <c r="Q156" t="n">
        <v>0</v>
      </c>
      <c r="R156" s="2" t="inlineStr"/>
    </row>
    <row r="157" ht="15" customHeight="1">
      <c r="A157" t="inlineStr">
        <is>
          <t>A 15739-2025</t>
        </is>
      </c>
      <c r="B157" s="1" t="n">
        <v>45748</v>
      </c>
      <c r="C157" s="1" t="n">
        <v>45754</v>
      </c>
      <c r="D157" t="inlineStr">
        <is>
          <t>UPPSALA LÄN</t>
        </is>
      </c>
      <c r="E157" t="inlineStr">
        <is>
          <t>ÄLVKARLEBY</t>
        </is>
      </c>
      <c r="F157" t="inlineStr">
        <is>
          <t>Kyrkan</t>
        </is>
      </c>
      <c r="G157" t="n">
        <v>2.4</v>
      </c>
      <c r="H157" t="n">
        <v>0</v>
      </c>
      <c r="I157" t="n">
        <v>0</v>
      </c>
      <c r="J157" t="n">
        <v>0</v>
      </c>
      <c r="K157" t="n">
        <v>0</v>
      </c>
      <c r="L157" t="n">
        <v>0</v>
      </c>
      <c r="M157" t="n">
        <v>0</v>
      </c>
      <c r="N157" t="n">
        <v>0</v>
      </c>
      <c r="O157" t="n">
        <v>0</v>
      </c>
      <c r="P157" t="n">
        <v>0</v>
      </c>
      <c r="Q157" t="n">
        <v>0</v>
      </c>
      <c r="R157" s="2" t="inlineStr"/>
    </row>
    <row r="158">
      <c r="A158" t="inlineStr">
        <is>
          <t>A 15749-2025</t>
        </is>
      </c>
      <c r="B158" s="1" t="n">
        <v>45748</v>
      </c>
      <c r="C158" s="1" t="n">
        <v>45754</v>
      </c>
      <c r="D158" t="inlineStr">
        <is>
          <t>UPPSALA LÄN</t>
        </is>
      </c>
      <c r="E158" t="inlineStr">
        <is>
          <t>ÄLVKARLEBY</t>
        </is>
      </c>
      <c r="G158" t="n">
        <v>1</v>
      </c>
      <c r="H158" t="n">
        <v>0</v>
      </c>
      <c r="I158" t="n">
        <v>0</v>
      </c>
      <c r="J158" t="n">
        <v>0</v>
      </c>
      <c r="K158" t="n">
        <v>0</v>
      </c>
      <c r="L158" t="n">
        <v>0</v>
      </c>
      <c r="M158" t="n">
        <v>0</v>
      </c>
      <c r="N158" t="n">
        <v>0</v>
      </c>
      <c r="O158" t="n">
        <v>0</v>
      </c>
      <c r="P158" t="n">
        <v>0</v>
      </c>
      <c r="Q158" t="n">
        <v>0</v>
      </c>
      <c r="R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2025-04-07T16:38:53Z</dcterms:created>
  <dcterms:modified xmlns:dcterms="http://purl.org/dc/terms/" xmlns:xsi="http://www.w3.org/2001/XMLSchema-instance" xsi:type="dcterms:W3CDTF">2025-04-07T16:38:54Z</dcterms:modified>
</cp:coreProperties>
</file>