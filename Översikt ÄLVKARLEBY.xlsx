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45932</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45932</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45932</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45932</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45932</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45932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45932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45932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45932</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45932</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70017-2021</t>
        </is>
      </c>
      <c r="B16" s="1" t="n">
        <v>44533</v>
      </c>
      <c r="C16" s="1" t="n">
        <v>45932</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34798-2024</t>
        </is>
      </c>
      <c r="B17" s="1" t="n">
        <v>45526</v>
      </c>
      <c r="C17" s="1" t="n">
        <v>45932</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45622.5105787037</v>
      </c>
      <c r="C18" s="1" t="n">
        <v>45932</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21007-2025</t>
        </is>
      </c>
      <c r="B19" s="1" t="n">
        <v>45777</v>
      </c>
      <c r="C19" s="1" t="n">
        <v>45932</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45932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55560-2024</t>
        </is>
      </c>
      <c r="B21" s="1" t="n">
        <v>45622.53336805556</v>
      </c>
      <c r="C21" s="1" t="n">
        <v>45932</v>
      </c>
      <c r="D21" t="inlineStr">
        <is>
          <t>UPPSALA LÄN</t>
        </is>
      </c>
      <c r="E21" t="inlineStr">
        <is>
          <t>ÄLVKARLEBY</t>
        </is>
      </c>
      <c r="F21" t="inlineStr">
        <is>
          <t>Bergvik skog väst AB</t>
        </is>
      </c>
      <c r="G21" t="n">
        <v>1</v>
      </c>
      <c r="H21" t="n">
        <v>2</v>
      </c>
      <c r="I21" t="n">
        <v>1</v>
      </c>
      <c r="J21" t="n">
        <v>0</v>
      </c>
      <c r="K21" t="n">
        <v>1</v>
      </c>
      <c r="L21" t="n">
        <v>0</v>
      </c>
      <c r="M21" t="n">
        <v>0</v>
      </c>
      <c r="N21" t="n">
        <v>0</v>
      </c>
      <c r="O21" t="n">
        <v>1</v>
      </c>
      <c r="P21" t="n">
        <v>1</v>
      </c>
      <c r="Q21" t="n">
        <v>2</v>
      </c>
      <c r="R21" s="2" t="inlineStr">
        <is>
          <t>Knärot
Grön sköldmossa</t>
        </is>
      </c>
      <c r="S21">
        <f>HYPERLINK("https://klasma.github.io/Logging_0319/artfynd/A 55560-2024 artfynd.xlsx", "A 55560-2024")</f>
        <v/>
      </c>
      <c r="T21">
        <f>HYPERLINK("https://klasma.github.io/Logging_0319/kartor/A 55560-2024 karta.png", "A 55560-2024")</f>
        <v/>
      </c>
      <c r="U21">
        <f>HYPERLINK("https://klasma.github.io/Logging_0319/knärot/A 55560-2024 karta knärot.png", "A 55560-2024")</f>
        <v/>
      </c>
      <c r="V21">
        <f>HYPERLINK("https://klasma.github.io/Logging_0319/klagomål/A 55560-2024 FSC-klagomål.docx", "A 55560-2024")</f>
        <v/>
      </c>
      <c r="W21">
        <f>HYPERLINK("https://klasma.github.io/Logging_0319/klagomålsmail/A 55560-2024 FSC-klagomål mail.docx", "A 55560-2024")</f>
        <v/>
      </c>
      <c r="X21">
        <f>HYPERLINK("https://klasma.github.io/Logging_0319/tillsyn/A 55560-2024 tillsynsbegäran.docx", "A 55560-2024")</f>
        <v/>
      </c>
      <c r="Y21">
        <f>HYPERLINK("https://klasma.github.io/Logging_0319/tillsynsmail/A 55560-2024 tillsynsbegäran mail.docx", "A 55560-2024")</f>
        <v/>
      </c>
    </row>
    <row r="22" ht="15" customHeight="1">
      <c r="A22" t="inlineStr">
        <is>
          <t>A 66277-2020</t>
        </is>
      </c>
      <c r="B22" s="1" t="n">
        <v>44176</v>
      </c>
      <c r="C22" s="1" t="n">
        <v>45932</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45932</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10455-2022</t>
        </is>
      </c>
      <c r="B24" s="1" t="n">
        <v>44623</v>
      </c>
      <c r="C24" s="1" t="n">
        <v>45932</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21700-2024</t>
        </is>
      </c>
      <c r="B25" s="1" t="n">
        <v>45442</v>
      </c>
      <c r="C25" s="1" t="n">
        <v>45932</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45932</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39902-2025</t>
        </is>
      </c>
      <c r="B27" s="1" t="n">
        <v>45891.63597222222</v>
      </c>
      <c r="C27" s="1" t="n">
        <v>45932</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45932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45932</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45932</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45932</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45932</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16990-2022</t>
        </is>
      </c>
      <c r="B33" s="1" t="n">
        <v>44676.6122337963</v>
      </c>
      <c r="C33" s="1" t="n">
        <v>45932</v>
      </c>
      <c r="D33" t="inlineStr">
        <is>
          <t>UPPSALA LÄN</t>
        </is>
      </c>
      <c r="E33" t="inlineStr">
        <is>
          <t>ÄLVKARLEBY</t>
        </is>
      </c>
      <c r="F33" t="inlineStr">
        <is>
          <t>Bergvik skog väst AB</t>
        </is>
      </c>
      <c r="G33" t="n">
        <v>2.6</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45932</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45932</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21012-2025</t>
        </is>
      </c>
      <c r="B36" s="1" t="n">
        <v>45777</v>
      </c>
      <c r="C36" s="1" t="n">
        <v>45932</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45932</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46113-2023</t>
        </is>
      </c>
      <c r="B38" s="1" t="n">
        <v>45196.54938657407</v>
      </c>
      <c r="C38" s="1" t="n">
        <v>45932</v>
      </c>
      <c r="D38" t="inlineStr">
        <is>
          <t>UPPSALA LÄN</t>
        </is>
      </c>
      <c r="E38" t="inlineStr">
        <is>
          <t>ÄLVKARLEBY</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41979-2024</t>
        </is>
      </c>
      <c r="B39" s="1" t="n">
        <v>45561</v>
      </c>
      <c r="C39" s="1" t="n">
        <v>45932</v>
      </c>
      <c r="D39" t="inlineStr">
        <is>
          <t>UPPSALA LÄN</t>
        </is>
      </c>
      <c r="E39" t="inlineStr">
        <is>
          <t>ÄLVKARLEBY</t>
        </is>
      </c>
      <c r="F39" t="inlineStr">
        <is>
          <t>Bergvik skog väst AB</t>
        </is>
      </c>
      <c r="G39" t="n">
        <v>2.8</v>
      </c>
      <c r="H39" t="n">
        <v>0</v>
      </c>
      <c r="I39" t="n">
        <v>0</v>
      </c>
      <c r="J39" t="n">
        <v>0</v>
      </c>
      <c r="K39" t="n">
        <v>0</v>
      </c>
      <c r="L39" t="n">
        <v>0</v>
      </c>
      <c r="M39" t="n">
        <v>0</v>
      </c>
      <c r="N39" t="n">
        <v>0</v>
      </c>
      <c r="O39" t="n">
        <v>0</v>
      </c>
      <c r="P39" t="n">
        <v>0</v>
      </c>
      <c r="Q39" t="n">
        <v>0</v>
      </c>
      <c r="R39" s="2" t="inlineStr"/>
    </row>
    <row r="40" ht="15" customHeight="1">
      <c r="A40" t="inlineStr">
        <is>
          <t>A 38226-2023</t>
        </is>
      </c>
      <c r="B40" s="1" t="n">
        <v>45161</v>
      </c>
      <c r="C40" s="1" t="n">
        <v>45932</v>
      </c>
      <c r="D40" t="inlineStr">
        <is>
          <t>UPPSALA LÄN</t>
        </is>
      </c>
      <c r="E40" t="inlineStr">
        <is>
          <t>ÄLVKARLEBY</t>
        </is>
      </c>
      <c r="F40" t="inlineStr">
        <is>
          <t>Bergvik skog väst AB</t>
        </is>
      </c>
      <c r="G40" t="n">
        <v>4.5</v>
      </c>
      <c r="H40" t="n">
        <v>0</v>
      </c>
      <c r="I40" t="n">
        <v>0</v>
      </c>
      <c r="J40" t="n">
        <v>0</v>
      </c>
      <c r="K40" t="n">
        <v>0</v>
      </c>
      <c r="L40" t="n">
        <v>0</v>
      </c>
      <c r="M40" t="n">
        <v>0</v>
      </c>
      <c r="N40" t="n">
        <v>0</v>
      </c>
      <c r="O40" t="n">
        <v>0</v>
      </c>
      <c r="P40" t="n">
        <v>0</v>
      </c>
      <c r="Q40" t="n">
        <v>0</v>
      </c>
      <c r="R40" s="2" t="inlineStr"/>
    </row>
    <row r="41" ht="15" customHeight="1">
      <c r="A41" t="inlineStr">
        <is>
          <t>A 19303-2024</t>
        </is>
      </c>
      <c r="B41" s="1" t="n">
        <v>45428.70386574074</v>
      </c>
      <c r="C41" s="1" t="n">
        <v>45932</v>
      </c>
      <c r="D41" t="inlineStr">
        <is>
          <t>UPPSALA LÄN</t>
        </is>
      </c>
      <c r="E41" t="inlineStr">
        <is>
          <t>ÄLVKARLEBY</t>
        </is>
      </c>
      <c r="G41" t="n">
        <v>0.4</v>
      </c>
      <c r="H41" t="n">
        <v>0</v>
      </c>
      <c r="I41" t="n">
        <v>0</v>
      </c>
      <c r="J41" t="n">
        <v>0</v>
      </c>
      <c r="K41" t="n">
        <v>0</v>
      </c>
      <c r="L41" t="n">
        <v>0</v>
      </c>
      <c r="M41" t="n">
        <v>0</v>
      </c>
      <c r="N41" t="n">
        <v>0</v>
      </c>
      <c r="O41" t="n">
        <v>0</v>
      </c>
      <c r="P41" t="n">
        <v>0</v>
      </c>
      <c r="Q41" t="n">
        <v>0</v>
      </c>
      <c r="R41" s="2" t="inlineStr"/>
    </row>
    <row r="42" ht="15" customHeight="1">
      <c r="A42" t="inlineStr">
        <is>
          <t>A 3950-2025</t>
        </is>
      </c>
      <c r="B42" s="1" t="n">
        <v>45684</v>
      </c>
      <c r="C42" s="1" t="n">
        <v>45932</v>
      </c>
      <c r="D42" t="inlineStr">
        <is>
          <t>UPPSALA LÄN</t>
        </is>
      </c>
      <c r="E42" t="inlineStr">
        <is>
          <t>ÄLVKARLEBY</t>
        </is>
      </c>
      <c r="G42" t="n">
        <v>3.1</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45932</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19862-2025</t>
        </is>
      </c>
      <c r="B44" s="1" t="n">
        <v>45771.53560185185</v>
      </c>
      <c r="C44" s="1" t="n">
        <v>45932</v>
      </c>
      <c r="D44" t="inlineStr">
        <is>
          <t>UPPSALA LÄN</t>
        </is>
      </c>
      <c r="E44" t="inlineStr">
        <is>
          <t>ÄLVKARLEBY</t>
        </is>
      </c>
      <c r="F44" t="inlineStr">
        <is>
          <t>Kyrkan</t>
        </is>
      </c>
      <c r="G44" t="n">
        <v>3</v>
      </c>
      <c r="H44" t="n">
        <v>0</v>
      </c>
      <c r="I44" t="n">
        <v>0</v>
      </c>
      <c r="J44" t="n">
        <v>0</v>
      </c>
      <c r="K44" t="n">
        <v>0</v>
      </c>
      <c r="L44" t="n">
        <v>0</v>
      </c>
      <c r="M44" t="n">
        <v>0</v>
      </c>
      <c r="N44" t="n">
        <v>0</v>
      </c>
      <c r="O44" t="n">
        <v>0</v>
      </c>
      <c r="P44" t="n">
        <v>0</v>
      </c>
      <c r="Q44" t="n">
        <v>0</v>
      </c>
      <c r="R44" s="2" t="inlineStr"/>
    </row>
    <row r="45" ht="15" customHeight="1">
      <c r="A45" t="inlineStr">
        <is>
          <t>A 24591-2025</t>
        </is>
      </c>
      <c r="B45" s="1" t="n">
        <v>45798.53666666667</v>
      </c>
      <c r="C45" s="1" t="n">
        <v>45932</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24593-2025</t>
        </is>
      </c>
      <c r="B46" s="1" t="n">
        <v>45798</v>
      </c>
      <c r="C46" s="1" t="n">
        <v>45932</v>
      </c>
      <c r="D46" t="inlineStr">
        <is>
          <t>UPPSALA LÄN</t>
        </is>
      </c>
      <c r="E46" t="inlineStr">
        <is>
          <t>ÄLVKARLEBY</t>
        </is>
      </c>
      <c r="F46" t="inlineStr">
        <is>
          <t>Bergvik skog väst AB</t>
        </is>
      </c>
      <c r="G46" t="n">
        <v>0.6</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45932</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19740-2025</t>
        </is>
      </c>
      <c r="B48" s="1" t="n">
        <v>45771</v>
      </c>
      <c r="C48" s="1" t="n">
        <v>45932</v>
      </c>
      <c r="D48" t="inlineStr">
        <is>
          <t>UPPSALA LÄN</t>
        </is>
      </c>
      <c r="E48" t="inlineStr">
        <is>
          <t>ÄLVKARLEBY</t>
        </is>
      </c>
      <c r="F48" t="inlineStr">
        <is>
          <t>Bergvik skog väst AB</t>
        </is>
      </c>
      <c r="G48" t="n">
        <v>0.7</v>
      </c>
      <c r="H48" t="n">
        <v>0</v>
      </c>
      <c r="I48" t="n">
        <v>0</v>
      </c>
      <c r="J48" t="n">
        <v>0</v>
      </c>
      <c r="K48" t="n">
        <v>0</v>
      </c>
      <c r="L48" t="n">
        <v>0</v>
      </c>
      <c r="M48" t="n">
        <v>0</v>
      </c>
      <c r="N48" t="n">
        <v>0</v>
      </c>
      <c r="O48" t="n">
        <v>0</v>
      </c>
      <c r="P48" t="n">
        <v>0</v>
      </c>
      <c r="Q48" t="n">
        <v>0</v>
      </c>
      <c r="R48" s="2" t="inlineStr"/>
    </row>
    <row r="49" ht="15" customHeight="1">
      <c r="A49" t="inlineStr">
        <is>
          <t>A 18451-2025</t>
        </is>
      </c>
      <c r="B49" s="1" t="n">
        <v>45762</v>
      </c>
      <c r="C49" s="1" t="n">
        <v>45932</v>
      </c>
      <c r="D49" t="inlineStr">
        <is>
          <t>UPPSALA LÄN</t>
        </is>
      </c>
      <c r="E49" t="inlineStr">
        <is>
          <t>ÄLVKARLEBY</t>
        </is>
      </c>
      <c r="F49" t="inlineStr">
        <is>
          <t>Bergvik skog väst AB</t>
        </is>
      </c>
      <c r="G49" t="n">
        <v>1.2</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45932</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45932</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2183-2024</t>
        </is>
      </c>
      <c r="B52" s="1" t="n">
        <v>45309</v>
      </c>
      <c r="C52" s="1" t="n">
        <v>45932</v>
      </c>
      <c r="D52" t="inlineStr">
        <is>
          <t>UPPSALA LÄN</t>
        </is>
      </c>
      <c r="E52" t="inlineStr">
        <is>
          <t>ÄLVKARLEBY</t>
        </is>
      </c>
      <c r="G52" t="n">
        <v>0.5</v>
      </c>
      <c r="H52" t="n">
        <v>0</v>
      </c>
      <c r="I52" t="n">
        <v>0</v>
      </c>
      <c r="J52" t="n">
        <v>0</v>
      </c>
      <c r="K52" t="n">
        <v>0</v>
      </c>
      <c r="L52" t="n">
        <v>0</v>
      </c>
      <c r="M52" t="n">
        <v>0</v>
      </c>
      <c r="N52" t="n">
        <v>0</v>
      </c>
      <c r="O52" t="n">
        <v>0</v>
      </c>
      <c r="P52" t="n">
        <v>0</v>
      </c>
      <c r="Q52" t="n">
        <v>0</v>
      </c>
      <c r="R52" s="2" t="inlineStr"/>
    </row>
    <row r="53" ht="15" customHeight="1">
      <c r="A53" t="inlineStr">
        <is>
          <t>A 41929-2024</t>
        </is>
      </c>
      <c r="B53" s="1" t="n">
        <v>45561</v>
      </c>
      <c r="C53" s="1" t="n">
        <v>45932</v>
      </c>
      <c r="D53" t="inlineStr">
        <is>
          <t>UPPSALA LÄN</t>
        </is>
      </c>
      <c r="E53" t="inlineStr">
        <is>
          <t>ÄLVKARLEBY</t>
        </is>
      </c>
      <c r="F53" t="inlineStr">
        <is>
          <t>Bergvik skog väst AB</t>
        </is>
      </c>
      <c r="G53" t="n">
        <v>4.9</v>
      </c>
      <c r="H53" t="n">
        <v>0</v>
      </c>
      <c r="I53" t="n">
        <v>0</v>
      </c>
      <c r="J53" t="n">
        <v>0</v>
      </c>
      <c r="K53" t="n">
        <v>0</v>
      </c>
      <c r="L53" t="n">
        <v>0</v>
      </c>
      <c r="M53" t="n">
        <v>0</v>
      </c>
      <c r="N53" t="n">
        <v>0</v>
      </c>
      <c r="O53" t="n">
        <v>0</v>
      </c>
      <c r="P53" t="n">
        <v>0</v>
      </c>
      <c r="Q53" t="n">
        <v>0</v>
      </c>
      <c r="R53" s="2" t="inlineStr"/>
    </row>
    <row r="54" ht="15" customHeight="1">
      <c r="A54" t="inlineStr">
        <is>
          <t>A 43285-2023</t>
        </is>
      </c>
      <c r="B54" s="1" t="n">
        <v>45183.5630787037</v>
      </c>
      <c r="C54" s="1" t="n">
        <v>45932</v>
      </c>
      <c r="D54" t="inlineStr">
        <is>
          <t>UPPSALA LÄN</t>
        </is>
      </c>
      <c r="E54" t="inlineStr">
        <is>
          <t>ÄLVKARLEBY</t>
        </is>
      </c>
      <c r="F54" t="inlineStr">
        <is>
          <t>Bergvik skog väst AB</t>
        </is>
      </c>
      <c r="G54" t="n">
        <v>1.3</v>
      </c>
      <c r="H54" t="n">
        <v>0</v>
      </c>
      <c r="I54" t="n">
        <v>0</v>
      </c>
      <c r="J54" t="n">
        <v>0</v>
      </c>
      <c r="K54" t="n">
        <v>0</v>
      </c>
      <c r="L54" t="n">
        <v>0</v>
      </c>
      <c r="M54" t="n">
        <v>0</v>
      </c>
      <c r="N54" t="n">
        <v>0</v>
      </c>
      <c r="O54" t="n">
        <v>0</v>
      </c>
      <c r="P54" t="n">
        <v>0</v>
      </c>
      <c r="Q54" t="n">
        <v>0</v>
      </c>
      <c r="R54" s="2" t="inlineStr"/>
    </row>
    <row r="55" ht="15" customHeight="1">
      <c r="A55" t="inlineStr">
        <is>
          <t>A 26668-2025</t>
        </is>
      </c>
      <c r="B55" s="1" t="n">
        <v>45810.41017361111</v>
      </c>
      <c r="C55" s="1" t="n">
        <v>45932</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45932</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26670-2025</t>
        </is>
      </c>
      <c r="B57" s="1" t="n">
        <v>45810.41489583333</v>
      </c>
      <c r="C57" s="1" t="n">
        <v>45932</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15739-2025</t>
        </is>
      </c>
      <c r="B58" s="1" t="n">
        <v>45748.54612268518</v>
      </c>
      <c r="C58" s="1" t="n">
        <v>45932</v>
      </c>
      <c r="D58" t="inlineStr">
        <is>
          <t>UPPSALA LÄN</t>
        </is>
      </c>
      <c r="E58" t="inlineStr">
        <is>
          <t>ÄLVKARLEBY</t>
        </is>
      </c>
      <c r="F58" t="inlineStr">
        <is>
          <t>Kyrkan</t>
        </is>
      </c>
      <c r="G58" t="n">
        <v>2.4</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45932</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2184-2024</t>
        </is>
      </c>
      <c r="B60" s="1" t="n">
        <v>45309</v>
      </c>
      <c r="C60" s="1" t="n">
        <v>45932</v>
      </c>
      <c r="D60" t="inlineStr">
        <is>
          <t>UPPSALA LÄN</t>
        </is>
      </c>
      <c r="E60" t="inlineStr">
        <is>
          <t>ÄLVKARLEBY</t>
        </is>
      </c>
      <c r="G60" t="n">
        <v>0.6</v>
      </c>
      <c r="H60" t="n">
        <v>0</v>
      </c>
      <c r="I60" t="n">
        <v>0</v>
      </c>
      <c r="J60" t="n">
        <v>0</v>
      </c>
      <c r="K60" t="n">
        <v>0</v>
      </c>
      <c r="L60" t="n">
        <v>0</v>
      </c>
      <c r="M60" t="n">
        <v>0</v>
      </c>
      <c r="N60" t="n">
        <v>0</v>
      </c>
      <c r="O60" t="n">
        <v>0</v>
      </c>
      <c r="P60" t="n">
        <v>0</v>
      </c>
      <c r="Q60" t="n">
        <v>0</v>
      </c>
      <c r="R60" s="2" t="inlineStr"/>
    </row>
    <row r="61" ht="15" customHeight="1">
      <c r="A61" t="inlineStr">
        <is>
          <t>A 27743-2025</t>
        </is>
      </c>
      <c r="B61" s="1" t="n">
        <v>45815.53981481482</v>
      </c>
      <c r="C61" s="1" t="n">
        <v>45932</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27741-2025</t>
        </is>
      </c>
      <c r="B62" s="1" t="n">
        <v>45815.5346875</v>
      </c>
      <c r="C62" s="1" t="n">
        <v>45932</v>
      </c>
      <c r="D62" t="inlineStr">
        <is>
          <t>UPPSALA LÄN</t>
        </is>
      </c>
      <c r="E62" t="inlineStr">
        <is>
          <t>ÄLVKARLEBY</t>
        </is>
      </c>
      <c r="F62" t="inlineStr">
        <is>
          <t>Bergvik skog väst AB</t>
        </is>
      </c>
      <c r="G62" t="n">
        <v>4.4</v>
      </c>
      <c r="H62" t="n">
        <v>0</v>
      </c>
      <c r="I62" t="n">
        <v>0</v>
      </c>
      <c r="J62" t="n">
        <v>0</v>
      </c>
      <c r="K62" t="n">
        <v>0</v>
      </c>
      <c r="L62" t="n">
        <v>0</v>
      </c>
      <c r="M62" t="n">
        <v>0</v>
      </c>
      <c r="N62" t="n">
        <v>0</v>
      </c>
      <c r="O62" t="n">
        <v>0</v>
      </c>
      <c r="P62" t="n">
        <v>0</v>
      </c>
      <c r="Q62" t="n">
        <v>0</v>
      </c>
      <c r="R62" s="2" t="inlineStr"/>
    </row>
    <row r="63" ht="15" customHeight="1">
      <c r="A63" t="inlineStr">
        <is>
          <t>A 27742-2025</t>
        </is>
      </c>
      <c r="B63" s="1" t="n">
        <v>45815.53724537037</v>
      </c>
      <c r="C63" s="1" t="n">
        <v>45932</v>
      </c>
      <c r="D63" t="inlineStr">
        <is>
          <t>UPPSALA LÄN</t>
        </is>
      </c>
      <c r="E63" t="inlineStr">
        <is>
          <t>ÄLVKARLEBY</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28670-2025</t>
        </is>
      </c>
      <c r="B64" s="1" t="n">
        <v>45819.67130787037</v>
      </c>
      <c r="C64" s="1" t="n">
        <v>45932</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28668-2025</t>
        </is>
      </c>
      <c r="B65" s="1" t="n">
        <v>45819.66650462963</v>
      </c>
      <c r="C65" s="1" t="n">
        <v>45932</v>
      </c>
      <c r="D65" t="inlineStr">
        <is>
          <t>UPPSALA LÄN</t>
        </is>
      </c>
      <c r="E65" t="inlineStr">
        <is>
          <t>ÄLVKARLEBY</t>
        </is>
      </c>
      <c r="F65" t="inlineStr">
        <is>
          <t>Bergvik skog väst AB</t>
        </is>
      </c>
      <c r="G65" t="n">
        <v>8.300000000000001</v>
      </c>
      <c r="H65" t="n">
        <v>0</v>
      </c>
      <c r="I65" t="n">
        <v>0</v>
      </c>
      <c r="J65" t="n">
        <v>0</v>
      </c>
      <c r="K65" t="n">
        <v>0</v>
      </c>
      <c r="L65" t="n">
        <v>0</v>
      </c>
      <c r="M65" t="n">
        <v>0</v>
      </c>
      <c r="N65" t="n">
        <v>0</v>
      </c>
      <c r="O65" t="n">
        <v>0</v>
      </c>
      <c r="P65" t="n">
        <v>0</v>
      </c>
      <c r="Q65" t="n">
        <v>0</v>
      </c>
      <c r="R65" s="2" t="inlineStr"/>
    </row>
    <row r="66" ht="15" customHeight="1">
      <c r="A66" t="inlineStr">
        <is>
          <t>A 26815-2022</t>
        </is>
      </c>
      <c r="B66" s="1" t="n">
        <v>44740.44644675926</v>
      </c>
      <c r="C66" s="1" t="n">
        <v>45932</v>
      </c>
      <c r="D66" t="inlineStr">
        <is>
          <t>UPPSALA LÄN</t>
        </is>
      </c>
      <c r="E66" t="inlineStr">
        <is>
          <t>ÄLVKARLEBY</t>
        </is>
      </c>
      <c r="G66" t="n">
        <v>5.8</v>
      </c>
      <c r="H66" t="n">
        <v>0</v>
      </c>
      <c r="I66" t="n">
        <v>0</v>
      </c>
      <c r="J66" t="n">
        <v>0</v>
      </c>
      <c r="K66" t="n">
        <v>0</v>
      </c>
      <c r="L66" t="n">
        <v>0</v>
      </c>
      <c r="M66" t="n">
        <v>0</v>
      </c>
      <c r="N66" t="n">
        <v>0</v>
      </c>
      <c r="O66" t="n">
        <v>0</v>
      </c>
      <c r="P66" t="n">
        <v>0</v>
      </c>
      <c r="Q66" t="n">
        <v>0</v>
      </c>
      <c r="R66" s="2" t="inlineStr"/>
    </row>
    <row r="67" ht="15" customHeight="1">
      <c r="A67" t="inlineStr">
        <is>
          <t>A 30483-2025</t>
        </is>
      </c>
      <c r="B67" s="1" t="n">
        <v>45828.68988425926</v>
      </c>
      <c r="C67" s="1" t="n">
        <v>45932</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30936-2025</t>
        </is>
      </c>
      <c r="B68" s="1" t="n">
        <v>45832.40586805555</v>
      </c>
      <c r="C68" s="1" t="n">
        <v>45932</v>
      </c>
      <c r="D68" t="inlineStr">
        <is>
          <t>UPPSALA LÄN</t>
        </is>
      </c>
      <c r="E68" t="inlineStr">
        <is>
          <t>ÄLVKARLEBY</t>
        </is>
      </c>
      <c r="F68" t="inlineStr">
        <is>
          <t>Bergvik skog öst AB</t>
        </is>
      </c>
      <c r="G68" t="n">
        <v>7.2</v>
      </c>
      <c r="H68" t="n">
        <v>0</v>
      </c>
      <c r="I68" t="n">
        <v>0</v>
      </c>
      <c r="J68" t="n">
        <v>0</v>
      </c>
      <c r="K68" t="n">
        <v>0</v>
      </c>
      <c r="L68" t="n">
        <v>0</v>
      </c>
      <c r="M68" t="n">
        <v>0</v>
      </c>
      <c r="N68" t="n">
        <v>0</v>
      </c>
      <c r="O68" t="n">
        <v>0</v>
      </c>
      <c r="P68" t="n">
        <v>0</v>
      </c>
      <c r="Q68" t="n">
        <v>0</v>
      </c>
      <c r="R68" s="2" t="inlineStr"/>
    </row>
    <row r="69" ht="15" customHeight="1">
      <c r="A69" t="inlineStr">
        <is>
          <t>A 30944-2025</t>
        </is>
      </c>
      <c r="B69" s="1" t="n">
        <v>45832.41182870371</v>
      </c>
      <c r="C69" s="1" t="n">
        <v>45932</v>
      </c>
      <c r="D69" t="inlineStr">
        <is>
          <t>UPPSALA LÄN</t>
        </is>
      </c>
      <c r="E69" t="inlineStr">
        <is>
          <t>ÄLVKARLEBY</t>
        </is>
      </c>
      <c r="F69" t="inlineStr">
        <is>
          <t>Bergvik skog öst AB</t>
        </is>
      </c>
      <c r="G69" t="n">
        <v>3.4</v>
      </c>
      <c r="H69" t="n">
        <v>0</v>
      </c>
      <c r="I69" t="n">
        <v>0</v>
      </c>
      <c r="J69" t="n">
        <v>0</v>
      </c>
      <c r="K69" t="n">
        <v>0</v>
      </c>
      <c r="L69" t="n">
        <v>0</v>
      </c>
      <c r="M69" t="n">
        <v>0</v>
      </c>
      <c r="N69" t="n">
        <v>0</v>
      </c>
      <c r="O69" t="n">
        <v>0</v>
      </c>
      <c r="P69" t="n">
        <v>0</v>
      </c>
      <c r="Q69" t="n">
        <v>0</v>
      </c>
      <c r="R69" s="2" t="inlineStr"/>
    </row>
    <row r="70" ht="15" customHeight="1">
      <c r="A70" t="inlineStr">
        <is>
          <t>A 32187-2025</t>
        </is>
      </c>
      <c r="B70" s="1" t="n">
        <v>45835.56949074074</v>
      </c>
      <c r="C70" s="1" t="n">
        <v>45932</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32203-2025</t>
        </is>
      </c>
      <c r="B71" s="1" t="n">
        <v>45835.57951388889</v>
      </c>
      <c r="C71" s="1" t="n">
        <v>45932</v>
      </c>
      <c r="D71" t="inlineStr">
        <is>
          <t>UPPSALA LÄN</t>
        </is>
      </c>
      <c r="E71" t="inlineStr">
        <is>
          <t>ÄLVKARLEBY</t>
        </is>
      </c>
      <c r="F71" t="inlineStr">
        <is>
          <t>Bergvik skog väst AB</t>
        </is>
      </c>
      <c r="G71" t="n">
        <v>0.8</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45932</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19703-2025</t>
        </is>
      </c>
      <c r="B73" s="1" t="n">
        <v>45771</v>
      </c>
      <c r="C73" s="1" t="n">
        <v>45932</v>
      </c>
      <c r="D73" t="inlineStr">
        <is>
          <t>UPPSALA LÄN</t>
        </is>
      </c>
      <c r="E73" t="inlineStr">
        <is>
          <t>ÄLVKARLEBY</t>
        </is>
      </c>
      <c r="F73" t="inlineStr">
        <is>
          <t>Bergvik skog väst AB</t>
        </is>
      </c>
      <c r="G73" t="n">
        <v>3.8</v>
      </c>
      <c r="H73" t="n">
        <v>0</v>
      </c>
      <c r="I73" t="n">
        <v>0</v>
      </c>
      <c r="J73" t="n">
        <v>0</v>
      </c>
      <c r="K73" t="n">
        <v>0</v>
      </c>
      <c r="L73" t="n">
        <v>0</v>
      </c>
      <c r="M73" t="n">
        <v>0</v>
      </c>
      <c r="N73" t="n">
        <v>0</v>
      </c>
      <c r="O73" t="n">
        <v>0</v>
      </c>
      <c r="P73" t="n">
        <v>0</v>
      </c>
      <c r="Q73" t="n">
        <v>0</v>
      </c>
      <c r="R73" s="2" t="inlineStr"/>
    </row>
    <row r="74" ht="15" customHeight="1">
      <c r="A74" t="inlineStr">
        <is>
          <t>A 46510-2025</t>
        </is>
      </c>
      <c r="B74" s="1" t="n">
        <v>45925.92368055556</v>
      </c>
      <c r="C74" s="1" t="n">
        <v>45932</v>
      </c>
      <c r="D74" t="inlineStr">
        <is>
          <t>UPPSALA LÄN</t>
        </is>
      </c>
      <c r="E74" t="inlineStr">
        <is>
          <t>ÄLVKARLEBY</t>
        </is>
      </c>
      <c r="G74" t="n">
        <v>2.3</v>
      </c>
      <c r="H74" t="n">
        <v>0</v>
      </c>
      <c r="I74" t="n">
        <v>0</v>
      </c>
      <c r="J74" t="n">
        <v>0</v>
      </c>
      <c r="K74" t="n">
        <v>0</v>
      </c>
      <c r="L74" t="n">
        <v>0</v>
      </c>
      <c r="M74" t="n">
        <v>0</v>
      </c>
      <c r="N74" t="n">
        <v>0</v>
      </c>
      <c r="O74" t="n">
        <v>0</v>
      </c>
      <c r="P74" t="n">
        <v>0</v>
      </c>
      <c r="Q74" t="n">
        <v>0</v>
      </c>
      <c r="R74" s="2" t="inlineStr"/>
    </row>
    <row r="75" ht="15" customHeight="1">
      <c r="A75" t="inlineStr">
        <is>
          <t>A 32212-2025</t>
        </is>
      </c>
      <c r="B75" s="1" t="n">
        <v>45835.58509259259</v>
      </c>
      <c r="C75" s="1" t="n">
        <v>45932</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32221-2025</t>
        </is>
      </c>
      <c r="B76" s="1" t="n">
        <v>45835.5909837963</v>
      </c>
      <c r="C76" s="1" t="n">
        <v>45932</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50409-2020</t>
        </is>
      </c>
      <c r="B77" s="1" t="n">
        <v>44110</v>
      </c>
      <c r="C77" s="1" t="n">
        <v>45932</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8031-2025</t>
        </is>
      </c>
      <c r="B78" s="1" t="n">
        <v>45707.59112268518</v>
      </c>
      <c r="C78" s="1" t="n">
        <v>45932</v>
      </c>
      <c r="D78" t="inlineStr">
        <is>
          <t>UPPSALA LÄN</t>
        </is>
      </c>
      <c r="E78" t="inlineStr">
        <is>
          <t>ÄLVKARLEBY</t>
        </is>
      </c>
      <c r="F78" t="inlineStr">
        <is>
          <t>Bergvik skog väst AB</t>
        </is>
      </c>
      <c r="G78" t="n">
        <v>4</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45932</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41615-2025</t>
        </is>
      </c>
      <c r="B80" s="1" t="n">
        <v>45901.69556712963</v>
      </c>
      <c r="C80" s="1" t="n">
        <v>45932</v>
      </c>
      <c r="D80" t="inlineStr">
        <is>
          <t>UPPSALA LÄN</t>
        </is>
      </c>
      <c r="E80" t="inlineStr">
        <is>
          <t>ÄLVKARLEBY</t>
        </is>
      </c>
      <c r="F80" t="inlineStr">
        <is>
          <t>Bergvik skog väst AB</t>
        </is>
      </c>
      <c r="G80" t="n">
        <v>3</v>
      </c>
      <c r="H80" t="n">
        <v>0</v>
      </c>
      <c r="I80" t="n">
        <v>0</v>
      </c>
      <c r="J80" t="n">
        <v>0</v>
      </c>
      <c r="K80" t="n">
        <v>0</v>
      </c>
      <c r="L80" t="n">
        <v>0</v>
      </c>
      <c r="M80" t="n">
        <v>0</v>
      </c>
      <c r="N80" t="n">
        <v>0</v>
      </c>
      <c r="O80" t="n">
        <v>0</v>
      </c>
      <c r="P80" t="n">
        <v>0</v>
      </c>
      <c r="Q80" t="n">
        <v>0</v>
      </c>
      <c r="R80" s="2" t="inlineStr"/>
    </row>
    <row r="81" ht="15" customHeight="1">
      <c r="A81" t="inlineStr">
        <is>
          <t>A 8030-2025</t>
        </is>
      </c>
      <c r="B81" s="1" t="n">
        <v>45707.59064814815</v>
      </c>
      <c r="C81" s="1" t="n">
        <v>45932</v>
      </c>
      <c r="D81" t="inlineStr">
        <is>
          <t>UPPSALA LÄN</t>
        </is>
      </c>
      <c r="E81" t="inlineStr">
        <is>
          <t>ÄLVKARLEBY</t>
        </is>
      </c>
      <c r="F81" t="inlineStr">
        <is>
          <t>Bergvik skog väst AB</t>
        </is>
      </c>
      <c r="G81" t="n">
        <v>3.6</v>
      </c>
      <c r="H81" t="n">
        <v>0</v>
      </c>
      <c r="I81" t="n">
        <v>0</v>
      </c>
      <c r="J81" t="n">
        <v>0</v>
      </c>
      <c r="K81" t="n">
        <v>0</v>
      </c>
      <c r="L81" t="n">
        <v>0</v>
      </c>
      <c r="M81" t="n">
        <v>0</v>
      </c>
      <c r="N81" t="n">
        <v>0</v>
      </c>
      <c r="O81" t="n">
        <v>0</v>
      </c>
      <c r="P81" t="n">
        <v>0</v>
      </c>
      <c r="Q81" t="n">
        <v>0</v>
      </c>
      <c r="R81" s="2" t="inlineStr"/>
    </row>
    <row r="82" ht="15" customHeight="1">
      <c r="A82" t="inlineStr">
        <is>
          <t>A 41847-2025</t>
        </is>
      </c>
      <c r="B82" s="1" t="n">
        <v>45902.75265046296</v>
      </c>
      <c r="C82" s="1" t="n">
        <v>45932</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11553-2021</t>
        </is>
      </c>
      <c r="B83" s="1" t="n">
        <v>44264.48725694444</v>
      </c>
      <c r="C83" s="1" t="n">
        <v>45932</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26664-2025</t>
        </is>
      </c>
      <c r="B84" s="1" t="n">
        <v>45810</v>
      </c>
      <c r="C84" s="1" t="n">
        <v>45932</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43577-2025</t>
        </is>
      </c>
      <c r="B85" s="1" t="n">
        <v>45911.64219907407</v>
      </c>
      <c r="C85" s="1" t="n">
        <v>45932</v>
      </c>
      <c r="D85" t="inlineStr">
        <is>
          <t>UPPSALA LÄN</t>
        </is>
      </c>
      <c r="E85" t="inlineStr">
        <is>
          <t>ÄLVKARLEBY</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14590-2023</t>
        </is>
      </c>
      <c r="B86" s="1" t="n">
        <v>45013.54621527778</v>
      </c>
      <c r="C86" s="1" t="n">
        <v>45932</v>
      </c>
      <c r="D86" t="inlineStr">
        <is>
          <t>UPPSALA LÄN</t>
        </is>
      </c>
      <c r="E86" t="inlineStr">
        <is>
          <t>ÄLVKARLEBY</t>
        </is>
      </c>
      <c r="G86" t="n">
        <v>1.8</v>
      </c>
      <c r="H86" t="n">
        <v>0</v>
      </c>
      <c r="I86" t="n">
        <v>0</v>
      </c>
      <c r="J86" t="n">
        <v>0</v>
      </c>
      <c r="K86" t="n">
        <v>0</v>
      </c>
      <c r="L86" t="n">
        <v>0</v>
      </c>
      <c r="M86" t="n">
        <v>0</v>
      </c>
      <c r="N86" t="n">
        <v>0</v>
      </c>
      <c r="O86" t="n">
        <v>0</v>
      </c>
      <c r="P86" t="n">
        <v>0</v>
      </c>
      <c r="Q86" t="n">
        <v>0</v>
      </c>
      <c r="R86" s="2" t="inlineStr"/>
    </row>
    <row r="87" ht="15" customHeight="1">
      <c r="A87" t="inlineStr">
        <is>
          <t>A 14004-2025</t>
        </is>
      </c>
      <c r="B87" s="1" t="n">
        <v>45740.2997337963</v>
      </c>
      <c r="C87" s="1" t="n">
        <v>45932</v>
      </c>
      <c r="D87" t="inlineStr">
        <is>
          <t>UPPSALA LÄN</t>
        </is>
      </c>
      <c r="E87" t="inlineStr">
        <is>
          <t>ÄLVKARLEBY</t>
        </is>
      </c>
      <c r="F87" t="inlineStr">
        <is>
          <t>Bergvik skog öst AB</t>
        </is>
      </c>
      <c r="G87" t="n">
        <v>10.1</v>
      </c>
      <c r="H87" t="n">
        <v>0</v>
      </c>
      <c r="I87" t="n">
        <v>0</v>
      </c>
      <c r="J87" t="n">
        <v>0</v>
      </c>
      <c r="K87" t="n">
        <v>0</v>
      </c>
      <c r="L87" t="n">
        <v>0</v>
      </c>
      <c r="M87" t="n">
        <v>0</v>
      </c>
      <c r="N87" t="n">
        <v>0</v>
      </c>
      <c r="O87" t="n">
        <v>0</v>
      </c>
      <c r="P87" t="n">
        <v>0</v>
      </c>
      <c r="Q87" t="n">
        <v>0</v>
      </c>
      <c r="R87" s="2" t="inlineStr"/>
    </row>
    <row r="88" ht="15" customHeight="1">
      <c r="A88" t="inlineStr">
        <is>
          <t>A 7286-2023</t>
        </is>
      </c>
      <c r="B88" s="1" t="n">
        <v>44970</v>
      </c>
      <c r="C88" s="1" t="n">
        <v>45932</v>
      </c>
      <c r="D88" t="inlineStr">
        <is>
          <t>UPPSALA LÄN</t>
        </is>
      </c>
      <c r="E88" t="inlineStr">
        <is>
          <t>ÄLVKARLEBY</t>
        </is>
      </c>
      <c r="F88" t="inlineStr">
        <is>
          <t>Bergvik skog väst AB</t>
        </is>
      </c>
      <c r="G88" t="n">
        <v>2.5</v>
      </c>
      <c r="H88" t="n">
        <v>0</v>
      </c>
      <c r="I88" t="n">
        <v>0</v>
      </c>
      <c r="J88" t="n">
        <v>0</v>
      </c>
      <c r="K88" t="n">
        <v>0</v>
      </c>
      <c r="L88" t="n">
        <v>0</v>
      </c>
      <c r="M88" t="n">
        <v>0</v>
      </c>
      <c r="N88" t="n">
        <v>0</v>
      </c>
      <c r="O88" t="n">
        <v>0</v>
      </c>
      <c r="P88" t="n">
        <v>0</v>
      </c>
      <c r="Q88" t="n">
        <v>0</v>
      </c>
      <c r="R88" s="2" t="inlineStr"/>
    </row>
    <row r="89" ht="15" customHeight="1">
      <c r="A89" t="inlineStr">
        <is>
          <t>A 967-2021</t>
        </is>
      </c>
      <c r="B89" s="1" t="n">
        <v>44207</v>
      </c>
      <c r="C89" s="1" t="n">
        <v>45932</v>
      </c>
      <c r="D89" t="inlineStr">
        <is>
          <t>UPPSALA LÄN</t>
        </is>
      </c>
      <c r="E89" t="inlineStr">
        <is>
          <t>ÄLVKARLEBY</t>
        </is>
      </c>
      <c r="G89" t="n">
        <v>0.7</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45932</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43662-2025</t>
        </is>
      </c>
      <c r="B91" s="1" t="n">
        <v>45912.34446759259</v>
      </c>
      <c r="C91" s="1" t="n">
        <v>45932</v>
      </c>
      <c r="D91" t="inlineStr">
        <is>
          <t>UPPSALA LÄN</t>
        </is>
      </c>
      <c r="E91" t="inlineStr">
        <is>
          <t>ÄLVKARLEBY</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45033-2025</t>
        </is>
      </c>
      <c r="B92" s="1" t="n">
        <v>45918.70299768518</v>
      </c>
      <c r="C92" s="1" t="n">
        <v>45932</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45932</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45512-2025</t>
        </is>
      </c>
      <c r="B94" s="1" t="n">
        <v>45922.58106481482</v>
      </c>
      <c r="C94" s="1" t="n">
        <v>45932</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46335-2025</t>
        </is>
      </c>
      <c r="B95" s="1" t="n">
        <v>45925.46199074074</v>
      </c>
      <c r="C95" s="1" t="n">
        <v>45932</v>
      </c>
      <c r="D95" t="inlineStr">
        <is>
          <t>UPPSALA LÄN</t>
        </is>
      </c>
      <c r="E95" t="inlineStr">
        <is>
          <t>ÄLVKARLEBY</t>
        </is>
      </c>
      <c r="G95" t="n">
        <v>1.3</v>
      </c>
      <c r="H95" t="n">
        <v>0</v>
      </c>
      <c r="I95" t="n">
        <v>0</v>
      </c>
      <c r="J95" t="n">
        <v>0</v>
      </c>
      <c r="K95" t="n">
        <v>0</v>
      </c>
      <c r="L95" t="n">
        <v>0</v>
      </c>
      <c r="M95" t="n">
        <v>0</v>
      </c>
      <c r="N95" t="n">
        <v>0</v>
      </c>
      <c r="O95" t="n">
        <v>0</v>
      </c>
      <c r="P95" t="n">
        <v>0</v>
      </c>
      <c r="Q95" t="n">
        <v>0</v>
      </c>
      <c r="R95" s="2" t="inlineStr"/>
    </row>
    <row r="96">
      <c r="A96" t="inlineStr">
        <is>
          <t>A 36216-2022</t>
        </is>
      </c>
      <c r="B96" s="1" t="n">
        <v>44803</v>
      </c>
      <c r="C96" s="1" t="n">
        <v>45932</v>
      </c>
      <c r="D96" t="inlineStr">
        <is>
          <t>UPPSALA LÄN</t>
        </is>
      </c>
      <c r="E96" t="inlineStr">
        <is>
          <t>ÄLVKARLEBY</t>
        </is>
      </c>
      <c r="F96" t="inlineStr">
        <is>
          <t>Bergvik skog väst AB</t>
        </is>
      </c>
      <c r="G96" t="n">
        <v>0.5</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2025-10-02T12:45:44Z</dcterms:created>
  <dcterms:modified xmlns:dcterms="http://purl.org/dc/terms/" xmlns:xsi="http://www.w3.org/2001/XMLSchema-instance" xsi:type="dcterms:W3CDTF">2025-10-02T12:45:44Z</dcterms:modified>
</cp:coreProperties>
</file>