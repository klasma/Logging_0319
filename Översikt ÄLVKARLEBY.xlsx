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46261</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46261</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46261</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46261</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46261</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46261</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46261</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46508-2025</t>
        </is>
      </c>
      <c r="B9" t="inlineStr">
        <is>
          <t>avverkningsanmälan</t>
        </is>
      </c>
      <c r="C9" t="inlineStr">
        <is>
          <t>Föryngringsavverkning</t>
        </is>
      </c>
      <c r="D9" s="1" t="n">
        <v>45925</v>
      </c>
      <c r="E9" s="1" t="n">
        <v>46261</v>
      </c>
      <c r="F9" t="inlineStr">
        <is>
          <t>UPPSALA LÄN</t>
        </is>
      </c>
      <c r="G9" t="inlineStr">
        <is>
          <t>ÄLVKARLEBY</t>
        </is>
      </c>
      <c r="I9" t="n">
        <v>6.9</v>
      </c>
      <c r="J9" t="n">
        <v>4</v>
      </c>
      <c r="K9" t="n">
        <v>3</v>
      </c>
      <c r="L9" t="n">
        <v>2</v>
      </c>
      <c r="M9" t="n">
        <v>3</v>
      </c>
      <c r="N9" t="n">
        <v>0</v>
      </c>
      <c r="O9" t="n">
        <v>0</v>
      </c>
      <c r="P9" t="n">
        <v>0</v>
      </c>
      <c r="Q9" t="n">
        <v>5</v>
      </c>
      <c r="R9" t="n">
        <v>3</v>
      </c>
      <c r="S9" t="n">
        <v>9</v>
      </c>
      <c r="T9" t="n">
        <v>17</v>
      </c>
      <c r="U9" t="n">
        <v>0</v>
      </c>
      <c r="V9" s="2" t="inlineStr">
        <is>
          <t>Grangråticka
Knärot
Kopparspindling
Tretåig hackspett
Vedtrappmossa
Nästrot
Svart trolldruva
Trådfräken
Blåsippa</t>
        </is>
      </c>
      <c r="W9">
        <f>HYPERLINK("https://klasma.github.io/Logging_0319/artfynd/A 46508-2025 artfynd.xlsx", "A 46508-2025")</f>
        <v/>
      </c>
      <c r="X9">
        <f>HYPERLINK("https://klasma.github.io/Logging_0319/kartor/A 46508-2025 karta.png", "A 46508-2025")</f>
        <v/>
      </c>
      <c r="Y9">
        <f>HYPERLINK("https://klasma.github.io/Logging_0319/kartor_geotiff/A 46508-2025 georefererad karta.tif", "A 46508-2025")</f>
        <v/>
      </c>
      <c r="Z9">
        <f>HYPERLINK("https://klasma.github.io/Logging_0319/knärot/A 46508-2025 karta knärot.png", "A 46508-2025")</f>
        <v/>
      </c>
      <c r="AA9">
        <f>HYPERLINK("https://klasma.github.io/Logging_0319/klagomål/A 46508-2025 FSC-klagomål.docx", "A 46508-2025")</f>
        <v/>
      </c>
      <c r="AB9">
        <f>HYPERLINK("https://klasma.github.io/Logging_0319/klagomålsmail/A 46508-2025 FSC-klagomål mail.docx", "A 46508-2025")</f>
        <v/>
      </c>
      <c r="AC9">
        <f>HYPERLINK("https://klasma.github.io/Logging_0319/tillsyn/A 46508-2025 tillsynsbegäran.docx", "A 46508-2025")</f>
        <v/>
      </c>
      <c r="AD9">
        <f>HYPERLINK("https://klasma.github.io/Logging_0319/tillsynsmail/A 46508-2025 tillsynsbegäran mail.docx", "A 46508-2025")</f>
        <v/>
      </c>
      <c r="AE9">
        <f>HYPERLINK("https://klasma.github.io/Logging_0319/fåglar/A 46508-2025 prioriterade fågelarter.docx", "A 46508-2025")</f>
        <v/>
      </c>
    </row>
    <row r="10" ht="15" customHeight="1">
      <c r="A10" t="inlineStr">
        <is>
          <t>A 3949-2025</t>
        </is>
      </c>
      <c r="B10" t="inlineStr">
        <is>
          <t>avverkningsanmälan</t>
        </is>
      </c>
      <c r="C10" t="inlineStr">
        <is>
          <t>Avverkning för annat ändamål</t>
        </is>
      </c>
      <c r="D10" s="1" t="n">
        <v>45684</v>
      </c>
      <c r="E10" s="1" t="n">
        <v>46261</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34798-2024</t>
        </is>
      </c>
      <c r="B11" t="inlineStr">
        <is>
          <t>avverkningsanmälan</t>
        </is>
      </c>
      <c r="C11" t="inlineStr">
        <is>
          <t>Föryngringsavverkning</t>
        </is>
      </c>
      <c r="D11" s="1" t="n">
        <v>45526</v>
      </c>
      <c r="E11" s="1" t="n">
        <v>46261</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46261</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46261</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46261</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46261</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46261</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46261</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62278-2025</t>
        </is>
      </c>
      <c r="B18" t="inlineStr">
        <is>
          <t>avverkningsanmälan</t>
        </is>
      </c>
      <c r="C18" t="inlineStr">
        <is>
          <t>Föryngringsavverkning</t>
        </is>
      </c>
      <c r="D18" s="1" t="n">
        <v>46006</v>
      </c>
      <c r="E18" s="1" t="n">
        <v>46261</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58480-2025</t>
        </is>
      </c>
      <c r="B19" t="inlineStr">
        <is>
          <t>avverkningsanmälan</t>
        </is>
      </c>
      <c r="C19" t="inlineStr">
        <is>
          <t>Föryngringsavverkning</t>
        </is>
      </c>
      <c r="D19" s="1" t="n">
        <v>45985</v>
      </c>
      <c r="E19" s="1" t="n">
        <v>46261</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61693-2025</t>
        </is>
      </c>
      <c r="B20" t="inlineStr">
        <is>
          <t>avverkningsanmälan</t>
        </is>
      </c>
      <c r="C20" t="inlineStr">
        <is>
          <t>Föryngringsavverkning</t>
        </is>
      </c>
      <c r="D20" s="1" t="n">
        <v>46002</v>
      </c>
      <c r="E20" s="1" t="n">
        <v>46261</v>
      </c>
      <c r="F20" t="inlineStr">
        <is>
          <t>UPPSALA LÄN</t>
        </is>
      </c>
      <c r="G20" t="inlineStr">
        <is>
          <t>ÄLVKARLEBY</t>
        </is>
      </c>
      <c r="H20" t="inlineStr">
        <is>
          <t>Bergvik skog öst AB</t>
        </is>
      </c>
      <c r="I20" t="n">
        <v>9.199999999999999</v>
      </c>
      <c r="J20" t="n">
        <v>0</v>
      </c>
      <c r="K20" t="n">
        <v>1</v>
      </c>
      <c r="L20" t="n">
        <v>2</v>
      </c>
      <c r="M20" t="n">
        <v>0</v>
      </c>
      <c r="N20" t="n">
        <v>0</v>
      </c>
      <c r="O20" t="n">
        <v>0</v>
      </c>
      <c r="P20" t="n">
        <v>0</v>
      </c>
      <c r="Q20" t="n">
        <v>2</v>
      </c>
      <c r="R20" t="n">
        <v>0</v>
      </c>
      <c r="S20" t="n">
        <v>3</v>
      </c>
      <c r="T20" t="n">
        <v>4</v>
      </c>
      <c r="U20" t="n">
        <v>4</v>
      </c>
      <c r="V20" s="2" t="inlineStr">
        <is>
          <t>Sårläka
Vedtrappmossa
Brandticka</t>
        </is>
      </c>
      <c r="W20">
        <f>HYPERLINK("https://klasma.github.io/Logging_0319/artfynd/A 61693-2025 artfynd.xlsx", "A 61693-2025")</f>
        <v/>
      </c>
      <c r="X20">
        <f>HYPERLINK("https://klasma.github.io/Logging_0319/kartor/A 61693-2025 karta.png", "A 61693-2025")</f>
        <v/>
      </c>
      <c r="Y20">
        <f>HYPERLINK("https://klasma.github.io/Logging_0319/kartor_geotiff/A 61693-2025 georefererad karta.tif", "A 61693-2025")</f>
        <v/>
      </c>
      <c r="AA20">
        <f>HYPERLINK("https://klasma.github.io/Logging_0319/klagomål/A 61693-2025 FSC-klagomål.docx", "A 61693-2025")</f>
        <v/>
      </c>
      <c r="AB20">
        <f>HYPERLINK("https://klasma.github.io/Logging_0319/klagomålsmail/A 61693-2025 FSC-klagomål mail.docx", "A 61693-2025")</f>
        <v/>
      </c>
      <c r="AC20">
        <f>HYPERLINK("https://klasma.github.io/Logging_0319/tillsyn/A 61693-2025 tillsynsbegäran.docx", "A 61693-2025")</f>
        <v/>
      </c>
      <c r="AD20">
        <f>HYPERLINK("https://klasma.github.io/Logging_0319/tillsynsmail/A 61693-2025 tillsynsbegäran mail.docx", "A 61693-2025")</f>
        <v/>
      </c>
    </row>
    <row r="21" ht="15" customHeight="1">
      <c r="A21" t="inlineStr">
        <is>
          <t>A 61685-2025</t>
        </is>
      </c>
      <c r="B21" t="inlineStr">
        <is>
          <t>avverkningsanmälan</t>
        </is>
      </c>
      <c r="C21" t="inlineStr">
        <is>
          <t>Föryngringsavverkning</t>
        </is>
      </c>
      <c r="D21" s="1" t="n">
        <v>46002</v>
      </c>
      <c r="E21" s="1" t="n">
        <v>46261</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21700-2024</t>
        </is>
      </c>
      <c r="B22" t="inlineStr">
        <is>
          <t>avverkningsanmälan</t>
        </is>
      </c>
      <c r="C22" t="inlineStr">
        <is>
          <t>Föryngringsavverkning</t>
        </is>
      </c>
      <c r="D22" s="1" t="n">
        <v>45442</v>
      </c>
      <c r="E22" s="1" t="n">
        <v>46261</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46261</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4132-2026</t>
        </is>
      </c>
      <c r="B24" t="inlineStr">
        <is>
          <t>avverkningsanmälan</t>
        </is>
      </c>
      <c r="C24" t="inlineStr">
        <is>
          <t>Föryngringsavverkning</t>
        </is>
      </c>
      <c r="D24" s="1" t="n">
        <v>46044</v>
      </c>
      <c r="E24" s="1" t="n">
        <v>46261</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46261</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46261</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A 58485-2025</t>
        </is>
      </c>
      <c r="B27" t="inlineStr">
        <is>
          <t>avverkningsanmälan</t>
        </is>
      </c>
      <c r="C27" t="inlineStr">
        <is>
          <t>Föryngringsavverkning</t>
        </is>
      </c>
      <c r="D27" s="1" t="n">
        <v>45985</v>
      </c>
      <c r="E27" s="1" t="n">
        <v>46261</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46261</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1673-2026</t>
        </is>
      </c>
      <c r="B29" t="inlineStr">
        <is>
          <t>avverkningsanmälan</t>
        </is>
      </c>
      <c r="C29" t="inlineStr">
        <is>
          <t>Föryngringsavverkning</t>
        </is>
      </c>
      <c r="D29" s="1" t="n">
        <v>46034</v>
      </c>
      <c r="E29" s="1" t="n">
        <v>46261</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t="n">
        <v>0</v>
      </c>
      <c r="V29" s="2" t="inlineStr">
        <is>
          <t>Tibast</t>
        </is>
      </c>
      <c r="W29">
        <f>HYPERLINK("https://klasma.github.io/Logging_0319/artfynd/A 1673-2026 artfynd.xlsx", "A 1673-2026")</f>
        <v/>
      </c>
      <c r="X29">
        <f>HYPERLINK("https://klasma.github.io/Logging_0319/kartor/A 1673-2026 karta.png", "A 1673-2026")</f>
        <v/>
      </c>
      <c r="Y29">
        <f>HYPERLINK("https://klasma.github.io/Logging_0319/kartor_geotiff/A 1673-2026 georefererad karta.tif", "A 1673-2026")</f>
        <v/>
      </c>
      <c r="AA29">
        <f>HYPERLINK("https://klasma.github.io/Logging_0319/klagomål/A 1673-2026 FSC-klagomål.docx", "A 1673-2026")</f>
        <v/>
      </c>
      <c r="AB29">
        <f>HYPERLINK("https://klasma.github.io/Logging_0319/klagomålsmail/A 1673-2026 FSC-klagomål mail.docx", "A 1673-2026")</f>
        <v/>
      </c>
      <c r="AC29">
        <f>HYPERLINK("https://klasma.github.io/Logging_0319/tillsyn/A 1673-2026 tillsynsbegäran.docx", "A 1673-2026")</f>
        <v/>
      </c>
      <c r="AD29">
        <f>HYPERLINK("https://klasma.github.io/Logging_0319/tillsynsmail/A 1673-2026 tillsynsbegäran mail.docx", "A 1673-2026")</f>
        <v/>
      </c>
    </row>
    <row r="30" ht="15" customHeight="1">
      <c r="A30" t="inlineStr">
        <is>
          <t>A 4131-2026</t>
        </is>
      </c>
      <c r="B30" t="inlineStr">
        <is>
          <t>avverkningsanmälan</t>
        </is>
      </c>
      <c r="C30" t="inlineStr">
        <is>
          <t>Föryngringsavverkning</t>
        </is>
      </c>
      <c r="D30" s="1" t="n">
        <v>46044</v>
      </c>
      <c r="E30" s="1" t="n">
        <v>46261</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19303-2024</t>
        </is>
      </c>
      <c r="B31" t="inlineStr">
        <is>
          <t>avverkningsanmälan</t>
        </is>
      </c>
      <c r="C31" t="inlineStr">
        <is>
          <t>Föryngringsavverkning</t>
        </is>
      </c>
      <c r="D31" s="1" t="n">
        <v>45428</v>
      </c>
      <c r="E31" s="1" t="n">
        <v>46261</v>
      </c>
      <c r="F31" t="inlineStr">
        <is>
          <t>UPPSALA LÄN</t>
        </is>
      </c>
      <c r="G31" t="inlineStr">
        <is>
          <t>ÄLVKARLEBY</t>
        </is>
      </c>
      <c r="I31" t="n">
        <v>0.4</v>
      </c>
      <c r="J31" t="n">
        <v>1</v>
      </c>
      <c r="K31" t="n">
        <v>0</v>
      </c>
      <c r="L31" t="n">
        <v>0</v>
      </c>
      <c r="M31" t="n">
        <v>1</v>
      </c>
      <c r="N31" t="n">
        <v>0</v>
      </c>
      <c r="O31" t="n">
        <v>0</v>
      </c>
      <c r="P31" t="n">
        <v>0</v>
      </c>
      <c r="Q31" t="n">
        <v>1</v>
      </c>
      <c r="R31" t="n">
        <v>1</v>
      </c>
      <c r="S31" t="n">
        <v>1</v>
      </c>
      <c r="T31" t="n">
        <v>1</v>
      </c>
      <c r="U31" t="n">
        <v>1</v>
      </c>
      <c r="V31" s="2" t="inlineStr">
        <is>
          <t>Gölgroda</t>
        </is>
      </c>
      <c r="W31">
        <f>HYPERLINK("https://klasma.github.io/Logging_0319/artfynd/A 19303-2024 artfynd.xlsx", "A 19303-2024")</f>
        <v/>
      </c>
      <c r="X31">
        <f>HYPERLINK("https://klasma.github.io/Logging_0319/kartor/A 19303-2024 karta.png", "A 19303-2024")</f>
        <v/>
      </c>
      <c r="Y31">
        <f>HYPERLINK("https://klasma.github.io/Logging_0319/kartor_geotiff/A 19303-2024 georefererad karta.tif", "A 19303-2024")</f>
        <v/>
      </c>
      <c r="AA31">
        <f>HYPERLINK("https://klasma.github.io/Logging_0319/klagomål/A 19303-2024 FSC-klagomål.docx", "A 19303-2024")</f>
        <v/>
      </c>
      <c r="AB31">
        <f>HYPERLINK("https://klasma.github.io/Logging_0319/klagomålsmail/A 19303-2024 FSC-klagomål mail.docx", "A 19303-2024")</f>
        <v/>
      </c>
      <c r="AC31">
        <f>HYPERLINK("https://klasma.github.io/Logging_0319/tillsyn/A 19303-2024 tillsynsbegäran.docx", "A 19303-2024")</f>
        <v/>
      </c>
      <c r="AD31">
        <f>HYPERLINK("https://klasma.github.io/Logging_0319/tillsynsmail/A 19303-2024 tillsynsbegäran mail.docx", "A 19303-2024")</f>
        <v/>
      </c>
    </row>
    <row r="32" ht="15" customHeight="1">
      <c r="A32" t="inlineStr">
        <is>
          <t>A 14127-2026</t>
        </is>
      </c>
      <c r="B32" t="inlineStr">
        <is>
          <t>avverkningsanmälan</t>
        </is>
      </c>
      <c r="C32" t="inlineStr">
        <is>
          <t>Föryngringsavverkning</t>
        </is>
      </c>
      <c r="D32" s="1" t="n">
        <v>46099</v>
      </c>
      <c r="E32" s="1" t="n">
        <v>46261</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51238-2025</t>
        </is>
      </c>
      <c r="B33" t="inlineStr">
        <is>
          <t>avverkningsanmälan</t>
        </is>
      </c>
      <c r="C33" t="inlineStr">
        <is>
          <t>Föryngringsavverkning</t>
        </is>
      </c>
      <c r="D33" s="1" t="n">
        <v>45947</v>
      </c>
      <c r="E33" s="1" t="n">
        <v>46261</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57734-2025</t>
        </is>
      </c>
      <c r="B34" t="inlineStr">
        <is>
          <t>avverkningsanmälan</t>
        </is>
      </c>
      <c r="C34" t="inlineStr">
        <is>
          <t>Föryngringsavverkning</t>
        </is>
      </c>
      <c r="D34" s="1" t="n">
        <v>45981</v>
      </c>
      <c r="E34" s="1" t="n">
        <v>46261</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46261</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46261</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19300-2024</t>
        </is>
      </c>
      <c r="B37" t="inlineStr">
        <is>
          <t>avverkningsanmälan</t>
        </is>
      </c>
      <c r="C37" t="inlineStr">
        <is>
          <t>Föryngringsavverkning</t>
        </is>
      </c>
      <c r="D37" s="1" t="n">
        <v>45428</v>
      </c>
      <c r="E37" s="1" t="n">
        <v>46261</v>
      </c>
      <c r="F37" t="inlineStr">
        <is>
          <t>UPPSALA LÄN</t>
        </is>
      </c>
      <c r="G37" t="inlineStr">
        <is>
          <t>ÄLVKARLEBY</t>
        </is>
      </c>
      <c r="I37" t="n">
        <v>0.9</v>
      </c>
      <c r="J37" t="n">
        <v>1</v>
      </c>
      <c r="K37" t="n">
        <v>0</v>
      </c>
      <c r="L37" t="n">
        <v>1</v>
      </c>
      <c r="M37" t="n">
        <v>0</v>
      </c>
      <c r="N37" t="n">
        <v>0</v>
      </c>
      <c r="O37" t="n">
        <v>0</v>
      </c>
      <c r="P37" t="n">
        <v>0</v>
      </c>
      <c r="Q37" t="n">
        <v>1</v>
      </c>
      <c r="R37" t="n">
        <v>0</v>
      </c>
      <c r="S37" t="n">
        <v>1</v>
      </c>
      <c r="T37" t="n">
        <v>1</v>
      </c>
      <c r="U37" t="n">
        <v>1</v>
      </c>
      <c r="V37" s="2" t="inlineStr">
        <is>
          <t>Kricka</t>
        </is>
      </c>
      <c r="W37">
        <f>HYPERLINK("https://klasma.github.io/Logging_0319/artfynd/A 19300-2024 artfynd.xlsx", "A 19300-2024")</f>
        <v/>
      </c>
      <c r="X37">
        <f>HYPERLINK("https://klasma.github.io/Logging_0319/kartor/A 19300-2024 karta.png", "A 19300-2024")</f>
        <v/>
      </c>
      <c r="Y37">
        <f>HYPERLINK("https://klasma.github.io/Logging_0319/kartor_geotiff/A 19300-2024 georefererad karta.tif", "A 19300-2024")</f>
        <v/>
      </c>
      <c r="AA37">
        <f>HYPERLINK("https://klasma.github.io/Logging_0319/klagomål/A 19300-2024 FSC-klagomål.docx", "A 19300-2024")</f>
        <v/>
      </c>
      <c r="AB37">
        <f>HYPERLINK("https://klasma.github.io/Logging_0319/klagomålsmail/A 19300-2024 FSC-klagomål mail.docx", "A 19300-2024")</f>
        <v/>
      </c>
      <c r="AC37">
        <f>HYPERLINK("https://klasma.github.io/Logging_0319/tillsyn/A 19300-2024 tillsynsbegäran.docx", "A 19300-2024")</f>
        <v/>
      </c>
      <c r="AD37">
        <f>HYPERLINK("https://klasma.github.io/Logging_0319/tillsynsmail/A 19300-2024 tillsynsbegäran mail.docx", "A 19300-2024")</f>
        <v/>
      </c>
      <c r="AE37">
        <f>HYPERLINK("https://klasma.github.io/Logging_0319/fåglar/A 19300-2024 prioriterade fågelarter.docx", "A 19300-2024")</f>
        <v/>
      </c>
    </row>
    <row r="38" ht="15" customHeight="1">
      <c r="A38" t="inlineStr">
        <is>
          <t>A 63004-2025</t>
        </is>
      </c>
      <c r="B38" t="inlineStr">
        <is>
          <t>avverkningsanmälan</t>
        </is>
      </c>
      <c r="C38" t="inlineStr">
        <is>
          <t>Föryngringsavverkning</t>
        </is>
      </c>
      <c r="D38" s="1" t="n">
        <v>46009</v>
      </c>
      <c r="E38" s="1" t="n">
        <v>46261</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7286-2023</t>
        </is>
      </c>
      <c r="B39" t="inlineStr">
        <is>
          <t>avverkningsanmälan</t>
        </is>
      </c>
      <c r="C39" t="inlineStr">
        <is>
          <t>Avverkning för annat ändamål</t>
        </is>
      </c>
      <c r="D39" s="1" t="n">
        <v>44970</v>
      </c>
      <c r="E39" s="1" t="n">
        <v>46261</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10455-2022</t>
        </is>
      </c>
      <c r="B40" t="inlineStr">
        <is>
          <t>avverkningsanmälan</t>
        </is>
      </c>
      <c r="C40" t="inlineStr">
        <is>
          <t>Föryngringsavverkning</t>
        </is>
      </c>
      <c r="D40" s="1" t="n">
        <v>44623</v>
      </c>
      <c r="E40" s="1" t="n">
        <v>46261</v>
      </c>
      <c r="F40" t="inlineStr">
        <is>
          <t>UPPSALA LÄN</t>
        </is>
      </c>
      <c r="G40" t="inlineStr">
        <is>
          <t>ÄLVKARLEBY</t>
        </is>
      </c>
      <c r="H40" t="inlineStr">
        <is>
          <t>Bergvik skog öst AB</t>
        </is>
      </c>
      <c r="I40" t="n">
        <v>1.1</v>
      </c>
      <c r="J40" t="n">
        <v>0</v>
      </c>
      <c r="K40" t="n">
        <v>0</v>
      </c>
      <c r="L40" t="n">
        <v>1</v>
      </c>
      <c r="M40" t="n">
        <v>0</v>
      </c>
      <c r="N40" t="n">
        <v>0</v>
      </c>
      <c r="O40" t="n">
        <v>0</v>
      </c>
      <c r="P40" t="n">
        <v>0</v>
      </c>
      <c r="Q40" t="n">
        <v>1</v>
      </c>
      <c r="R40" t="n">
        <v>0</v>
      </c>
      <c r="S40" t="n">
        <v>1</v>
      </c>
      <c r="T40" t="n">
        <v>4</v>
      </c>
      <c r="U40" t="n">
        <v>1</v>
      </c>
      <c r="V40" s="2" t="inlineStr">
        <is>
          <t>Sandviol</t>
        </is>
      </c>
      <c r="W40">
        <f>HYPERLINK("https://klasma.github.io/Logging_0319/artfynd/A 10455-2022 artfynd.xlsx", "A 10455-2022")</f>
        <v/>
      </c>
      <c r="X40">
        <f>HYPERLINK("https://klasma.github.io/Logging_0319/kartor/A 10455-2022 karta.png", "A 10455-2022")</f>
        <v/>
      </c>
      <c r="Y40">
        <f>HYPERLINK("https://klasma.github.io/Logging_0319/kartor_geotiff/A 10455-2022 georefererad karta.tif", "A 10455-2022")</f>
        <v/>
      </c>
      <c r="AA40">
        <f>HYPERLINK("https://klasma.github.io/Logging_0319/klagomål/A 10455-2022 FSC-klagomål.docx", "A 10455-2022")</f>
        <v/>
      </c>
      <c r="AB40">
        <f>HYPERLINK("https://klasma.github.io/Logging_0319/klagomålsmail/A 10455-2022 FSC-klagomål mail.docx", "A 10455-2022")</f>
        <v/>
      </c>
      <c r="AC40">
        <f>HYPERLINK("https://klasma.github.io/Logging_0319/tillsyn/A 10455-2022 tillsynsbegäran.docx", "A 10455-2022")</f>
        <v/>
      </c>
      <c r="AD40">
        <f>HYPERLINK("https://klasma.github.io/Logging_0319/tillsynsmail/A 10455-2022 tillsynsbegäran mail.docx", "A 10455-2022")</f>
        <v/>
      </c>
    </row>
    <row r="41" ht="15" customHeight="1">
      <c r="A41" t="inlineStr">
        <is>
          <t>A 70017-2021</t>
        </is>
      </c>
      <c r="B41" t="inlineStr">
        <is>
          <t>avverkningsanmälan</t>
        </is>
      </c>
      <c r="C41" t="inlineStr">
        <is>
          <t>Föryngringsavverkning</t>
        </is>
      </c>
      <c r="D41" s="1" t="n">
        <v>44533</v>
      </c>
      <c r="E41" s="1" t="n">
        <v>46261</v>
      </c>
      <c r="F41" t="inlineStr">
        <is>
          <t>UPPSALA LÄN</t>
        </is>
      </c>
      <c r="G41" t="inlineStr">
        <is>
          <t>ÄLVKARLEBY</t>
        </is>
      </c>
      <c r="I41" t="n">
        <v>2.1</v>
      </c>
      <c r="J41" t="n">
        <v>1</v>
      </c>
      <c r="K41" t="n">
        <v>0</v>
      </c>
      <c r="L41" t="n">
        <v>0</v>
      </c>
      <c r="M41" t="n">
        <v>0</v>
      </c>
      <c r="N41" t="n">
        <v>0</v>
      </c>
      <c r="O41" t="n">
        <v>0</v>
      </c>
      <c r="P41" t="n">
        <v>0</v>
      </c>
      <c r="Q41" t="n">
        <v>0</v>
      </c>
      <c r="R41" t="n">
        <v>0</v>
      </c>
      <c r="S41" t="n">
        <v>1</v>
      </c>
      <c r="T41" t="n">
        <v>1</v>
      </c>
      <c r="U41" t="n">
        <v>1</v>
      </c>
      <c r="V41" s="2" t="inlineStr">
        <is>
          <t>Trana</t>
        </is>
      </c>
      <c r="W41">
        <f>HYPERLINK("https://klasma.github.io/Logging_0319/artfynd/A 70017-2021 artfynd.xlsx", "A 70017-2021")</f>
        <v/>
      </c>
      <c r="X41">
        <f>HYPERLINK("https://klasma.github.io/Logging_0319/kartor/A 70017-2021 karta.png", "A 70017-2021")</f>
        <v/>
      </c>
      <c r="Y41">
        <f>HYPERLINK("https://klasma.github.io/Logging_0319/kartor_geotiff/A 70017-2021 georefererad karta.tif", "A 70017-2021")</f>
        <v/>
      </c>
      <c r="AA41">
        <f>HYPERLINK("https://klasma.github.io/Logging_0319/klagomål/A 70017-2021 FSC-klagomål.docx", "A 70017-2021")</f>
        <v/>
      </c>
      <c r="AB41">
        <f>HYPERLINK("https://klasma.github.io/Logging_0319/klagomålsmail/A 70017-2021 FSC-klagomål mail.docx", "A 70017-2021")</f>
        <v/>
      </c>
      <c r="AC41">
        <f>HYPERLINK("https://klasma.github.io/Logging_0319/tillsyn/A 70017-2021 tillsynsbegäran.docx", "A 70017-2021")</f>
        <v/>
      </c>
      <c r="AD41">
        <f>HYPERLINK("https://klasma.github.io/Logging_0319/tillsynsmail/A 70017-2021 tillsynsbegäran mail.docx", "A 70017-2021")</f>
        <v/>
      </c>
      <c r="AE41">
        <f>HYPERLINK("https://klasma.github.io/Logging_0319/fåglar/A 70017-2021 prioriterade fågelarter.docx", "A 70017-2021")</f>
        <v/>
      </c>
    </row>
    <row r="42" ht="15" customHeight="1">
      <c r="A42" t="inlineStr">
        <is>
          <t>A 30233-2026</t>
        </is>
      </c>
      <c r="B42" t="inlineStr">
        <is>
          <t>avverkningsanmälan</t>
        </is>
      </c>
      <c r="C42" t="inlineStr">
        <is>
          <t>Föryngringsavverkning</t>
        </is>
      </c>
      <c r="D42" s="1" t="n">
        <v>46206</v>
      </c>
      <c r="E42" s="1" t="n">
        <v>46261</v>
      </c>
      <c r="F42" t="inlineStr">
        <is>
          <t>UPPSALA LÄN</t>
        </is>
      </c>
      <c r="G42" t="inlineStr">
        <is>
          <t>ÄLVKARLEBY</t>
        </is>
      </c>
      <c r="H42" t="inlineStr">
        <is>
          <t>Bergvik skog öst AB</t>
        </is>
      </c>
      <c r="I42" t="n">
        <v>6.8</v>
      </c>
      <c r="J42" t="n">
        <v>1</v>
      </c>
      <c r="K42" t="n">
        <v>1</v>
      </c>
      <c r="L42" t="n">
        <v>0</v>
      </c>
      <c r="M42" t="n">
        <v>0</v>
      </c>
      <c r="N42" t="n">
        <v>0</v>
      </c>
      <c r="O42" t="n">
        <v>0</v>
      </c>
      <c r="P42" t="n">
        <v>0</v>
      </c>
      <c r="Q42" t="n">
        <v>0</v>
      </c>
      <c r="R42" t="n">
        <v>0</v>
      </c>
      <c r="S42" t="n">
        <v>1</v>
      </c>
      <c r="T42" t="n">
        <v>1</v>
      </c>
      <c r="U42" t="n">
        <v>0</v>
      </c>
      <c r="V42" s="2" t="inlineStr">
        <is>
          <t>Nästrot</t>
        </is>
      </c>
      <c r="W42">
        <f>HYPERLINK("https://klasma.github.io/Logging_0319/artfynd/A 30233-2026 artfynd.xlsx", "A 30233-2026")</f>
        <v/>
      </c>
      <c r="X42">
        <f>HYPERLINK("https://klasma.github.io/Logging_0319/kartor/A 30233-2026 karta.png", "A 30233-2026")</f>
        <v/>
      </c>
      <c r="Y42">
        <f>HYPERLINK("https://klasma.github.io/Logging_0319/kartor_geotiff/A 30233-2026 georefererad karta.tif", "A 30233-2026")</f>
        <v/>
      </c>
      <c r="AA42">
        <f>HYPERLINK("https://klasma.github.io/Logging_0319/klagomål/A 30233-2026 FSC-klagomål.docx", "A 30233-2026")</f>
        <v/>
      </c>
      <c r="AB42">
        <f>HYPERLINK("https://klasma.github.io/Logging_0319/klagomålsmail/A 30233-2026 FSC-klagomål mail.docx", "A 30233-2026")</f>
        <v/>
      </c>
      <c r="AC42">
        <f>HYPERLINK("https://klasma.github.io/Logging_0319/tillsyn/A 30233-2026 tillsynsbegäran.docx", "A 30233-2026")</f>
        <v/>
      </c>
      <c r="AD42">
        <f>HYPERLINK("https://klasma.github.io/Logging_0319/tillsynsmail/A 30233-2026 tillsynsbegäran mail.docx", "A 30233-2026")</f>
        <v/>
      </c>
    </row>
    <row r="43" ht="15" customHeight="1">
      <c r="A43" t="inlineStr">
        <is>
          <t>A 30236-2026</t>
        </is>
      </c>
      <c r="B43" t="inlineStr">
        <is>
          <t>avverkningsanmälan</t>
        </is>
      </c>
      <c r="C43" t="inlineStr">
        <is>
          <t>Föryngringsavverkning</t>
        </is>
      </c>
      <c r="D43" s="1" t="n">
        <v>46206</v>
      </c>
      <c r="E43" s="1" t="n">
        <v>46261</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30236-2026 artfynd.xlsx", "A 30236-2026")</f>
        <v/>
      </c>
      <c r="X43">
        <f>HYPERLINK("https://klasma.github.io/Logging_0319/kartor/A 30236-2026 karta.png", "A 30236-2026")</f>
        <v/>
      </c>
      <c r="Y43">
        <f>HYPERLINK("https://klasma.github.io/Logging_0319/kartor_geotiff/A 30236-2026 georefererad karta.tif", "A 30236-2026")</f>
        <v/>
      </c>
      <c r="AA43">
        <f>HYPERLINK("https://klasma.github.io/Logging_0319/klagomål/A 30236-2026 FSC-klagomål.docx", "A 30236-2026")</f>
        <v/>
      </c>
      <c r="AB43">
        <f>HYPERLINK("https://klasma.github.io/Logging_0319/klagomålsmail/A 30236-2026 FSC-klagomål mail.docx", "A 30236-2026")</f>
        <v/>
      </c>
      <c r="AC43">
        <f>HYPERLINK("https://klasma.github.io/Logging_0319/tillsyn/A 30236-2026 tillsynsbegäran.docx", "A 30236-2026")</f>
        <v/>
      </c>
      <c r="AD43">
        <f>HYPERLINK("https://klasma.github.io/Logging_0319/tillsynsmail/A 30236-2026 tillsynsbegäran mail.docx", "A 30236-2026")</f>
        <v/>
      </c>
    </row>
    <row r="44" ht="15" customHeight="1">
      <c r="A44" t="inlineStr">
        <is>
          <t>A 19304-2024</t>
        </is>
      </c>
      <c r="B44" t="inlineStr">
        <is>
          <t>avverkningsanmälan</t>
        </is>
      </c>
      <c r="C44" t="inlineStr">
        <is>
          <t>Föryngringsavverkning</t>
        </is>
      </c>
      <c r="D44" s="1" t="n">
        <v>45428</v>
      </c>
      <c r="E44" s="1" t="n">
        <v>46261</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43285-2023</t>
        </is>
      </c>
      <c r="B45" t="inlineStr">
        <is>
          <t>avverkningsanmälan</t>
        </is>
      </c>
      <c r="C45" t="inlineStr">
        <is>
          <t>Föryngringsavverkning</t>
        </is>
      </c>
      <c r="D45" s="1" t="n">
        <v>45183</v>
      </c>
      <c r="E45" s="1" t="n">
        <v>46261</v>
      </c>
      <c r="F45" t="inlineStr">
        <is>
          <t>UPPSALA LÄN</t>
        </is>
      </c>
      <c r="G45" t="inlineStr">
        <is>
          <t>ÄLVKARLEBY</t>
        </is>
      </c>
      <c r="H45" t="inlineStr">
        <is>
          <t>Bergvik skog väst AB</t>
        </is>
      </c>
      <c r="I45" t="n">
        <v>1.3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HYPERLINK("https://klasma.github.io/Logging_0319/artfynd/A 43285-2023 artfynd.xlsx", "A 43285-2023")</f>
        <v/>
      </c>
      <c r="X45">
        <f>HYPERLINK("https://klasma.github.io/Logging_0319/kartor/A 43285-2023 karta.png", "A 43285-2023")</f>
        <v/>
      </c>
      <c r="Y45">
        <f>HYPERLINK("https://klasma.github.io/Logging_0319/kartor_geotiff/A 43285-2023 georefererad karta.tif", "A 43285-2023")</f>
        <v/>
      </c>
      <c r="AA45">
        <f>HYPERLINK("https://klasma.github.io/Logging_0319/klagomål/A 43285-2023 FSC-klagomål.docx", "A 43285-2023")</f>
        <v/>
      </c>
      <c r="AB45">
        <f>HYPERLINK("https://klasma.github.io/Logging_0319/klagomålsmail/A 43285-2023 FSC-klagomål mail.docx", "A 43285-2023")</f>
        <v/>
      </c>
      <c r="AC45">
        <f>HYPERLINK("https://klasma.github.io/Logging_0319/tillsyn/A 43285-2023 tillsynsbegäran.docx", "A 43285-2023")</f>
        <v/>
      </c>
      <c r="AD45">
        <f>HYPERLINK("https://klasma.github.io/Logging_0319/tillsynsmail/A 43285-2023 tillsynsbegäran mail.docx", "A 43285-2023")</f>
        <v/>
      </c>
    </row>
    <row r="46" ht="15" customHeight="1">
      <c r="A46" t="inlineStr">
        <is>
          <t>A 3950-2025</t>
        </is>
      </c>
      <c r="B46" t="inlineStr">
        <is>
          <t>avverkningsanmälan</t>
        </is>
      </c>
      <c r="C46" t="inlineStr">
        <is>
          <t>Avverkning för annat ändamål</t>
        </is>
      </c>
      <c r="D46" s="1" t="n">
        <v>45684</v>
      </c>
      <c r="E46" s="1" t="n">
        <v>46261</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36217-2022</t>
        </is>
      </c>
      <c r="B47" t="inlineStr">
        <is>
          <t>avverkningsanmälan</t>
        </is>
      </c>
      <c r="C47" t="inlineStr">
        <is>
          <t>Avverkning för annat ändamål</t>
        </is>
      </c>
      <c r="D47" s="1" t="n">
        <v>44803</v>
      </c>
      <c r="E47" s="1" t="n">
        <v>46261</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46261</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46261</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61839-2025</t>
        </is>
      </c>
      <c r="B50" t="inlineStr">
        <is>
          <t>avverkningsanmälan</t>
        </is>
      </c>
      <c r="C50" t="inlineStr">
        <is>
          <t>Föryngringsavverkning</t>
        </is>
      </c>
      <c r="D50" s="1" t="n">
        <v>46003</v>
      </c>
      <c r="E50" s="1" t="n">
        <v>46261</v>
      </c>
      <c r="F50" t="inlineStr">
        <is>
          <t>UPPSALA LÄN</t>
        </is>
      </c>
      <c r="G50" t="inlineStr">
        <is>
          <t>ÄLVKARLEBY</t>
        </is>
      </c>
      <c r="H50" t="inlineStr">
        <is>
          <t>Bergvik skog väst AB</t>
        </is>
      </c>
      <c r="I50" t="n">
        <v>2.3</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46261</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4134-2026</t>
        </is>
      </c>
      <c r="B52" t="inlineStr">
        <is>
          <t>avverkningsanmälan</t>
        </is>
      </c>
      <c r="C52" t="inlineStr">
        <is>
          <t>Föryngringsavverkning</t>
        </is>
      </c>
      <c r="D52" s="1" t="n">
        <v>46044</v>
      </c>
      <c r="E52" s="1" t="n">
        <v>46261</v>
      </c>
      <c r="F52" t="inlineStr">
        <is>
          <t>UPPSALA LÄN</t>
        </is>
      </c>
      <c r="G52" t="inlineStr">
        <is>
          <t>ÄLVKARLEBY</t>
        </is>
      </c>
      <c r="H52" t="inlineStr">
        <is>
          <t>Bergvik skog öst AB</t>
        </is>
      </c>
      <c r="I52" t="n">
        <v>5.1</v>
      </c>
      <c r="J52" t="n">
        <v>0</v>
      </c>
      <c r="K52" t="n">
        <v>0</v>
      </c>
      <c r="L52" t="n">
        <v>0</v>
      </c>
      <c r="M52" t="n">
        <v>0</v>
      </c>
      <c r="N52" t="n">
        <v>0</v>
      </c>
      <c r="O52" t="n">
        <v>0</v>
      </c>
      <c r="P52" t="n">
        <v>0</v>
      </c>
      <c r="Q52" t="n">
        <v>0</v>
      </c>
      <c r="R52" t="n">
        <v>0</v>
      </c>
      <c r="S52" t="n">
        <v>0</v>
      </c>
      <c r="T52" t="n">
        <v>0</v>
      </c>
      <c r="U52" t="n">
        <v>0</v>
      </c>
      <c r="V52" s="2" t="inlineStr"/>
    </row>
    <row r="53" ht="15" customHeight="1">
      <c r="A53" t="inlineStr">
        <is>
          <t>A 2184-2024</t>
        </is>
      </c>
      <c r="B53" t="inlineStr">
        <is>
          <t>avverkningsanmälan</t>
        </is>
      </c>
      <c r="C53" t="inlineStr">
        <is>
          <t>Föryngringsavverkning</t>
        </is>
      </c>
      <c r="D53" s="1" t="n">
        <v>45309</v>
      </c>
      <c r="E53" s="1" t="n">
        <v>46261</v>
      </c>
      <c r="F53" t="inlineStr">
        <is>
          <t>UPPSALA LÄN</t>
        </is>
      </c>
      <c r="G53" t="inlineStr">
        <is>
          <t>ÄLVKARLEBY</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26664-2025</t>
        </is>
      </c>
      <c r="B54" t="inlineStr">
        <is>
          <t>avverkningsanmälan</t>
        </is>
      </c>
      <c r="C54" t="inlineStr">
        <is>
          <t>Avverkning för att bevara och utveckla /försöksver</t>
        </is>
      </c>
      <c r="D54" s="1" t="n">
        <v>45810</v>
      </c>
      <c r="E54" s="1" t="n">
        <v>46261</v>
      </c>
      <c r="F54" t="inlineStr">
        <is>
          <t>UPPSALA LÄN</t>
        </is>
      </c>
      <c r="G54" t="inlineStr">
        <is>
          <t>ÄLVKARLEBY</t>
        </is>
      </c>
      <c r="H54" t="inlineStr">
        <is>
          <t>Bergvik skog väst AB</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46261</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46261</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32187-2025</t>
        </is>
      </c>
      <c r="B57" t="inlineStr">
        <is>
          <t>avverkningsanmälan</t>
        </is>
      </c>
      <c r="C57" t="inlineStr">
        <is>
          <t>Föryngringsavverkning</t>
        </is>
      </c>
      <c r="D57" s="1" t="n">
        <v>45835</v>
      </c>
      <c r="E57" s="1" t="n">
        <v>46261</v>
      </c>
      <c r="F57" t="inlineStr">
        <is>
          <t>UPPSALA LÄN</t>
        </is>
      </c>
      <c r="G57" t="inlineStr">
        <is>
          <t>ÄLVKARLEBY</t>
        </is>
      </c>
      <c r="H57" t="inlineStr">
        <is>
          <t>Bergvik skog väst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11467-2026</t>
        </is>
      </c>
      <c r="B58" t="inlineStr">
        <is>
          <t>avverkningsanmälan</t>
        </is>
      </c>
      <c r="C58" t="inlineStr">
        <is>
          <t>Föryngringsavverkning</t>
        </is>
      </c>
      <c r="D58" s="1" t="n">
        <v>46083</v>
      </c>
      <c r="E58" s="1" t="n">
        <v>46261</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46510-2025</t>
        </is>
      </c>
      <c r="B59" t="inlineStr">
        <is>
          <t>avverkningsanmälan</t>
        </is>
      </c>
      <c r="C59" t="inlineStr">
        <is>
          <t>Föryngringsavverkning</t>
        </is>
      </c>
      <c r="D59" s="1" t="n">
        <v>45925</v>
      </c>
      <c r="E59" s="1" t="n">
        <v>46261</v>
      </c>
      <c r="F59" t="inlineStr">
        <is>
          <t>UPPSALA LÄN</t>
        </is>
      </c>
      <c r="G59" t="inlineStr">
        <is>
          <t>ÄLVKARLEBY</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11848-2026</t>
        </is>
      </c>
      <c r="B60" t="inlineStr">
        <is>
          <t>avverkningsanmälan</t>
        </is>
      </c>
      <c r="C60" t="inlineStr">
        <is>
          <t>Föryngringsavverkning</t>
        </is>
      </c>
      <c r="D60" s="1" t="n">
        <v>46085</v>
      </c>
      <c r="E60" s="1" t="n">
        <v>46261</v>
      </c>
      <c r="F60" t="inlineStr">
        <is>
          <t>UPPSALA LÄN</t>
        </is>
      </c>
      <c r="G60" t="inlineStr">
        <is>
          <t>ÄLVKARLEBY</t>
        </is>
      </c>
      <c r="H60" t="inlineStr">
        <is>
          <t>Bergvik skog väst AB</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14091-2026</t>
        </is>
      </c>
      <c r="B61" t="inlineStr">
        <is>
          <t>avverkningsanmälan</t>
        </is>
      </c>
      <c r="C61" t="inlineStr">
        <is>
          <t>Föryngringsavverkning</t>
        </is>
      </c>
      <c r="D61" s="1" t="n">
        <v>46099</v>
      </c>
      <c r="E61" s="1" t="n">
        <v>46261</v>
      </c>
      <c r="F61" t="inlineStr">
        <is>
          <t>UPPSALA LÄN</t>
        </is>
      </c>
      <c r="G61" t="inlineStr">
        <is>
          <t>ÄLVKARLEBY</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46261</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46261</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46261</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38226-2023</t>
        </is>
      </c>
      <c r="B65" t="inlineStr">
        <is>
          <t>avverkningsanmälan</t>
        </is>
      </c>
      <c r="C65" t="inlineStr">
        <is>
          <t>Föryngringsavverkning</t>
        </is>
      </c>
      <c r="D65" s="1" t="n">
        <v>45161</v>
      </c>
      <c r="E65" s="1" t="n">
        <v>46261</v>
      </c>
      <c r="F65" t="inlineStr">
        <is>
          <t>UPPSALA LÄN</t>
        </is>
      </c>
      <c r="G65" t="inlineStr">
        <is>
          <t>ÄLVKARLEBY</t>
        </is>
      </c>
      <c r="H65" t="inlineStr">
        <is>
          <t>Bergvik skog väst AB</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52477-2025</t>
        </is>
      </c>
      <c r="B66" t="inlineStr">
        <is>
          <t>avverkningsanmälan</t>
        </is>
      </c>
      <c r="C66" t="inlineStr">
        <is>
          <t>Föryngringsavverkning</t>
        </is>
      </c>
      <c r="D66" s="1" t="n">
        <v>45954</v>
      </c>
      <c r="E66" s="1" t="n">
        <v>46261</v>
      </c>
      <c r="F66" t="inlineStr">
        <is>
          <t>UPPSALA LÄN</t>
        </is>
      </c>
      <c r="G66" t="inlineStr">
        <is>
          <t>ÄLVKARLEBY</t>
        </is>
      </c>
      <c r="H66" t="inlineStr">
        <is>
          <t>Bergvik skog väst AB</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46261</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46261</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53184-2025</t>
        </is>
      </c>
      <c r="B69" t="inlineStr">
        <is>
          <t>avverkningsanmälan</t>
        </is>
      </c>
      <c r="C69" t="inlineStr">
        <is>
          <t>Föryngringsavverkning</t>
        </is>
      </c>
      <c r="D69" s="1" t="n">
        <v>45958</v>
      </c>
      <c r="E69" s="1" t="n">
        <v>46261</v>
      </c>
      <c r="F69" t="inlineStr">
        <is>
          <t>UPPSALA LÄN</t>
        </is>
      </c>
      <c r="G69" t="inlineStr">
        <is>
          <t>ÄLVKARLEBY</t>
        </is>
      </c>
      <c r="H69" t="inlineStr">
        <is>
          <t>Bergvik skog väst AB</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17851-2026</t>
        </is>
      </c>
      <c r="B70" t="inlineStr">
        <is>
          <t>avverkningsanmälan</t>
        </is>
      </c>
      <c r="C70" t="inlineStr">
        <is>
          <t>Föryngringsavverkning</t>
        </is>
      </c>
      <c r="D70" s="1" t="n">
        <v>46122</v>
      </c>
      <c r="E70" s="1" t="n">
        <v>46261</v>
      </c>
      <c r="F70" t="inlineStr">
        <is>
          <t>UPPSALA LÄN</t>
        </is>
      </c>
      <c r="G70" t="inlineStr">
        <is>
          <t>ÄLVKARLEBY</t>
        </is>
      </c>
      <c r="H70" t="inlineStr">
        <is>
          <t>Bergvik skog öst AB</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56861-2025</t>
        </is>
      </c>
      <c r="B71" t="inlineStr">
        <is>
          <t>avverkningsanmälan</t>
        </is>
      </c>
      <c r="C71" t="inlineStr">
        <is>
          <t>Avverkning för att bevara och utveckla /försöksver</t>
        </is>
      </c>
      <c r="D71" s="1" t="n">
        <v>45978</v>
      </c>
      <c r="E71" s="1" t="n">
        <v>46261</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46261</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58497-2025</t>
        </is>
      </c>
      <c r="B73" t="inlineStr">
        <is>
          <t>avverkningsanmälan</t>
        </is>
      </c>
      <c r="C73" t="inlineStr">
        <is>
          <t>Föryngringsavverkning</t>
        </is>
      </c>
      <c r="D73" s="1" t="n">
        <v>45985</v>
      </c>
      <c r="E73" s="1" t="n">
        <v>46261</v>
      </c>
      <c r="F73" t="inlineStr">
        <is>
          <t>UPPSALA LÄN</t>
        </is>
      </c>
      <c r="G73" t="inlineStr">
        <is>
          <t>ÄLVKARLEBY</t>
        </is>
      </c>
      <c r="H73" t="inlineStr">
        <is>
          <t>Bergvik skog väst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45372-2024</t>
        </is>
      </c>
      <c r="B74" t="inlineStr">
        <is>
          <t>avverkningsanmälan</t>
        </is>
      </c>
      <c r="C74" t="inlineStr">
        <is>
          <t>Föryngringsavverkning</t>
        </is>
      </c>
      <c r="D74" s="1" t="n">
        <v>45576</v>
      </c>
      <c r="E74" s="1" t="n">
        <v>46261</v>
      </c>
      <c r="F74" t="inlineStr">
        <is>
          <t>UPPSALA LÄN</t>
        </is>
      </c>
      <c r="G74" t="inlineStr">
        <is>
          <t>ÄLVKARLEBY</t>
        </is>
      </c>
      <c r="H74" t="inlineStr">
        <is>
          <t>Bergvik skog väst AB</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60256-2025</t>
        </is>
      </c>
      <c r="B75" t="inlineStr">
        <is>
          <t>avverkningsanmälan</t>
        </is>
      </c>
      <c r="C75" t="inlineStr">
        <is>
          <t>Föryngringsavverkning</t>
        </is>
      </c>
      <c r="D75" s="1" t="n">
        <v>45994</v>
      </c>
      <c r="E75" s="1" t="n">
        <v>46261</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16990-2022</t>
        </is>
      </c>
      <c r="B76" t="inlineStr">
        <is>
          <t>avverkningsanmälan</t>
        </is>
      </c>
      <c r="C76" t="inlineStr">
        <is>
          <t>Föryngringsavverkning</t>
        </is>
      </c>
      <c r="D76" s="1" t="n">
        <v>44676</v>
      </c>
      <c r="E76" s="1" t="n">
        <v>46261</v>
      </c>
      <c r="F76" t="inlineStr">
        <is>
          <t>UPPSALA LÄN</t>
        </is>
      </c>
      <c r="G76" t="inlineStr">
        <is>
          <t>ÄLVKARLEBY</t>
        </is>
      </c>
      <c r="H76" t="inlineStr">
        <is>
          <t>Bergvik skog väst AB</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60842-2025</t>
        </is>
      </c>
      <c r="B77" t="inlineStr">
        <is>
          <t>avverkningsanmälan</t>
        </is>
      </c>
      <c r="C77" t="inlineStr">
        <is>
          <t>Avverkning för att bevara och utveckla /försöksver</t>
        </is>
      </c>
      <c r="D77" s="1" t="n">
        <v>45999</v>
      </c>
      <c r="E77" s="1" t="n">
        <v>46261</v>
      </c>
      <c r="F77" t="inlineStr">
        <is>
          <t>UPPSALA LÄN</t>
        </is>
      </c>
      <c r="G77" t="inlineStr">
        <is>
          <t>ÄLVKARLEBY</t>
        </is>
      </c>
      <c r="H77" t="inlineStr">
        <is>
          <t>Bergvik skog väst AB</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61694-2025</t>
        </is>
      </c>
      <c r="B78" t="inlineStr">
        <is>
          <t>avverkningsanmälan</t>
        </is>
      </c>
      <c r="C78" t="inlineStr">
        <is>
          <t>Föryngringsavverkning</t>
        </is>
      </c>
      <c r="D78" s="1" t="n">
        <v>46002</v>
      </c>
      <c r="E78" s="1" t="n">
        <v>46261</v>
      </c>
      <c r="F78" t="inlineStr">
        <is>
          <t>UPPSALA LÄN</t>
        </is>
      </c>
      <c r="G78" t="inlineStr">
        <is>
          <t>ÄLVKARLEBY</t>
        </is>
      </c>
      <c r="H78" t="inlineStr">
        <is>
          <t>Bergvik skog öst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61691-2025</t>
        </is>
      </c>
      <c r="B79" t="inlineStr">
        <is>
          <t>avverkningsanmälan</t>
        </is>
      </c>
      <c r="C79" t="inlineStr">
        <is>
          <t>Föryngringsavverkning</t>
        </is>
      </c>
      <c r="D79" s="1" t="n">
        <v>46002</v>
      </c>
      <c r="E79" s="1" t="n">
        <v>46261</v>
      </c>
      <c r="F79" t="inlineStr">
        <is>
          <t>UPPSALA LÄN</t>
        </is>
      </c>
      <c r="G79" t="inlineStr">
        <is>
          <t>ÄLVKARLEBY</t>
        </is>
      </c>
      <c r="H79" t="inlineStr">
        <is>
          <t>Bergvik skog öst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46261</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62938-2025</t>
        </is>
      </c>
      <c r="B81" t="inlineStr">
        <is>
          <t>avverkningsanmälan</t>
        </is>
      </c>
      <c r="C81" t="inlineStr">
        <is>
          <t>Föryngringsavverkning</t>
        </is>
      </c>
      <c r="D81" s="1" t="n">
        <v>46009</v>
      </c>
      <c r="E81" s="1" t="n">
        <v>46261</v>
      </c>
      <c r="F81" t="inlineStr">
        <is>
          <t>UPPSALA LÄN</t>
        </is>
      </c>
      <c r="G81" t="inlineStr">
        <is>
          <t>ÄLVKARLEBY</t>
        </is>
      </c>
      <c r="H81" t="inlineStr">
        <is>
          <t>Bergvik skog väst AB</t>
        </is>
      </c>
      <c r="I81" t="n">
        <v>10.2</v>
      </c>
      <c r="J81" t="n">
        <v>0</v>
      </c>
      <c r="K81" t="n">
        <v>0</v>
      </c>
      <c r="L81" t="n">
        <v>0</v>
      </c>
      <c r="M81" t="n">
        <v>0</v>
      </c>
      <c r="N81" t="n">
        <v>0</v>
      </c>
      <c r="O81" t="n">
        <v>0</v>
      </c>
      <c r="P81" t="n">
        <v>0</v>
      </c>
      <c r="Q81" t="n">
        <v>0</v>
      </c>
      <c r="R81" t="n">
        <v>0</v>
      </c>
      <c r="S81" t="n">
        <v>0</v>
      </c>
      <c r="T81" t="n">
        <v>0</v>
      </c>
      <c r="U81" t="n">
        <v>0</v>
      </c>
      <c r="V81" s="2" t="inlineStr"/>
    </row>
    <row r="82" ht="15" customHeight="1">
      <c r="A82" t="inlineStr">
        <is>
          <t>A 63365-2025</t>
        </is>
      </c>
      <c r="B82" t="inlineStr">
        <is>
          <t>avverkningsanmälan</t>
        </is>
      </c>
      <c r="C82" t="inlineStr">
        <is>
          <t>Föryngringsavverkning</t>
        </is>
      </c>
      <c r="D82" s="1" t="n">
        <v>46010</v>
      </c>
      <c r="E82" s="1" t="n">
        <v>46261</v>
      </c>
      <c r="F82" t="inlineStr">
        <is>
          <t>UPPSALA LÄN</t>
        </is>
      </c>
      <c r="G82" t="inlineStr">
        <is>
          <t>ÄLVKARLEBY</t>
        </is>
      </c>
      <c r="H82" t="inlineStr">
        <is>
          <t>Bergvik skog väst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26815-2022</t>
        </is>
      </c>
      <c r="B83" t="inlineStr">
        <is>
          <t>avverkningsanmälan</t>
        </is>
      </c>
      <c r="C83" t="inlineStr">
        <is>
          <t>Föryngringsavverkning</t>
        </is>
      </c>
      <c r="D83" s="1" t="n">
        <v>44740</v>
      </c>
      <c r="E83" s="1" t="n">
        <v>46261</v>
      </c>
      <c r="F83" t="inlineStr">
        <is>
          <t>UPPSALA LÄN</t>
        </is>
      </c>
      <c r="G83" t="inlineStr">
        <is>
          <t>ÄLVKARLEBY</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33485-2026</t>
        </is>
      </c>
      <c r="B84" t="inlineStr">
        <is>
          <t>avverkningsanmälan</t>
        </is>
      </c>
      <c r="C84" t="inlineStr">
        <is>
          <t>Föryngringsavverkning</t>
        </is>
      </c>
      <c r="D84" s="1" t="n">
        <v>46247</v>
      </c>
      <c r="E84" s="1" t="n">
        <v>46261</v>
      </c>
      <c r="F84" t="inlineStr">
        <is>
          <t>UPPSALA LÄN</t>
        </is>
      </c>
      <c r="G84" t="inlineStr">
        <is>
          <t>ÄLVKARLEBY</t>
        </is>
      </c>
      <c r="H84" t="inlineStr">
        <is>
          <t>Bergvik skog öst AB</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30238-2026</t>
        </is>
      </c>
      <c r="B85" t="inlineStr">
        <is>
          <t>avverkningsanmälan</t>
        </is>
      </c>
      <c r="C85" t="inlineStr">
        <is>
          <t>Föryngringsavverkning</t>
        </is>
      </c>
      <c r="D85" s="1" t="n">
        <v>46206</v>
      </c>
      <c r="E85" s="1" t="n">
        <v>46261</v>
      </c>
      <c r="F85" t="inlineStr">
        <is>
          <t>UPPSALA LÄN</t>
        </is>
      </c>
      <c r="G85" t="inlineStr">
        <is>
          <t>ÄLVKARLEBY</t>
        </is>
      </c>
      <c r="H85" t="inlineStr">
        <is>
          <t>Bergvik skog öst AB</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30234-2026</t>
        </is>
      </c>
      <c r="B86" t="inlineStr">
        <is>
          <t>avverkningsanmälan</t>
        </is>
      </c>
      <c r="C86" t="inlineStr">
        <is>
          <t>Föryngringsavverkning</t>
        </is>
      </c>
      <c r="D86" s="1" t="n">
        <v>46206</v>
      </c>
      <c r="E86" s="1" t="n">
        <v>46261</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34575-2026</t>
        </is>
      </c>
      <c r="B87" t="inlineStr">
        <is>
          <t>avverkningsanmälan</t>
        </is>
      </c>
      <c r="C87" t="inlineStr">
        <is>
          <t>Föryngringsavverkning</t>
        </is>
      </c>
      <c r="D87" s="1" t="n">
        <v>46255</v>
      </c>
      <c r="E87" s="1" t="n">
        <v>46261</v>
      </c>
      <c r="F87" t="inlineStr">
        <is>
          <t>UPPSALA LÄN</t>
        </is>
      </c>
      <c r="G87" t="inlineStr">
        <is>
          <t>ÄLVKARLEBY</t>
        </is>
      </c>
      <c r="H87" t="inlineStr">
        <is>
          <t>Bergvik skog öst AB</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41272-2023</t>
        </is>
      </c>
      <c r="B88" t="inlineStr">
        <is>
          <t>avverkningsanmälan</t>
        </is>
      </c>
      <c r="C88" t="inlineStr">
        <is>
          <t>Föryngringsavverkning</t>
        </is>
      </c>
      <c r="D88" s="1" t="n">
        <v>45174</v>
      </c>
      <c r="E88" s="1" t="n">
        <v>46261</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2183-2024</t>
        </is>
      </c>
      <c r="B89" t="inlineStr">
        <is>
          <t>avverkningsanmälan</t>
        </is>
      </c>
      <c r="C89" t="inlineStr">
        <is>
          <t>Föryngringsavverkning</t>
        </is>
      </c>
      <c r="D89" s="1" t="n">
        <v>45309</v>
      </c>
      <c r="E89" s="1" t="n">
        <v>46261</v>
      </c>
      <c r="F89" t="inlineStr">
        <is>
          <t>UPPSALA LÄN</t>
        </is>
      </c>
      <c r="G89" t="inlineStr">
        <is>
          <t>ÄLVKARLEBY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46113-2023</t>
        </is>
      </c>
      <c r="B90" t="inlineStr">
        <is>
          <t>avverkningsanmälan</t>
        </is>
      </c>
      <c r="C90" t="inlineStr">
        <is>
          <t>Föryngringsavverkning</t>
        </is>
      </c>
      <c r="D90" s="1" t="n">
        <v>45196</v>
      </c>
      <c r="E90" s="1" t="n">
        <v>46261</v>
      </c>
      <c r="F90" t="inlineStr">
        <is>
          <t>UPPSALA LÄN</t>
        </is>
      </c>
      <c r="G90" t="inlineStr">
        <is>
          <t>ÄLVKARLEBY</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41276-2023</t>
        </is>
      </c>
      <c r="B91" t="inlineStr">
        <is>
          <t>avverkningsanmälan</t>
        </is>
      </c>
      <c r="C91" t="inlineStr">
        <is>
          <t>Föryngringsavverkning</t>
        </is>
      </c>
      <c r="D91" s="1" t="n">
        <v>45174</v>
      </c>
      <c r="E91" s="1" t="n">
        <v>46261</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41929-2024</t>
        </is>
      </c>
      <c r="B92" t="inlineStr">
        <is>
          <t>avverkningsanmälan</t>
        </is>
      </c>
      <c r="C92" t="inlineStr">
        <is>
          <t>Föryngringsavverkning</t>
        </is>
      </c>
      <c r="D92" s="1" t="n">
        <v>45561</v>
      </c>
      <c r="E92" s="1" t="n">
        <v>46261</v>
      </c>
      <c r="F92" t="inlineStr">
        <is>
          <t>UPPSALA LÄN</t>
        </is>
      </c>
      <c r="G92" t="inlineStr">
        <is>
          <t>ÄLVKARLEBY</t>
        </is>
      </c>
      <c r="H92" t="inlineStr">
        <is>
          <t>Bergvik skog väst AB</t>
        </is>
      </c>
      <c r="I92" t="n">
        <v>4.9</v>
      </c>
      <c r="J92" t="n">
        <v>0</v>
      </c>
      <c r="K92" t="n">
        <v>0</v>
      </c>
      <c r="L92" t="n">
        <v>0</v>
      </c>
      <c r="M92" t="n">
        <v>0</v>
      </c>
      <c r="N92" t="n">
        <v>0</v>
      </c>
      <c r="O92" t="n">
        <v>0</v>
      </c>
      <c r="P92" t="n">
        <v>0</v>
      </c>
      <c r="Q92" t="n">
        <v>0</v>
      </c>
      <c r="R92" t="n">
        <v>0</v>
      </c>
      <c r="S92" t="n">
        <v>0</v>
      </c>
      <c r="T92" t="n">
        <v>0</v>
      </c>
      <c r="U92" t="n">
        <v>0</v>
      </c>
      <c r="V92" s="2" t="inlineStr"/>
    </row>
    <row r="93" ht="15" customHeight="1">
      <c r="A93" t="inlineStr">
        <is>
          <t>A 14590-2023</t>
        </is>
      </c>
      <c r="B93" t="inlineStr">
        <is>
          <t>avverkningsanmälan</t>
        </is>
      </c>
      <c r="C93" t="inlineStr">
        <is>
          <t>Föryngringsavverkning</t>
        </is>
      </c>
      <c r="D93" s="1" t="n">
        <v>45013</v>
      </c>
      <c r="E93" s="1" t="n">
        <v>46261</v>
      </c>
      <c r="F93" t="inlineStr">
        <is>
          <t>UPPSALA LÄN</t>
        </is>
      </c>
      <c r="G93" t="inlineStr">
        <is>
          <t>ÄLVKARLEBY</t>
        </is>
      </c>
      <c r="I93" t="n">
        <v>1.8</v>
      </c>
      <c r="J93" t="n">
        <v>0</v>
      </c>
      <c r="K93" t="n">
        <v>0</v>
      </c>
      <c r="L93" t="n">
        <v>0</v>
      </c>
      <c r="M93" t="n">
        <v>0</v>
      </c>
      <c r="N93" t="n">
        <v>0</v>
      </c>
      <c r="O93" t="n">
        <v>0</v>
      </c>
      <c r="P93" t="n">
        <v>0</v>
      </c>
      <c r="Q93" t="n">
        <v>0</v>
      </c>
      <c r="R93" t="n">
        <v>0</v>
      </c>
      <c r="S93" t="n">
        <v>0</v>
      </c>
      <c r="T93" t="n">
        <v>0</v>
      </c>
      <c r="U93" t="n">
        <v>0</v>
      </c>
      <c r="V93" s="2" t="inlineStr"/>
    </row>
    <row r="94">
      <c r="A94" t="inlineStr">
        <is>
          <t>A 9533-2025</t>
        </is>
      </c>
      <c r="B94" t="inlineStr">
        <is>
          <t>avverkningsanmälan</t>
        </is>
      </c>
      <c r="C94" t="inlineStr">
        <is>
          <t>Föryngringsavverkning</t>
        </is>
      </c>
      <c r="D94" s="1" t="n">
        <v>45715</v>
      </c>
      <c r="E94" s="1" t="n">
        <v>46261</v>
      </c>
      <c r="F94" t="inlineStr">
        <is>
          <t>UPPSALA LÄN</t>
        </is>
      </c>
      <c r="G94" t="inlineStr">
        <is>
          <t>ÄLVKARLEBY</t>
        </is>
      </c>
      <c r="I94" t="n">
        <v>2.1</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2026-08-27T01:49:28Z</dcterms:created>
  <dcterms:modified xmlns:dcterms="http://purl.org/dc/terms/" xmlns:xsi="http://www.w3.org/2001/XMLSchema-instance" xsi:type="dcterms:W3CDTF">2026-08-27T01:49:28Z</dcterms:modified>
</cp:coreProperties>
</file>