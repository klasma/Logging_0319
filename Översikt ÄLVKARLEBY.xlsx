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46313</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46313</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46313</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46313</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46313</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46313</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46313</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46313</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46313</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46313</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46313</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46313</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46313</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46313</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46313</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46313</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46313</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46313</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46313</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46313</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46313</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58485-2025</t>
        </is>
      </c>
      <c r="B27" t="inlineStr">
        <is>
          <t>avverkningsanmälan</t>
        </is>
      </c>
      <c r="C27" t="inlineStr">
        <is>
          <t>Föryngringsavverkning</t>
        </is>
      </c>
      <c r="D27" s="1" t="n">
        <v>45985</v>
      </c>
      <c r="E27" s="1" t="n">
        <v>46313</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40478-2026</t>
        </is>
      </c>
      <c r="B28" t="inlineStr">
        <is>
          <t>avverkningsanmälan</t>
        </is>
      </c>
      <c r="C28" t="inlineStr">
        <is>
          <t>Föryngringsavverkning</t>
        </is>
      </c>
      <c r="D28" s="1" t="n">
        <v>46295</v>
      </c>
      <c r="E28" s="1" t="n">
        <v>46313</v>
      </c>
      <c r="F28" t="inlineStr">
        <is>
          <t>UPPSALA LÄN</t>
        </is>
      </c>
      <c r="G28" t="inlineStr">
        <is>
          <t>ÄLVKARLEBY</t>
        </is>
      </c>
      <c r="H28" t="inlineStr">
        <is>
          <t>Bergvik skog öst AB</t>
        </is>
      </c>
      <c r="I28" t="n">
        <v>2.8</v>
      </c>
      <c r="J28" t="n">
        <v>1</v>
      </c>
      <c r="K28" t="n">
        <v>1</v>
      </c>
      <c r="L28" t="n">
        <v>0</v>
      </c>
      <c r="M28" t="n">
        <v>0</v>
      </c>
      <c r="N28" t="n">
        <v>0</v>
      </c>
      <c r="O28" t="n">
        <v>0</v>
      </c>
      <c r="P28" t="n">
        <v>0</v>
      </c>
      <c r="Q28" t="n">
        <v>0</v>
      </c>
      <c r="R28" t="n">
        <v>0</v>
      </c>
      <c r="S28" t="n">
        <v>2</v>
      </c>
      <c r="T28" t="n">
        <v>2</v>
      </c>
      <c r="U28" t="n">
        <v>0</v>
      </c>
      <c r="V28" s="2" t="inlineStr">
        <is>
          <t>Rödgul trumpetsvamp
Järpe</t>
        </is>
      </c>
      <c r="W28">
        <f>HYPERLINK("https://klasma.github.io/Logging_0319/artfynd/A 40478-2026 artfynd.xlsx", "A 40478-2026")</f>
        <v/>
      </c>
      <c r="X28">
        <f>HYPERLINK("https://klasma.github.io/Logging_0319/kartor/A 40478-2026 karta.png", "A 40478-2026")</f>
        <v/>
      </c>
      <c r="Y28">
        <f>HYPERLINK("https://klasma.github.io/Logging_0319/kartor_geotiff/A 40478-2026 georefererad karta.tif", "A 40478-2026")</f>
        <v/>
      </c>
      <c r="AA28">
        <f>HYPERLINK("https://klasma.github.io/Logging_0319/klagomål/A 40478-2026 FSC-klagomål.docx", "A 40478-2026")</f>
        <v/>
      </c>
      <c r="AB28">
        <f>HYPERLINK("https://klasma.github.io/Logging_0319/klagomålsmail/A 40478-2026 FSC-klagomål mail.docx", "A 40478-2026")</f>
        <v/>
      </c>
      <c r="AC28">
        <f>HYPERLINK("https://klasma.github.io/Logging_0319/tillsyn/A 40478-2026 tillsynsbegäran.docx", "A 40478-2026")</f>
        <v/>
      </c>
      <c r="AD28">
        <f>HYPERLINK("https://klasma.github.io/Logging_0319/tillsynsmail/A 40478-2026 tillsynsbegäran mail.docx", "A 40478-2026")</f>
        <v/>
      </c>
      <c r="AE28">
        <f>HYPERLINK("https://klasma.github.io/Logging_0319/fåglar/A 40478-2026 prioriterade fågelarter.docx", "A 40478-2026")</f>
        <v/>
      </c>
    </row>
    <row r="29" ht="15" customHeight="1">
      <c r="A29" t="inlineStr">
        <is>
          <t>A 4132-2026</t>
        </is>
      </c>
      <c r="B29" t="inlineStr">
        <is>
          <t>avverkningsanmälan</t>
        </is>
      </c>
      <c r="C29" t="inlineStr">
        <is>
          <t>Föryngringsavverkning</t>
        </is>
      </c>
      <c r="D29" s="1" t="n">
        <v>46044</v>
      </c>
      <c r="E29" s="1" t="n">
        <v>46313</v>
      </c>
      <c r="F29" t="inlineStr">
        <is>
          <t>UPPSALA LÄN</t>
        </is>
      </c>
      <c r="G29" t="inlineStr">
        <is>
          <t>ÄLVKARLEBY</t>
        </is>
      </c>
      <c r="H29" t="inlineStr">
        <is>
          <t>Bergvik skog öst AB</t>
        </is>
      </c>
      <c r="I29" t="n">
        <v>12.2</v>
      </c>
      <c r="J29" t="n">
        <v>2</v>
      </c>
      <c r="K29" t="n">
        <v>1</v>
      </c>
      <c r="L29" t="n">
        <v>0</v>
      </c>
      <c r="M29" t="n">
        <v>1</v>
      </c>
      <c r="N29" t="n">
        <v>0</v>
      </c>
      <c r="O29" t="n">
        <v>0</v>
      </c>
      <c r="P29" t="n">
        <v>0</v>
      </c>
      <c r="Q29" t="n">
        <v>1</v>
      </c>
      <c r="R29" t="n">
        <v>1</v>
      </c>
      <c r="S29" t="n">
        <v>2</v>
      </c>
      <c r="T29" t="n">
        <v>2</v>
      </c>
      <c r="U29" t="n">
        <v>0</v>
      </c>
      <c r="V29" s="2" t="inlineStr">
        <is>
          <t>Bredgentiana
Nästrot</t>
        </is>
      </c>
      <c r="W29">
        <f>HYPERLINK("https://klasma.github.io/Logging_0319/artfynd/A 4132-2026 artfynd.xlsx", "A 4132-2026")</f>
        <v/>
      </c>
      <c r="X29">
        <f>HYPERLINK("https://klasma.github.io/Logging_0319/kartor/A 4132-2026 karta.png", "A 4132-2026")</f>
        <v/>
      </c>
      <c r="Y29">
        <f>HYPERLINK("https://klasma.github.io/Logging_0319/kartor_geotiff/A 4132-2026 georefererad karta.tif", "A 4132-2026")</f>
        <v/>
      </c>
      <c r="AA29">
        <f>HYPERLINK("https://klasma.github.io/Logging_0319/klagomål/A 4132-2026 FSC-klagomål.docx", "A 4132-2026")</f>
        <v/>
      </c>
      <c r="AB29">
        <f>HYPERLINK("https://klasma.github.io/Logging_0319/klagomålsmail/A 4132-2026 FSC-klagomål mail.docx", "A 4132-2026")</f>
        <v/>
      </c>
      <c r="AC29">
        <f>HYPERLINK("https://klasma.github.io/Logging_0319/tillsyn/A 4132-2026 tillsynsbegäran.docx", "A 4132-2026")</f>
        <v/>
      </c>
      <c r="AD29">
        <f>HYPERLINK("https://klasma.github.io/Logging_0319/tillsynsmail/A 4132-2026 tillsynsbegäran mail.docx", "A 4132-2026")</f>
        <v/>
      </c>
    </row>
    <row r="30" ht="15" customHeight="1">
      <c r="A30" t="inlineStr">
        <is>
          <t>A 15739-2025</t>
        </is>
      </c>
      <c r="B30" t="inlineStr">
        <is>
          <t>avverkningsanmälan</t>
        </is>
      </c>
      <c r="C30" t="inlineStr">
        <is>
          <t>Föryngringsavverkning</t>
        </is>
      </c>
      <c r="D30" s="1" t="n">
        <v>45748</v>
      </c>
      <c r="E30" s="1" t="n">
        <v>46313</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S 780-2024</t>
        </is>
      </c>
      <c r="B31" t="inlineStr">
        <is>
          <t>samrådsanmälan</t>
        </is>
      </c>
      <c r="C31" t="inlineStr">
        <is>
          <t>Annan skogsbruksåtgärd</t>
        </is>
      </c>
      <c r="D31" s="1" t="n">
        <v>45369</v>
      </c>
      <c r="E31" s="1" t="n">
        <v>46313</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46313</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43285-2023</t>
        </is>
      </c>
      <c r="B33" t="inlineStr">
        <is>
          <t>avverkningsanmälan</t>
        </is>
      </c>
      <c r="C33" t="inlineStr">
        <is>
          <t>Föryngringsavverkning</t>
        </is>
      </c>
      <c r="D33" s="1" t="n">
        <v>45183</v>
      </c>
      <c r="E33" s="1" t="n">
        <v>46313</v>
      </c>
      <c r="F33" t="inlineStr">
        <is>
          <t>UPPSALA LÄN</t>
        </is>
      </c>
      <c r="G33" t="inlineStr">
        <is>
          <t>ÄLVKARLEBY</t>
        </is>
      </c>
      <c r="H33" t="inlineStr">
        <is>
          <t>Bergvik skog väst AB</t>
        </is>
      </c>
      <c r="I33" t="n">
        <v>1.3</v>
      </c>
      <c r="J33" t="n">
        <v>1</v>
      </c>
      <c r="K33" t="n">
        <v>0</v>
      </c>
      <c r="L33" t="n">
        <v>0</v>
      </c>
      <c r="M33" t="n">
        <v>0</v>
      </c>
      <c r="N33" t="n">
        <v>0</v>
      </c>
      <c r="O33" t="n">
        <v>0</v>
      </c>
      <c r="P33" t="n">
        <v>0</v>
      </c>
      <c r="Q33" t="n">
        <v>0</v>
      </c>
      <c r="R33" t="n">
        <v>0</v>
      </c>
      <c r="S33" t="n">
        <v>1</v>
      </c>
      <c r="T33" t="n">
        <v>1</v>
      </c>
      <c r="U33" t="n">
        <v>0</v>
      </c>
      <c r="V33" s="2" t="inlineStr">
        <is>
          <t>Vanlig groda</t>
        </is>
      </c>
      <c r="W33">
        <f>HYPERLINK("https://klasma.github.io/Logging_0319/artfynd/A 43285-2023 artfynd.xlsx", "A 43285-2023")</f>
        <v/>
      </c>
      <c r="X33">
        <f>HYPERLINK("https://klasma.github.io/Logging_0319/kartor/A 43285-2023 karta.png", "A 43285-2023")</f>
        <v/>
      </c>
      <c r="Y33">
        <f>HYPERLINK("https://klasma.github.io/Logging_0319/kartor_geotiff/A 43285-2023 georefererad karta.tif", "A 43285-2023")</f>
        <v/>
      </c>
      <c r="AA33">
        <f>HYPERLINK("https://klasma.github.io/Logging_0319/klagomål/A 43285-2023 FSC-klagomål.docx", "A 43285-2023")</f>
        <v/>
      </c>
      <c r="AB33">
        <f>HYPERLINK("https://klasma.github.io/Logging_0319/klagomålsmail/A 43285-2023 FSC-klagomål mail.docx", "A 43285-2023")</f>
        <v/>
      </c>
      <c r="AC33">
        <f>HYPERLINK("https://klasma.github.io/Logging_0319/tillsyn/A 43285-2023 tillsynsbegäran.docx", "A 43285-2023")</f>
        <v/>
      </c>
      <c r="AD33">
        <f>HYPERLINK("https://klasma.github.io/Logging_0319/tillsynsmail/A 43285-2023 tillsynsbegäran mail.docx", "A 43285-2023")</f>
        <v/>
      </c>
    </row>
    <row r="34" ht="15" customHeight="1">
      <c r="A34" t="inlineStr">
        <is>
          <t>A 70017-2021</t>
        </is>
      </c>
      <c r="B34" t="inlineStr">
        <is>
          <t>avverkningsanmälan</t>
        </is>
      </c>
      <c r="C34" t="inlineStr">
        <is>
          <t>Föryngringsavverkning</t>
        </is>
      </c>
      <c r="D34" s="1" t="n">
        <v>44533</v>
      </c>
      <c r="E34" s="1" t="n">
        <v>46313</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7286-2023</t>
        </is>
      </c>
      <c r="B35" t="inlineStr">
        <is>
          <t>avverkningsanmälan</t>
        </is>
      </c>
      <c r="C35" t="inlineStr">
        <is>
          <t>Avverkning för annat ändamål</t>
        </is>
      </c>
      <c r="D35" s="1" t="n">
        <v>44970</v>
      </c>
      <c r="E35" s="1" t="n">
        <v>46313</v>
      </c>
      <c r="F35" t="inlineStr">
        <is>
          <t>UPPSALA LÄN</t>
        </is>
      </c>
      <c r="G35" t="inlineStr">
        <is>
          <t>ÄLVKARLEBY</t>
        </is>
      </c>
      <c r="H35" t="inlineStr">
        <is>
          <t>Bergvik skog väst AB</t>
        </is>
      </c>
      <c r="I35" t="n">
        <v>2.5</v>
      </c>
      <c r="J35" t="n">
        <v>0</v>
      </c>
      <c r="K35" t="n">
        <v>1</v>
      </c>
      <c r="L35" t="n">
        <v>0</v>
      </c>
      <c r="M35" t="n">
        <v>0</v>
      </c>
      <c r="N35" t="n">
        <v>0</v>
      </c>
      <c r="O35" t="n">
        <v>0</v>
      </c>
      <c r="P35" t="n">
        <v>0</v>
      </c>
      <c r="Q35" t="n">
        <v>0</v>
      </c>
      <c r="R35" t="n">
        <v>0</v>
      </c>
      <c r="S35" t="n">
        <v>1</v>
      </c>
      <c r="T35" t="n">
        <v>1</v>
      </c>
      <c r="U35" t="n">
        <v>0</v>
      </c>
      <c r="V35" s="2" t="inlineStr">
        <is>
          <t>Grönpyrola</t>
        </is>
      </c>
      <c r="W35">
        <f>HYPERLINK("https://klasma.github.io/Logging_0319/artfynd/A 7286-2023 artfynd.xlsx", "A 7286-2023")</f>
        <v/>
      </c>
      <c r="X35">
        <f>HYPERLINK("https://klasma.github.io/Logging_0319/kartor/A 7286-2023 karta.png", "A 7286-2023")</f>
        <v/>
      </c>
      <c r="Y35">
        <f>HYPERLINK("https://klasma.github.io/Logging_0319/kartor_geotiff/A 7286-2023 georefererad karta.tif", "A 7286-2023")</f>
        <v/>
      </c>
      <c r="AA35">
        <f>HYPERLINK("https://klasma.github.io/Logging_0319/klagomål/A 7286-2023 FSC-klagomål.docx", "A 7286-2023")</f>
        <v/>
      </c>
      <c r="AB35">
        <f>HYPERLINK("https://klasma.github.io/Logging_0319/klagomålsmail/A 7286-2023 FSC-klagomål mail.docx", "A 7286-2023")</f>
        <v/>
      </c>
      <c r="AC35">
        <f>HYPERLINK("https://klasma.github.io/Logging_0319/tillsyn/A 7286-2023 tillsynsbegäran.docx", "A 7286-2023")</f>
        <v/>
      </c>
      <c r="AD35">
        <f>HYPERLINK("https://klasma.github.io/Logging_0319/tillsynsmail/A 7286-2023 tillsynsbegäran mail.docx", "A 7286-2023")</f>
        <v/>
      </c>
    </row>
    <row r="36" ht="15" customHeight="1">
      <c r="A36" t="inlineStr">
        <is>
          <t>A 51238-2025</t>
        </is>
      </c>
      <c r="B36" t="inlineStr">
        <is>
          <t>avverkningsanmälan</t>
        </is>
      </c>
      <c r="C36" t="inlineStr">
        <is>
          <t>Föryngringsavverkning</t>
        </is>
      </c>
      <c r="D36" s="1" t="n">
        <v>45947</v>
      </c>
      <c r="E36" s="1" t="n">
        <v>46313</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46313</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63004-2025</t>
        </is>
      </c>
      <c r="B38" t="inlineStr">
        <is>
          <t>avverkningsanmälan</t>
        </is>
      </c>
      <c r="C38" t="inlineStr">
        <is>
          <t>Föryngringsavverkning</t>
        </is>
      </c>
      <c r="D38" s="1" t="n">
        <v>46009</v>
      </c>
      <c r="E38" s="1" t="n">
        <v>46313</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1673-2026</t>
        </is>
      </c>
      <c r="B39" t="inlineStr">
        <is>
          <t>avverkningsanmälan</t>
        </is>
      </c>
      <c r="C39" t="inlineStr">
        <is>
          <t>Föryngringsavverkning</t>
        </is>
      </c>
      <c r="D39" s="1" t="n">
        <v>46034</v>
      </c>
      <c r="E39" s="1" t="n">
        <v>46313</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46313</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46313</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14127-2026</t>
        </is>
      </c>
      <c r="B42" t="inlineStr">
        <is>
          <t>avverkningsanmälan</t>
        </is>
      </c>
      <c r="C42" t="inlineStr">
        <is>
          <t>Föryngringsavverkning</t>
        </is>
      </c>
      <c r="D42" s="1" t="n">
        <v>46099</v>
      </c>
      <c r="E42" s="1" t="n">
        <v>46313</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19300-2024</t>
        </is>
      </c>
      <c r="B43" t="inlineStr">
        <is>
          <t>avverkningsanmälan</t>
        </is>
      </c>
      <c r="C43" t="inlineStr">
        <is>
          <t>Föryngringsavverkning</t>
        </is>
      </c>
      <c r="D43" s="1" t="n">
        <v>45428</v>
      </c>
      <c r="E43" s="1" t="n">
        <v>46313</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19304-2024</t>
        </is>
      </c>
      <c r="B44" t="inlineStr">
        <is>
          <t>avverkningsanmälan</t>
        </is>
      </c>
      <c r="C44" t="inlineStr">
        <is>
          <t>Föryngringsavverkning</t>
        </is>
      </c>
      <c r="D44" s="1" t="n">
        <v>45428</v>
      </c>
      <c r="E44" s="1" t="n">
        <v>46313</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42379-2026</t>
        </is>
      </c>
      <c r="B45" t="inlineStr">
        <is>
          <t>avverkningsanmälan</t>
        </is>
      </c>
      <c r="C45" t="inlineStr">
        <is>
          <t>Avverkning för att bevara och utveckla /försöksver</t>
        </is>
      </c>
      <c r="D45" s="1" t="n">
        <v>46307</v>
      </c>
      <c r="E45" s="1" t="n">
        <v>46313</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46313</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46313</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46313</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46313</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46313</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46313</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28670-2025</t>
        </is>
      </c>
      <c r="B52" t="inlineStr">
        <is>
          <t>avverkningsanmälan</t>
        </is>
      </c>
      <c r="C52" t="inlineStr">
        <is>
          <t>Föryngringsavverkning</t>
        </is>
      </c>
      <c r="D52" s="1" t="n">
        <v>45819</v>
      </c>
      <c r="E52" s="1" t="n">
        <v>46313</v>
      </c>
      <c r="F52" t="inlineStr">
        <is>
          <t>UPPSALA LÄN</t>
        </is>
      </c>
      <c r="G52" t="inlineStr">
        <is>
          <t>ÄLVKARLEBY</t>
        </is>
      </c>
      <c r="H52" t="inlineStr">
        <is>
          <t>Bergvik skog väst AB</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46510-2025</t>
        </is>
      </c>
      <c r="B53" t="inlineStr">
        <is>
          <t>avverkningsanmälan</t>
        </is>
      </c>
      <c r="C53" t="inlineStr">
        <is>
          <t>Föryngringsavverkning</t>
        </is>
      </c>
      <c r="D53" s="1" t="n">
        <v>45925</v>
      </c>
      <c r="E53" s="1" t="n">
        <v>46313</v>
      </c>
      <c r="F53" t="inlineStr">
        <is>
          <t>UPPSALA LÄN</t>
        </is>
      </c>
      <c r="G53" t="inlineStr">
        <is>
          <t>ÄLVKARLEBY</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14590-2023</t>
        </is>
      </c>
      <c r="B54" t="inlineStr">
        <is>
          <t>avverkningsanmälan</t>
        </is>
      </c>
      <c r="C54" t="inlineStr">
        <is>
          <t>Föryngringsavverkning</t>
        </is>
      </c>
      <c r="D54" s="1" t="n">
        <v>45013</v>
      </c>
      <c r="E54" s="1" t="n">
        <v>46313</v>
      </c>
      <c r="F54" t="inlineStr">
        <is>
          <t>UPPSALA LÄN</t>
        </is>
      </c>
      <c r="G54" t="inlineStr">
        <is>
          <t>ÄLVKARLEBY</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50398-2025</t>
        </is>
      </c>
      <c r="B55" t="inlineStr">
        <is>
          <t>avverkningsanmälan</t>
        </is>
      </c>
      <c r="C55" t="inlineStr">
        <is>
          <t>Avverkning för att bevara och utveckla /försöksver</t>
        </is>
      </c>
      <c r="D55" s="1" t="n">
        <v>45944</v>
      </c>
      <c r="E55" s="1" t="n">
        <v>46313</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50371-2025</t>
        </is>
      </c>
      <c r="B56" t="inlineStr">
        <is>
          <t>avverkningsanmälan</t>
        </is>
      </c>
      <c r="C56" t="inlineStr">
        <is>
          <t>Föryngringsavverkning</t>
        </is>
      </c>
      <c r="D56" s="1" t="n">
        <v>45944</v>
      </c>
      <c r="E56" s="1" t="n">
        <v>46313</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51237-2025</t>
        </is>
      </c>
      <c r="B57" t="inlineStr">
        <is>
          <t>avverkningsanmälan</t>
        </is>
      </c>
      <c r="C57" t="inlineStr">
        <is>
          <t>Föryngringsavverkning</t>
        </is>
      </c>
      <c r="D57" s="1" t="n">
        <v>45947</v>
      </c>
      <c r="E57" s="1" t="n">
        <v>46313</v>
      </c>
      <c r="F57" t="inlineStr">
        <is>
          <t>UPPSALA LÄN</t>
        </is>
      </c>
      <c r="G57" t="inlineStr">
        <is>
          <t>ÄLVKARLEBY</t>
        </is>
      </c>
      <c r="H57" t="inlineStr">
        <is>
          <t>Bergvik skog väst AB</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52477-2025</t>
        </is>
      </c>
      <c r="B58" t="inlineStr">
        <is>
          <t>avverkningsanmälan</t>
        </is>
      </c>
      <c r="C58" t="inlineStr">
        <is>
          <t>Föryngringsavverkning</t>
        </is>
      </c>
      <c r="D58" s="1" t="n">
        <v>45954</v>
      </c>
      <c r="E58" s="1" t="n">
        <v>46313</v>
      </c>
      <c r="F58" t="inlineStr">
        <is>
          <t>UPPSALA LÄN</t>
        </is>
      </c>
      <c r="G58" t="inlineStr">
        <is>
          <t>ÄLVKARLEBY</t>
        </is>
      </c>
      <c r="H58" t="inlineStr">
        <is>
          <t>Bergvik skog väst AB</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52498-2025</t>
        </is>
      </c>
      <c r="B59" t="inlineStr">
        <is>
          <t>avverkningsanmälan</t>
        </is>
      </c>
      <c r="C59" t="inlineStr">
        <is>
          <t>Föryngringsavverkning</t>
        </is>
      </c>
      <c r="D59" s="1" t="n">
        <v>45954</v>
      </c>
      <c r="E59" s="1" t="n">
        <v>46313</v>
      </c>
      <c r="F59" t="inlineStr">
        <is>
          <t>UPPSALA LÄN</t>
        </is>
      </c>
      <c r="G59" t="inlineStr">
        <is>
          <t>ÄLVKARLEBY</t>
        </is>
      </c>
      <c r="H59" t="inlineStr">
        <is>
          <t>Bergvik skog väst AB</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53184-2025</t>
        </is>
      </c>
      <c r="B60" t="inlineStr">
        <is>
          <t>avverkningsanmälan</t>
        </is>
      </c>
      <c r="C60" t="inlineStr">
        <is>
          <t>Föryngringsavverkning</t>
        </is>
      </c>
      <c r="D60" s="1" t="n">
        <v>45958</v>
      </c>
      <c r="E60" s="1" t="n">
        <v>46313</v>
      </c>
      <c r="F60" t="inlineStr">
        <is>
          <t>UPPSALA LÄN</t>
        </is>
      </c>
      <c r="G60" t="inlineStr">
        <is>
          <t>ÄLVKARLEBY</t>
        </is>
      </c>
      <c r="H60" t="inlineStr">
        <is>
          <t>Bergvik skog väst AB</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53173-2025</t>
        </is>
      </c>
      <c r="B61" t="inlineStr">
        <is>
          <t>avverkningsanmälan</t>
        </is>
      </c>
      <c r="C61" t="inlineStr">
        <is>
          <t>Föryngringsavverkning</t>
        </is>
      </c>
      <c r="D61" s="1" t="n">
        <v>45958</v>
      </c>
      <c r="E61" s="1" t="n">
        <v>46313</v>
      </c>
      <c r="F61" t="inlineStr">
        <is>
          <t>UPPSALA LÄN</t>
        </is>
      </c>
      <c r="G61" t="inlineStr">
        <is>
          <t>ÄLVKARLEBY</t>
        </is>
      </c>
      <c r="H61" t="inlineStr">
        <is>
          <t>Bergvik skog väst AB</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56861-2025</t>
        </is>
      </c>
      <c r="B62" t="inlineStr">
        <is>
          <t>avverkningsanmälan</t>
        </is>
      </c>
      <c r="C62" t="inlineStr">
        <is>
          <t>Avverkning för att bevara och utveckla /försöksver</t>
        </is>
      </c>
      <c r="D62" s="1" t="n">
        <v>45978</v>
      </c>
      <c r="E62" s="1" t="n">
        <v>46313</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36216-2022</t>
        </is>
      </c>
      <c r="B63" t="inlineStr">
        <is>
          <t>avverkningsanmälan</t>
        </is>
      </c>
      <c r="C63" t="inlineStr">
        <is>
          <t>Avverkning för annat ändamål</t>
        </is>
      </c>
      <c r="D63" s="1" t="n">
        <v>44803</v>
      </c>
      <c r="E63" s="1" t="n">
        <v>46313</v>
      </c>
      <c r="F63" t="inlineStr">
        <is>
          <t>UPPSALA LÄN</t>
        </is>
      </c>
      <c r="G63" t="inlineStr">
        <is>
          <t>ÄLVKARLEBY</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58168-2025</t>
        </is>
      </c>
      <c r="B64" t="inlineStr">
        <is>
          <t>avverkningsanmälan</t>
        </is>
      </c>
      <c r="C64" t="inlineStr">
        <is>
          <t>Föryngringsavverkning</t>
        </is>
      </c>
      <c r="D64" s="1" t="n">
        <v>45982</v>
      </c>
      <c r="E64" s="1" t="n">
        <v>46313</v>
      </c>
      <c r="F64" t="inlineStr">
        <is>
          <t>UPPSALA LÄN</t>
        </is>
      </c>
      <c r="G64" t="inlineStr">
        <is>
          <t>ÄLVKARLEBY</t>
        </is>
      </c>
      <c r="H64" t="inlineStr">
        <is>
          <t>Bergvik skog väst AB</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60256-2025</t>
        </is>
      </c>
      <c r="B65" t="inlineStr">
        <is>
          <t>avverkningsanmälan</t>
        </is>
      </c>
      <c r="C65" t="inlineStr">
        <is>
          <t>Föryngringsavverkning</t>
        </is>
      </c>
      <c r="D65" s="1" t="n">
        <v>45994</v>
      </c>
      <c r="E65" s="1" t="n">
        <v>46313</v>
      </c>
      <c r="F65" t="inlineStr">
        <is>
          <t>UPPSALA LÄN</t>
        </is>
      </c>
      <c r="G65" t="inlineStr">
        <is>
          <t>ÄLVKARLEBY</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60842-2025</t>
        </is>
      </c>
      <c r="B66" t="inlineStr">
        <is>
          <t>avverkningsanmälan</t>
        </is>
      </c>
      <c r="C66" t="inlineStr">
        <is>
          <t>Avverkning för att bevara och utveckla /försöksver</t>
        </is>
      </c>
      <c r="D66" s="1" t="n">
        <v>45999</v>
      </c>
      <c r="E66" s="1" t="n">
        <v>46313</v>
      </c>
      <c r="F66" t="inlineStr">
        <is>
          <t>UPPSALA LÄN</t>
        </is>
      </c>
      <c r="G66" t="inlineStr">
        <is>
          <t>ÄLVKARLEBY</t>
        </is>
      </c>
      <c r="H66" t="inlineStr">
        <is>
          <t>Bergvik skog väst AB</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61694-2025</t>
        </is>
      </c>
      <c r="B67" t="inlineStr">
        <is>
          <t>avverkningsanmälan</t>
        </is>
      </c>
      <c r="C67" t="inlineStr">
        <is>
          <t>Föryngringsavverkning</t>
        </is>
      </c>
      <c r="D67" s="1" t="n">
        <v>46002</v>
      </c>
      <c r="E67" s="1" t="n">
        <v>46313</v>
      </c>
      <c r="F67" t="inlineStr">
        <is>
          <t>UPPSALA LÄN</t>
        </is>
      </c>
      <c r="G67" t="inlineStr">
        <is>
          <t>ÄLVKARLEBY</t>
        </is>
      </c>
      <c r="H67" t="inlineStr">
        <is>
          <t>Bergvik skog öst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61691-2025</t>
        </is>
      </c>
      <c r="B68" t="inlineStr">
        <is>
          <t>avverkningsanmälan</t>
        </is>
      </c>
      <c r="C68" t="inlineStr">
        <is>
          <t>Föryngringsavverkning</t>
        </is>
      </c>
      <c r="D68" s="1" t="n">
        <v>46002</v>
      </c>
      <c r="E68" s="1" t="n">
        <v>46313</v>
      </c>
      <c r="F68" t="inlineStr">
        <is>
          <t>UPPSALA LÄN</t>
        </is>
      </c>
      <c r="G68" t="inlineStr">
        <is>
          <t>ÄLVKARLEBY</t>
        </is>
      </c>
      <c r="H68" t="inlineStr">
        <is>
          <t>Bergvik skog öst AB</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63365-2025</t>
        </is>
      </c>
      <c r="B69" t="inlineStr">
        <is>
          <t>avverkningsanmälan</t>
        </is>
      </c>
      <c r="C69" t="inlineStr">
        <is>
          <t>Föryngringsavverkning</t>
        </is>
      </c>
      <c r="D69" s="1" t="n">
        <v>46010</v>
      </c>
      <c r="E69" s="1" t="n">
        <v>46313</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46313</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61839-2025</t>
        </is>
      </c>
      <c r="B71" t="inlineStr">
        <is>
          <t>avverkningsanmälan</t>
        </is>
      </c>
      <c r="C71" t="inlineStr">
        <is>
          <t>Föryngringsavverkning</t>
        </is>
      </c>
      <c r="D71" s="1" t="n">
        <v>46003</v>
      </c>
      <c r="E71" s="1" t="n">
        <v>46313</v>
      </c>
      <c r="F71" t="inlineStr">
        <is>
          <t>UPPSALA LÄN</t>
        </is>
      </c>
      <c r="G71" t="inlineStr">
        <is>
          <t>ÄLVKARLEBY</t>
        </is>
      </c>
      <c r="H71" t="inlineStr">
        <is>
          <t>Bergvik skog väst AB</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9394-2026</t>
        </is>
      </c>
      <c r="B72" t="inlineStr">
        <is>
          <t>avverkningsanmälan</t>
        </is>
      </c>
      <c r="C72" t="inlineStr">
        <is>
          <t>Föryngringsavverkning</t>
        </is>
      </c>
      <c r="D72" s="1" t="n">
        <v>46071</v>
      </c>
      <c r="E72" s="1" t="n">
        <v>46313</v>
      </c>
      <c r="F72" t="inlineStr">
        <is>
          <t>UPPSALA LÄN</t>
        </is>
      </c>
      <c r="G72" t="inlineStr">
        <is>
          <t>ÄLVKARLEBY</t>
        </is>
      </c>
      <c r="H72" t="inlineStr">
        <is>
          <t>Bergvik skog väst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38226-2023</t>
        </is>
      </c>
      <c r="B73" t="inlineStr">
        <is>
          <t>avverkningsanmälan</t>
        </is>
      </c>
      <c r="C73" t="inlineStr">
        <is>
          <t>Föryngringsavverkning</t>
        </is>
      </c>
      <c r="D73" s="1" t="n">
        <v>45161</v>
      </c>
      <c r="E73" s="1" t="n">
        <v>46313</v>
      </c>
      <c r="F73" t="inlineStr">
        <is>
          <t>UPPSALA LÄN</t>
        </is>
      </c>
      <c r="G73" t="inlineStr">
        <is>
          <t>ÄLVKARLEBY</t>
        </is>
      </c>
      <c r="H73" t="inlineStr">
        <is>
          <t>Bergvik skog väst AB</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11467-2026</t>
        </is>
      </c>
      <c r="B74" t="inlineStr">
        <is>
          <t>avverkningsanmälan</t>
        </is>
      </c>
      <c r="C74" t="inlineStr">
        <is>
          <t>Föryngringsavverkning</t>
        </is>
      </c>
      <c r="D74" s="1" t="n">
        <v>46083</v>
      </c>
      <c r="E74" s="1" t="n">
        <v>46313</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11848-2026</t>
        </is>
      </c>
      <c r="B75" t="inlineStr">
        <is>
          <t>avverkningsanmälan</t>
        </is>
      </c>
      <c r="C75" t="inlineStr">
        <is>
          <t>Föryngringsavverkning</t>
        </is>
      </c>
      <c r="D75" s="1" t="n">
        <v>46085</v>
      </c>
      <c r="E75" s="1" t="n">
        <v>46313</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14091-2026</t>
        </is>
      </c>
      <c r="B76" t="inlineStr">
        <is>
          <t>avverkningsanmälan</t>
        </is>
      </c>
      <c r="C76" t="inlineStr">
        <is>
          <t>Föryngringsavverkning</t>
        </is>
      </c>
      <c r="D76" s="1" t="n">
        <v>46099</v>
      </c>
      <c r="E76" s="1" t="n">
        <v>46313</v>
      </c>
      <c r="F76" t="inlineStr">
        <is>
          <t>UPPSALA LÄN</t>
        </is>
      </c>
      <c r="G76" t="inlineStr">
        <is>
          <t>ÄLVKARLEBY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45372-2024</t>
        </is>
      </c>
      <c r="B77" t="inlineStr">
        <is>
          <t>avverkningsanmälan</t>
        </is>
      </c>
      <c r="C77" t="inlineStr">
        <is>
          <t>Föryngringsavverkning</t>
        </is>
      </c>
      <c r="D77" s="1" t="n">
        <v>45576</v>
      </c>
      <c r="E77" s="1" t="n">
        <v>46313</v>
      </c>
      <c r="F77" t="inlineStr">
        <is>
          <t>UPPSALA LÄN</t>
        </is>
      </c>
      <c r="G77" t="inlineStr">
        <is>
          <t>ÄLVKARLEBY</t>
        </is>
      </c>
      <c r="H77" t="inlineStr">
        <is>
          <t>Bergvik skog väst AB</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17851-2026</t>
        </is>
      </c>
      <c r="B78" t="inlineStr">
        <is>
          <t>avverkningsanmälan</t>
        </is>
      </c>
      <c r="C78" t="inlineStr">
        <is>
          <t>Föryngringsavverkning</t>
        </is>
      </c>
      <c r="D78" s="1" t="n">
        <v>46122</v>
      </c>
      <c r="E78" s="1" t="n">
        <v>46313</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41929-2024</t>
        </is>
      </c>
      <c r="B79" t="inlineStr">
        <is>
          <t>avverkningsanmälan</t>
        </is>
      </c>
      <c r="C79" t="inlineStr">
        <is>
          <t>Föryngringsavverkning</t>
        </is>
      </c>
      <c r="D79" s="1" t="n">
        <v>45561</v>
      </c>
      <c r="E79" s="1" t="n">
        <v>46313</v>
      </c>
      <c r="F79" t="inlineStr">
        <is>
          <t>UPPSALA LÄN</t>
        </is>
      </c>
      <c r="G79" t="inlineStr">
        <is>
          <t>ÄLVKARLEBY</t>
        </is>
      </c>
      <c r="H79" t="inlineStr">
        <is>
          <t>Bergvik skog väst AB</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46313</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26815-2022</t>
        </is>
      </c>
      <c r="B81" t="inlineStr">
        <is>
          <t>avverkningsanmälan</t>
        </is>
      </c>
      <c r="C81" t="inlineStr">
        <is>
          <t>Föryngringsavverkning</t>
        </is>
      </c>
      <c r="D81" s="1" t="n">
        <v>44740</v>
      </c>
      <c r="E81" s="1" t="n">
        <v>46313</v>
      </c>
      <c r="F81" t="inlineStr">
        <is>
          <t>UPPSALA LÄN</t>
        </is>
      </c>
      <c r="G81" t="inlineStr">
        <is>
          <t>ÄLVKARLEBY</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38636-2026</t>
        </is>
      </c>
      <c r="B82" t="inlineStr">
        <is>
          <t>avverkningsanmälan</t>
        </is>
      </c>
      <c r="C82" t="inlineStr">
        <is>
          <t>Föryngringsavverkning</t>
        </is>
      </c>
      <c r="D82" s="1" t="n">
        <v>46283</v>
      </c>
      <c r="E82" s="1" t="n">
        <v>46313</v>
      </c>
      <c r="F82" t="inlineStr">
        <is>
          <t>UPPSALA LÄN</t>
        </is>
      </c>
      <c r="G82" t="inlineStr">
        <is>
          <t>ÄLVKARLEBY</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41272-2023</t>
        </is>
      </c>
      <c r="B83" t="inlineStr">
        <is>
          <t>avverkningsanmälan</t>
        </is>
      </c>
      <c r="C83" t="inlineStr">
        <is>
          <t>Föryngringsavverkning</t>
        </is>
      </c>
      <c r="D83" s="1" t="n">
        <v>45174</v>
      </c>
      <c r="E83" s="1" t="n">
        <v>46313</v>
      </c>
      <c r="F83" t="inlineStr">
        <is>
          <t>UPPSALA LÄN</t>
        </is>
      </c>
      <c r="G83" t="inlineStr">
        <is>
          <t>ÄLVKARLEBY</t>
        </is>
      </c>
      <c r="H83" t="inlineStr">
        <is>
          <t>Bergvik skog väst AB</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40057-2026</t>
        </is>
      </c>
      <c r="B84" t="inlineStr">
        <is>
          <t>avverkningsanmälan</t>
        </is>
      </c>
      <c r="C84" t="inlineStr">
        <is>
          <t>Föryngringsavverkning</t>
        </is>
      </c>
      <c r="D84" s="1" t="n">
        <v>46293</v>
      </c>
      <c r="E84" s="1" t="n">
        <v>46313</v>
      </c>
      <c r="F84" t="inlineStr">
        <is>
          <t>UPPSALA LÄN</t>
        </is>
      </c>
      <c r="G84" t="inlineStr">
        <is>
          <t>ÄLVKARLEBY</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38617-2026</t>
        </is>
      </c>
      <c r="B85" t="inlineStr">
        <is>
          <t>avverkningsanmälan</t>
        </is>
      </c>
      <c r="C85" t="inlineStr">
        <is>
          <t>Föryngringsavverkning</t>
        </is>
      </c>
      <c r="D85" s="1" t="n">
        <v>46283</v>
      </c>
      <c r="E85" s="1" t="n">
        <v>46313</v>
      </c>
      <c r="F85" t="inlineStr">
        <is>
          <t>UPPSALA LÄN</t>
        </is>
      </c>
      <c r="G85" t="inlineStr">
        <is>
          <t>ÄLVKARLEBY</t>
        </is>
      </c>
      <c r="H85" t="inlineStr">
        <is>
          <t>Bergvik skog väst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46313</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45033-2025</t>
        </is>
      </c>
      <c r="B87" t="inlineStr">
        <is>
          <t>avverkningsanmälan</t>
        </is>
      </c>
      <c r="C87" t="inlineStr">
        <is>
          <t>Föryngringsavverkning</t>
        </is>
      </c>
      <c r="D87" s="1" t="n">
        <v>45918</v>
      </c>
      <c r="E87" s="1" t="n">
        <v>46313</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46313</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46313</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46313</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46313</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46313</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46313</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2026-10-18T08:04:11Z</dcterms:created>
  <dcterms:modified xmlns:dcterms="http://purl.org/dc/terms/" xmlns:xsi="http://www.w3.org/2001/XMLSchema-instance" xsi:type="dcterms:W3CDTF">2026-10-18T08:04:11Z</dcterms:modified>
</cp:coreProperties>
</file>