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46160</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46160</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46160</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46160</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46160</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46160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46160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46160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46160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62278-2025</t>
        </is>
      </c>
      <c r="B13" s="1" t="n">
        <v>46006.63202546296</v>
      </c>
      <c r="C13" s="1" t="n">
        <v>46160</v>
      </c>
      <c r="D13" t="inlineStr">
        <is>
          <t>UPPSALA LÄN</t>
        </is>
      </c>
      <c r="E13" t="inlineStr">
        <is>
          <t>ÄLVKARLEBY</t>
        </is>
      </c>
      <c r="F13" t="inlineStr">
        <is>
          <t>Bergvik skog väst AB</t>
        </is>
      </c>
      <c r="G13" t="n">
        <v>6.3</v>
      </c>
      <c r="H13" t="n">
        <v>2</v>
      </c>
      <c r="I13" t="n">
        <v>0</v>
      </c>
      <c r="J13" t="n">
        <v>1</v>
      </c>
      <c r="K13" t="n">
        <v>1</v>
      </c>
      <c r="L13" t="n">
        <v>1</v>
      </c>
      <c r="M13" t="n">
        <v>0</v>
      </c>
      <c r="N13" t="n">
        <v>0</v>
      </c>
      <c r="O13" t="n">
        <v>3</v>
      </c>
      <c r="P13" t="n">
        <v>2</v>
      </c>
      <c r="Q13" t="n">
        <v>3</v>
      </c>
      <c r="R13" s="2" t="inlineStr">
        <is>
          <t>Mosippa
Knärot
Rökfingersvamp</t>
        </is>
      </c>
      <c r="S13">
        <f>HYPERLINK("https://klasma.github.io/Logging_0319/artfynd/A 62278-2025 artfynd.xlsx", "A 62278-2025")</f>
        <v/>
      </c>
      <c r="T13">
        <f>HYPERLINK("https://klasma.github.io/Logging_0319/kartor/A 62278-2025 karta.png", "A 62278-2025")</f>
        <v/>
      </c>
      <c r="U13">
        <f>HYPERLINK("https://klasma.github.io/Logging_0319/knärot/A 62278-2025 karta knärot.png", "A 62278-2025")</f>
        <v/>
      </c>
      <c r="V13">
        <f>HYPERLINK("https://klasma.github.io/Logging_0319/klagomål/A 62278-2025 FSC-klagomål.docx", "A 62278-2025")</f>
        <v/>
      </c>
      <c r="W13">
        <f>HYPERLINK("https://klasma.github.io/Logging_0319/klagomålsmail/A 62278-2025 FSC-klagomål mail.docx", "A 62278-2025")</f>
        <v/>
      </c>
      <c r="X13">
        <f>HYPERLINK("https://klasma.github.io/Logging_0319/tillsyn/A 62278-2025 tillsynsbegäran.docx", "A 62278-2025")</f>
        <v/>
      </c>
      <c r="Y13">
        <f>HYPERLINK("https://klasma.github.io/Logging_0319/tillsynsmail/A 62278-2025 tillsynsbegäran mail.docx", "A 62278-2025")</f>
        <v/>
      </c>
    </row>
    <row r="14" ht="15" customHeight="1">
      <c r="A14" t="inlineStr">
        <is>
          <t>A 58480-2025</t>
        </is>
      </c>
      <c r="B14" s="1" t="n">
        <v>45985.64805555555</v>
      </c>
      <c r="C14" s="1" t="n">
        <v>46160</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46160</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61693-2025</t>
        </is>
      </c>
      <c r="B16" s="1" t="n">
        <v>46002</v>
      </c>
      <c r="C16" s="1" t="n">
        <v>46160</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70017-2021</t>
        </is>
      </c>
      <c r="B17" s="1" t="n">
        <v>44533</v>
      </c>
      <c r="C17" s="1" t="n">
        <v>46160</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21007-2025</t>
        </is>
      </c>
      <c r="B18" s="1" t="n">
        <v>45777</v>
      </c>
      <c r="C18" s="1" t="n">
        <v>46160</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39902-2025</t>
        </is>
      </c>
      <c r="B20" s="1" t="n">
        <v>45891.63597222222</v>
      </c>
      <c r="C20" s="1" t="n">
        <v>46160</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4132-2026</t>
        </is>
      </c>
      <c r="B21" s="1" t="n">
        <v>46044.62596064815</v>
      </c>
      <c r="C21" s="1" t="n">
        <v>46160</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19300-2024</t>
        </is>
      </c>
      <c r="B22" s="1" t="n">
        <v>45428.70128472222</v>
      </c>
      <c r="C22" s="1" t="n">
        <v>46160</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46160</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46160</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21700-2024</t>
        </is>
      </c>
      <c r="B25" s="1" t="n">
        <v>45442</v>
      </c>
      <c r="C25" s="1" t="n">
        <v>46160</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46160</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45993.56505787037</v>
      </c>
      <c r="C27" s="1" t="n">
        <v>46160</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46160</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46160</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46160</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46160</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46160</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61839-2025</t>
        </is>
      </c>
      <c r="B33" s="1" t="n">
        <v>46003.35768518518</v>
      </c>
      <c r="C33" s="1" t="n">
        <v>46160</v>
      </c>
      <c r="D33" t="inlineStr">
        <is>
          <t>UPPSALA LÄN</t>
        </is>
      </c>
      <c r="E33" t="inlineStr">
        <is>
          <t>ÄLVKARLEBY</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46160</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46160</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24591-2025</t>
        </is>
      </c>
      <c r="B36" s="1" t="n">
        <v>45798.53666666667</v>
      </c>
      <c r="C36" s="1" t="n">
        <v>46160</v>
      </c>
      <c r="D36" t="inlineStr">
        <is>
          <t>UPPSALA LÄN</t>
        </is>
      </c>
      <c r="E36" t="inlineStr">
        <is>
          <t>ÄLVKARLEBY</t>
        </is>
      </c>
      <c r="F36" t="inlineStr">
        <is>
          <t>Bergvik skog väst AB</t>
        </is>
      </c>
      <c r="G36" t="n">
        <v>1.7</v>
      </c>
      <c r="H36" t="n">
        <v>0</v>
      </c>
      <c r="I36" t="n">
        <v>0</v>
      </c>
      <c r="J36" t="n">
        <v>0</v>
      </c>
      <c r="K36" t="n">
        <v>0</v>
      </c>
      <c r="L36" t="n">
        <v>0</v>
      </c>
      <c r="M36" t="n">
        <v>0</v>
      </c>
      <c r="N36" t="n">
        <v>0</v>
      </c>
      <c r="O36" t="n">
        <v>0</v>
      </c>
      <c r="P36" t="n">
        <v>0</v>
      </c>
      <c r="Q36" t="n">
        <v>0</v>
      </c>
      <c r="R36" s="2" t="inlineStr"/>
    </row>
    <row r="37" ht="15" customHeight="1">
      <c r="A37" t="inlineStr">
        <is>
          <t>A 25330-2025</t>
        </is>
      </c>
      <c r="B37" s="1" t="n">
        <v>45800.59114583334</v>
      </c>
      <c r="C37" s="1" t="n">
        <v>46160</v>
      </c>
      <c r="D37" t="inlineStr">
        <is>
          <t>UPPSALA LÄN</t>
        </is>
      </c>
      <c r="E37" t="inlineStr">
        <is>
          <t>ÄLVKARLEBY</t>
        </is>
      </c>
      <c r="F37" t="inlineStr">
        <is>
          <t>Bergvik skog väst AB</t>
        </is>
      </c>
      <c r="G37" t="n">
        <v>5</v>
      </c>
      <c r="H37" t="n">
        <v>0</v>
      </c>
      <c r="I37" t="n">
        <v>0</v>
      </c>
      <c r="J37" t="n">
        <v>0</v>
      </c>
      <c r="K37" t="n">
        <v>0</v>
      </c>
      <c r="L37" t="n">
        <v>0</v>
      </c>
      <c r="M37" t="n">
        <v>0</v>
      </c>
      <c r="N37" t="n">
        <v>0</v>
      </c>
      <c r="O37" t="n">
        <v>0</v>
      </c>
      <c r="P37" t="n">
        <v>0</v>
      </c>
      <c r="Q37" t="n">
        <v>0</v>
      </c>
      <c r="R37" s="2" t="inlineStr"/>
    </row>
    <row r="38" ht="15" customHeight="1">
      <c r="A38" t="inlineStr">
        <is>
          <t>A 25264-2025</t>
        </is>
      </c>
      <c r="B38" s="1" t="n">
        <v>45800.5334375</v>
      </c>
      <c r="C38" s="1" t="n">
        <v>46160</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46160</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46160</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26670-2025</t>
        </is>
      </c>
      <c r="B41" s="1" t="n">
        <v>45810.41489583333</v>
      </c>
      <c r="C41" s="1" t="n">
        <v>46160</v>
      </c>
      <c r="D41" t="inlineStr">
        <is>
          <t>UPPSALA LÄN</t>
        </is>
      </c>
      <c r="E41" t="inlineStr">
        <is>
          <t>ÄLVKARLEBY</t>
        </is>
      </c>
      <c r="F41" t="inlineStr">
        <is>
          <t>Bergvik skog väst AB</t>
        </is>
      </c>
      <c r="G41" t="n">
        <v>1.1</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46160</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46160</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46160</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27742-2025</t>
        </is>
      </c>
      <c r="B45" s="1" t="n">
        <v>45815.53724537037</v>
      </c>
      <c r="C45" s="1" t="n">
        <v>46160</v>
      </c>
      <c r="D45" t="inlineStr">
        <is>
          <t>UPPSALA LÄN</t>
        </is>
      </c>
      <c r="E45" t="inlineStr">
        <is>
          <t>ÄLVKARLEBY</t>
        </is>
      </c>
      <c r="F45" t="inlineStr">
        <is>
          <t>Bergvik skog väst AB</t>
        </is>
      </c>
      <c r="G45" t="n">
        <v>1.4</v>
      </c>
      <c r="H45" t="n">
        <v>0</v>
      </c>
      <c r="I45" t="n">
        <v>0</v>
      </c>
      <c r="J45" t="n">
        <v>0</v>
      </c>
      <c r="K45" t="n">
        <v>0</v>
      </c>
      <c r="L45" t="n">
        <v>0</v>
      </c>
      <c r="M45" t="n">
        <v>0</v>
      </c>
      <c r="N45" t="n">
        <v>0</v>
      </c>
      <c r="O45" t="n">
        <v>0</v>
      </c>
      <c r="P45" t="n">
        <v>0</v>
      </c>
      <c r="Q45" t="n">
        <v>0</v>
      </c>
      <c r="R45" s="2" t="inlineStr"/>
    </row>
    <row r="46" ht="15" customHeight="1">
      <c r="A46" t="inlineStr">
        <is>
          <t>A 27741-2025</t>
        </is>
      </c>
      <c r="B46" s="1" t="n">
        <v>45815.5346875</v>
      </c>
      <c r="C46" s="1" t="n">
        <v>46160</v>
      </c>
      <c r="D46" t="inlineStr">
        <is>
          <t>UPPSALA LÄN</t>
        </is>
      </c>
      <c r="E46" t="inlineStr">
        <is>
          <t>ÄLVKARLEBY</t>
        </is>
      </c>
      <c r="F46" t="inlineStr">
        <is>
          <t>Bergvik skog väst AB</t>
        </is>
      </c>
      <c r="G46" t="n">
        <v>4.4</v>
      </c>
      <c r="H46" t="n">
        <v>0</v>
      </c>
      <c r="I46" t="n">
        <v>0</v>
      </c>
      <c r="J46" t="n">
        <v>0</v>
      </c>
      <c r="K46" t="n">
        <v>0</v>
      </c>
      <c r="L46" t="n">
        <v>0</v>
      </c>
      <c r="M46" t="n">
        <v>0</v>
      </c>
      <c r="N46" t="n">
        <v>0</v>
      </c>
      <c r="O46" t="n">
        <v>0</v>
      </c>
      <c r="P46" t="n">
        <v>0</v>
      </c>
      <c r="Q46" t="n">
        <v>0</v>
      </c>
      <c r="R46" s="2" t="inlineStr"/>
    </row>
    <row r="47" ht="15" customHeight="1">
      <c r="A47" t="inlineStr">
        <is>
          <t>A 41847-2025</t>
        </is>
      </c>
      <c r="B47" s="1" t="n">
        <v>45902.75265046296</v>
      </c>
      <c r="C47" s="1" t="n">
        <v>46160</v>
      </c>
      <c r="D47" t="inlineStr">
        <is>
          <t>UPPSALA LÄN</t>
        </is>
      </c>
      <c r="E47" t="inlineStr">
        <is>
          <t>ÄLVKARLEBY</t>
        </is>
      </c>
      <c r="F47" t="inlineStr">
        <is>
          <t>Bergvik skog väst AB</t>
        </is>
      </c>
      <c r="G47" t="n">
        <v>3.6</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46160</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28668-2025</t>
        </is>
      </c>
      <c r="B49" s="1" t="n">
        <v>45819.66650462963</v>
      </c>
      <c r="C49" s="1" t="n">
        <v>46160</v>
      </c>
      <c r="D49" t="inlineStr">
        <is>
          <t>UPPSALA LÄN</t>
        </is>
      </c>
      <c r="E49" t="inlineStr">
        <is>
          <t>ÄLVKARLEBY</t>
        </is>
      </c>
      <c r="F49" t="inlineStr">
        <is>
          <t>Bergvik skog väst AB</t>
        </is>
      </c>
      <c r="G49" t="n">
        <v>8.300000000000001</v>
      </c>
      <c r="H49" t="n">
        <v>0</v>
      </c>
      <c r="I49" t="n">
        <v>0</v>
      </c>
      <c r="J49" t="n">
        <v>0</v>
      </c>
      <c r="K49" t="n">
        <v>0</v>
      </c>
      <c r="L49" t="n">
        <v>0</v>
      </c>
      <c r="M49" t="n">
        <v>0</v>
      </c>
      <c r="N49" t="n">
        <v>0</v>
      </c>
      <c r="O49" t="n">
        <v>0</v>
      </c>
      <c r="P49" t="n">
        <v>0</v>
      </c>
      <c r="Q49" t="n">
        <v>0</v>
      </c>
      <c r="R49" s="2" t="inlineStr"/>
    </row>
    <row r="50" ht="15" customHeight="1">
      <c r="A50" t="inlineStr">
        <is>
          <t>A 1673-2026</t>
        </is>
      </c>
      <c r="B50" s="1" t="n">
        <v>46034.56863425926</v>
      </c>
      <c r="C50" s="1" t="n">
        <v>46160</v>
      </c>
      <c r="D50" t="inlineStr">
        <is>
          <t>UPPSALA LÄN</t>
        </is>
      </c>
      <c r="E50" t="inlineStr">
        <is>
          <t>ÄLVKARLEBY</t>
        </is>
      </c>
      <c r="F50" t="inlineStr">
        <is>
          <t>Bergvik skog väst AB</t>
        </is>
      </c>
      <c r="G50" t="n">
        <v>1.9</v>
      </c>
      <c r="H50" t="n">
        <v>0</v>
      </c>
      <c r="I50" t="n">
        <v>0</v>
      </c>
      <c r="J50" t="n">
        <v>0</v>
      </c>
      <c r="K50" t="n">
        <v>0</v>
      </c>
      <c r="L50" t="n">
        <v>0</v>
      </c>
      <c r="M50" t="n">
        <v>0</v>
      </c>
      <c r="N50" t="n">
        <v>0</v>
      </c>
      <c r="O50" t="n">
        <v>0</v>
      </c>
      <c r="P50" t="n">
        <v>0</v>
      </c>
      <c r="Q50" t="n">
        <v>0</v>
      </c>
      <c r="R50" s="2" t="inlineStr"/>
    </row>
    <row r="51" ht="15" customHeight="1">
      <c r="A51" t="inlineStr">
        <is>
          <t>A 45372-2024</t>
        </is>
      </c>
      <c r="B51" s="1" t="n">
        <v>45576.51116898148</v>
      </c>
      <c r="C51" s="1" t="n">
        <v>46160</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43662-2025</t>
        </is>
      </c>
      <c r="B52" s="1" t="n">
        <v>45912.34446759259</v>
      </c>
      <c r="C52" s="1" t="n">
        <v>46160</v>
      </c>
      <c r="D52" t="inlineStr">
        <is>
          <t>UPPSALA LÄN</t>
        </is>
      </c>
      <c r="E52" t="inlineStr">
        <is>
          <t>ÄLVKARLEBY</t>
        </is>
      </c>
      <c r="F52" t="inlineStr">
        <is>
          <t>Kyrkan</t>
        </is>
      </c>
      <c r="G52" t="n">
        <v>4.5</v>
      </c>
      <c r="H52" t="n">
        <v>0</v>
      </c>
      <c r="I52" t="n">
        <v>0</v>
      </c>
      <c r="J52" t="n">
        <v>0</v>
      </c>
      <c r="K52" t="n">
        <v>0</v>
      </c>
      <c r="L52" t="n">
        <v>0</v>
      </c>
      <c r="M52" t="n">
        <v>0</v>
      </c>
      <c r="N52" t="n">
        <v>0</v>
      </c>
      <c r="O52" t="n">
        <v>0</v>
      </c>
      <c r="P52" t="n">
        <v>0</v>
      </c>
      <c r="Q52" t="n">
        <v>0</v>
      </c>
      <c r="R52" s="2" t="inlineStr"/>
    </row>
    <row r="53" ht="15" customHeight="1">
      <c r="A53" t="inlineStr">
        <is>
          <t>A 43577-2025</t>
        </is>
      </c>
      <c r="B53" s="1" t="n">
        <v>45911.64219907407</v>
      </c>
      <c r="C53" s="1" t="n">
        <v>46160</v>
      </c>
      <c r="D53" t="inlineStr">
        <is>
          <t>UPPSALA LÄN</t>
        </is>
      </c>
      <c r="E53" t="inlineStr">
        <is>
          <t>ÄLVKARLEBY</t>
        </is>
      </c>
      <c r="F53" t="inlineStr">
        <is>
          <t>Bergvik skog väst AB</t>
        </is>
      </c>
      <c r="G53" t="n">
        <v>3</v>
      </c>
      <c r="H53" t="n">
        <v>0</v>
      </c>
      <c r="I53" t="n">
        <v>0</v>
      </c>
      <c r="J53" t="n">
        <v>0</v>
      </c>
      <c r="K53" t="n">
        <v>0</v>
      </c>
      <c r="L53" t="n">
        <v>0</v>
      </c>
      <c r="M53" t="n">
        <v>0</v>
      </c>
      <c r="N53" t="n">
        <v>0</v>
      </c>
      <c r="O53" t="n">
        <v>0</v>
      </c>
      <c r="P53" t="n">
        <v>0</v>
      </c>
      <c r="Q53" t="n">
        <v>0</v>
      </c>
      <c r="R53" s="2" t="inlineStr"/>
    </row>
    <row r="54" ht="15" customHeight="1">
      <c r="A54" t="inlineStr">
        <is>
          <t>A 16990-2022</t>
        </is>
      </c>
      <c r="B54" s="1" t="n">
        <v>44676.6122337963</v>
      </c>
      <c r="C54" s="1" t="n">
        <v>46160</v>
      </c>
      <c r="D54" t="inlineStr">
        <is>
          <t>UPPSALA LÄN</t>
        </is>
      </c>
      <c r="E54" t="inlineStr">
        <is>
          <t>ÄLVKARLEBY</t>
        </is>
      </c>
      <c r="F54" t="inlineStr">
        <is>
          <t>Bergvik skog väst AB</t>
        </is>
      </c>
      <c r="G54" t="n">
        <v>2.6</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46160</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46160</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4131-2026</t>
        </is>
      </c>
      <c r="B57" s="1" t="n">
        <v>46044.62451388889</v>
      </c>
      <c r="C57" s="1" t="n">
        <v>46160</v>
      </c>
      <c r="D57" t="inlineStr">
        <is>
          <t>UPPSALA LÄN</t>
        </is>
      </c>
      <c r="E57" t="inlineStr">
        <is>
          <t>ÄLVKARLEBY</t>
        </is>
      </c>
      <c r="F57" t="inlineStr">
        <is>
          <t>Bergvik skog öst AB</t>
        </is>
      </c>
      <c r="G57" t="n">
        <v>2.4</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46160</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46160</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4134-2026</t>
        </is>
      </c>
      <c r="B60" s="1" t="n">
        <v>46044.6280787037</v>
      </c>
      <c r="C60" s="1" t="n">
        <v>46160</v>
      </c>
      <c r="D60" t="inlineStr">
        <is>
          <t>UPPSALA LÄN</t>
        </is>
      </c>
      <c r="E60" t="inlineStr">
        <is>
          <t>ÄLVKARLEBY</t>
        </is>
      </c>
      <c r="F60" t="inlineStr">
        <is>
          <t>Bergvik skog öst AB</t>
        </is>
      </c>
      <c r="G60" t="n">
        <v>5.1</v>
      </c>
      <c r="H60" t="n">
        <v>0</v>
      </c>
      <c r="I60" t="n">
        <v>0</v>
      </c>
      <c r="J60" t="n">
        <v>0</v>
      </c>
      <c r="K60" t="n">
        <v>0</v>
      </c>
      <c r="L60" t="n">
        <v>0</v>
      </c>
      <c r="M60" t="n">
        <v>0</v>
      </c>
      <c r="N60" t="n">
        <v>0</v>
      </c>
      <c r="O60" t="n">
        <v>0</v>
      </c>
      <c r="P60" t="n">
        <v>0</v>
      </c>
      <c r="Q60" t="n">
        <v>0</v>
      </c>
      <c r="R60" s="2" t="inlineStr"/>
    </row>
    <row r="61" ht="15" customHeight="1">
      <c r="A61" t="inlineStr">
        <is>
          <t>A 45512-2025</t>
        </is>
      </c>
      <c r="B61" s="1" t="n">
        <v>45922.58106481482</v>
      </c>
      <c r="C61" s="1" t="n">
        <v>46160</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32221-2025</t>
        </is>
      </c>
      <c r="B62" s="1" t="n">
        <v>45835.5909837963</v>
      </c>
      <c r="C62" s="1" t="n">
        <v>46160</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32203-2025</t>
        </is>
      </c>
      <c r="B63" s="1" t="n">
        <v>45835.57951388889</v>
      </c>
      <c r="C63" s="1" t="n">
        <v>46160</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4133-2026</t>
        </is>
      </c>
      <c r="B64" s="1" t="n">
        <v>46044.626875</v>
      </c>
      <c r="C64" s="1" t="n">
        <v>46160</v>
      </c>
      <c r="D64" t="inlineStr">
        <is>
          <t>UPPSALA LÄN</t>
        </is>
      </c>
      <c r="E64" t="inlineStr">
        <is>
          <t>ÄLVKARLEBY</t>
        </is>
      </c>
      <c r="F64" t="inlineStr">
        <is>
          <t>Bergvik skog öst AB</t>
        </is>
      </c>
      <c r="G64" t="n">
        <v>4.1</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46160</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32187-2025</t>
        </is>
      </c>
      <c r="B66" s="1" t="n">
        <v>45835.56949074074</v>
      </c>
      <c r="C66" s="1" t="n">
        <v>46160</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46510-2025</t>
        </is>
      </c>
      <c r="B67" s="1" t="n">
        <v>45925.92368055556</v>
      </c>
      <c r="C67" s="1" t="n">
        <v>46160</v>
      </c>
      <c r="D67" t="inlineStr">
        <is>
          <t>UPPSALA LÄN</t>
        </is>
      </c>
      <c r="E67" t="inlineStr">
        <is>
          <t>ÄLVKARLEBY</t>
        </is>
      </c>
      <c r="G67" t="n">
        <v>2.3</v>
      </c>
      <c r="H67" t="n">
        <v>0</v>
      </c>
      <c r="I67" t="n">
        <v>0</v>
      </c>
      <c r="J67" t="n">
        <v>0</v>
      </c>
      <c r="K67" t="n">
        <v>0</v>
      </c>
      <c r="L67" t="n">
        <v>0</v>
      </c>
      <c r="M67" t="n">
        <v>0</v>
      </c>
      <c r="N67" t="n">
        <v>0</v>
      </c>
      <c r="O67" t="n">
        <v>0</v>
      </c>
      <c r="P67" t="n">
        <v>0</v>
      </c>
      <c r="Q67" t="n">
        <v>0</v>
      </c>
      <c r="R67" s="2" t="inlineStr"/>
    </row>
    <row r="68" ht="15" customHeight="1">
      <c r="A68" t="inlineStr">
        <is>
          <t>A 32212-2025</t>
        </is>
      </c>
      <c r="B68" s="1" t="n">
        <v>45835.58509259259</v>
      </c>
      <c r="C68" s="1" t="n">
        <v>46160</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46160</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46160</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46160</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46160</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46160</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46160</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46160</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46160</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36626-2025</t>
        </is>
      </c>
      <c r="B77" s="1" t="n">
        <v>45870.66732638889</v>
      </c>
      <c r="C77" s="1" t="n">
        <v>46160</v>
      </c>
      <c r="D77" t="inlineStr">
        <is>
          <t>UPPSALA LÄN</t>
        </is>
      </c>
      <c r="E77" t="inlineStr">
        <is>
          <t>ÄLVKARLEBY</t>
        </is>
      </c>
      <c r="F77" t="inlineStr">
        <is>
          <t>Bergvik skog väst AB</t>
        </is>
      </c>
      <c r="G77" t="n">
        <v>2.7</v>
      </c>
      <c r="H77" t="n">
        <v>0</v>
      </c>
      <c r="I77" t="n">
        <v>0</v>
      </c>
      <c r="J77" t="n">
        <v>0</v>
      </c>
      <c r="K77" t="n">
        <v>0</v>
      </c>
      <c r="L77" t="n">
        <v>0</v>
      </c>
      <c r="M77" t="n">
        <v>0</v>
      </c>
      <c r="N77" t="n">
        <v>0</v>
      </c>
      <c r="O77" t="n">
        <v>0</v>
      </c>
      <c r="P77" t="n">
        <v>0</v>
      </c>
      <c r="Q77" t="n">
        <v>0</v>
      </c>
      <c r="R77" s="2" t="inlineStr"/>
    </row>
    <row r="78" ht="15" customHeight="1">
      <c r="A78" t="inlineStr">
        <is>
          <t>A 52477-2025</t>
        </is>
      </c>
      <c r="B78" s="1" t="n">
        <v>45954.46980324074</v>
      </c>
      <c r="C78" s="1" t="n">
        <v>46160</v>
      </c>
      <c r="D78" t="inlineStr">
        <is>
          <t>UPPSALA LÄN</t>
        </is>
      </c>
      <c r="E78" t="inlineStr">
        <is>
          <t>ÄLVKARLEBY</t>
        </is>
      </c>
      <c r="F78" t="inlineStr">
        <is>
          <t>Bergvik skog väst AB</t>
        </is>
      </c>
      <c r="G78" t="n">
        <v>5.3</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46160</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46160</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53184-2025</t>
        </is>
      </c>
      <c r="B81" s="1" t="n">
        <v>45958</v>
      </c>
      <c r="C81" s="1" t="n">
        <v>46160</v>
      </c>
      <c r="D81" t="inlineStr">
        <is>
          <t>UPPSALA LÄN</t>
        </is>
      </c>
      <c r="E81" t="inlineStr">
        <is>
          <t>ÄLVKARLEBY</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46160</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46160</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46160</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46160</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56861-2025</t>
        </is>
      </c>
      <c r="B86" s="1" t="n">
        <v>45978.50824074074</v>
      </c>
      <c r="C86" s="1" t="n">
        <v>46160</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9394-2026</t>
        </is>
      </c>
      <c r="B87" s="1" t="n">
        <v>46071.36576388889</v>
      </c>
      <c r="C87" s="1" t="n">
        <v>46160</v>
      </c>
      <c r="D87" t="inlineStr">
        <is>
          <t>UPPSALA LÄN</t>
        </is>
      </c>
      <c r="E87" t="inlineStr">
        <is>
          <t>ÄLVKARLEBY</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46160</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57734-2025</t>
        </is>
      </c>
      <c r="B89" s="1" t="n">
        <v>45981.51148148148</v>
      </c>
      <c r="C89" s="1" t="n">
        <v>46160</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58497-2025</t>
        </is>
      </c>
      <c r="B90" s="1" t="n">
        <v>45985.67912037037</v>
      </c>
      <c r="C90" s="1" t="n">
        <v>46160</v>
      </c>
      <c r="D90" t="inlineStr">
        <is>
          <t>UPPSALA LÄN</t>
        </is>
      </c>
      <c r="E90" t="inlineStr">
        <is>
          <t>ÄLVKARLEBY</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19862-2025</t>
        </is>
      </c>
      <c r="B91" s="1" t="n">
        <v>45771.53560185185</v>
      </c>
      <c r="C91" s="1" t="n">
        <v>46160</v>
      </c>
      <c r="D91" t="inlineStr">
        <is>
          <t>UPPSALA LÄN</t>
        </is>
      </c>
      <c r="E91" t="inlineStr">
        <is>
          <t>ÄLVKARLEBY</t>
        </is>
      </c>
      <c r="F91" t="inlineStr">
        <is>
          <t>Kyrkan</t>
        </is>
      </c>
      <c r="G91" t="n">
        <v>3</v>
      </c>
      <c r="H91" t="n">
        <v>0</v>
      </c>
      <c r="I91" t="n">
        <v>0</v>
      </c>
      <c r="J91" t="n">
        <v>0</v>
      </c>
      <c r="K91" t="n">
        <v>0</v>
      </c>
      <c r="L91" t="n">
        <v>0</v>
      </c>
      <c r="M91" t="n">
        <v>0</v>
      </c>
      <c r="N91" t="n">
        <v>0</v>
      </c>
      <c r="O91" t="n">
        <v>0</v>
      </c>
      <c r="P91" t="n">
        <v>0</v>
      </c>
      <c r="Q91" t="n">
        <v>0</v>
      </c>
      <c r="R91" s="2" t="inlineStr"/>
    </row>
    <row r="92" ht="15" customHeight="1">
      <c r="A92" t="inlineStr">
        <is>
          <t>A 60256-2025</t>
        </is>
      </c>
      <c r="B92" s="1" t="n">
        <v>45994.60216435185</v>
      </c>
      <c r="C92" s="1" t="n">
        <v>46160</v>
      </c>
      <c r="D92" t="inlineStr">
        <is>
          <t>UPPSALA LÄN</t>
        </is>
      </c>
      <c r="E92" t="inlineStr">
        <is>
          <t>ÄLVKARLEBY</t>
        </is>
      </c>
      <c r="G92" t="n">
        <v>1</v>
      </c>
      <c r="H92" t="n">
        <v>0</v>
      </c>
      <c r="I92" t="n">
        <v>0</v>
      </c>
      <c r="J92" t="n">
        <v>0</v>
      </c>
      <c r="K92" t="n">
        <v>0</v>
      </c>
      <c r="L92" t="n">
        <v>0</v>
      </c>
      <c r="M92" t="n">
        <v>0</v>
      </c>
      <c r="N92" t="n">
        <v>0</v>
      </c>
      <c r="O92" t="n">
        <v>0</v>
      </c>
      <c r="P92" t="n">
        <v>0</v>
      </c>
      <c r="Q92" t="n">
        <v>0</v>
      </c>
      <c r="R92" s="2" t="inlineStr"/>
    </row>
    <row r="93" ht="15" customHeight="1">
      <c r="A93" t="inlineStr">
        <is>
          <t>A 60083-2025</t>
        </is>
      </c>
      <c r="B93" s="1" t="n">
        <v>45993.69733796296</v>
      </c>
      <c r="C93" s="1" t="n">
        <v>46160</v>
      </c>
      <c r="D93" t="inlineStr">
        <is>
          <t>UPPSALA LÄN</t>
        </is>
      </c>
      <c r="E93" t="inlineStr">
        <is>
          <t>ÄLVKARLEBY</t>
        </is>
      </c>
      <c r="F93" t="inlineStr">
        <is>
          <t>Bergvik skog väst AB</t>
        </is>
      </c>
      <c r="G93" t="n">
        <v>4.7</v>
      </c>
      <c r="H93" t="n">
        <v>0</v>
      </c>
      <c r="I93" t="n">
        <v>0</v>
      </c>
      <c r="J93" t="n">
        <v>0</v>
      </c>
      <c r="K93" t="n">
        <v>0</v>
      </c>
      <c r="L93" t="n">
        <v>0</v>
      </c>
      <c r="M93" t="n">
        <v>0</v>
      </c>
      <c r="N93" t="n">
        <v>0</v>
      </c>
      <c r="O93" t="n">
        <v>0</v>
      </c>
      <c r="P93" t="n">
        <v>0</v>
      </c>
      <c r="Q93" t="n">
        <v>0</v>
      </c>
      <c r="R93" s="2" t="inlineStr"/>
    </row>
    <row r="94" ht="15" customHeight="1">
      <c r="A94" t="inlineStr">
        <is>
          <t>A 60842-2025</t>
        </is>
      </c>
      <c r="B94" s="1" t="n">
        <v>45999.48721064815</v>
      </c>
      <c r="C94" s="1" t="n">
        <v>46160</v>
      </c>
      <c r="D94" t="inlineStr">
        <is>
          <t>UPPSALA LÄN</t>
        </is>
      </c>
      <c r="E94" t="inlineStr">
        <is>
          <t>ÄLVKARLEBY</t>
        </is>
      </c>
      <c r="F94" t="inlineStr">
        <is>
          <t>Bergvik skog väst AB</t>
        </is>
      </c>
      <c r="G94" t="n">
        <v>1.9</v>
      </c>
      <c r="H94" t="n">
        <v>0</v>
      </c>
      <c r="I94" t="n">
        <v>0</v>
      </c>
      <c r="J94" t="n">
        <v>0</v>
      </c>
      <c r="K94" t="n">
        <v>0</v>
      </c>
      <c r="L94" t="n">
        <v>0</v>
      </c>
      <c r="M94" t="n">
        <v>0</v>
      </c>
      <c r="N94" t="n">
        <v>0</v>
      </c>
      <c r="O94" t="n">
        <v>0</v>
      </c>
      <c r="P94" t="n">
        <v>0</v>
      </c>
      <c r="Q94" t="n">
        <v>0</v>
      </c>
      <c r="R94" s="2" t="inlineStr"/>
    </row>
    <row r="95" ht="15" customHeight="1">
      <c r="A95" t="inlineStr">
        <is>
          <t>A 60829-2025</t>
        </is>
      </c>
      <c r="B95" s="1" t="n">
        <v>45999.46523148148</v>
      </c>
      <c r="C95" s="1" t="n">
        <v>46160</v>
      </c>
      <c r="D95" t="inlineStr">
        <is>
          <t>UPPSALA LÄN</t>
        </is>
      </c>
      <c r="E95" t="inlineStr">
        <is>
          <t>ÄLVKARLEBY</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11467-2026</t>
        </is>
      </c>
      <c r="B96" s="1" t="n">
        <v>46083.58950231481</v>
      </c>
      <c r="C96" s="1" t="n">
        <v>46160</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46160</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46160</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61685-2025</t>
        </is>
      </c>
      <c r="B99" s="1" t="n">
        <v>46002.503125</v>
      </c>
      <c r="C99" s="1" t="n">
        <v>46160</v>
      </c>
      <c r="D99" t="inlineStr">
        <is>
          <t>UPPSALA LÄN</t>
        </is>
      </c>
      <c r="E99" t="inlineStr">
        <is>
          <t>ÄLVKARLEBY</t>
        </is>
      </c>
      <c r="F99" t="inlineStr">
        <is>
          <t>Bergvik skog öst AB</t>
        </is>
      </c>
      <c r="G99" t="n">
        <v>1</v>
      </c>
      <c r="H99" t="n">
        <v>0</v>
      </c>
      <c r="I99" t="n">
        <v>0</v>
      </c>
      <c r="J99" t="n">
        <v>0</v>
      </c>
      <c r="K99" t="n">
        <v>0</v>
      </c>
      <c r="L99" t="n">
        <v>0</v>
      </c>
      <c r="M99" t="n">
        <v>0</v>
      </c>
      <c r="N99" t="n">
        <v>0</v>
      </c>
      <c r="O99" t="n">
        <v>0</v>
      </c>
      <c r="P99" t="n">
        <v>0</v>
      </c>
      <c r="Q99" t="n">
        <v>0</v>
      </c>
      <c r="R99" s="2" t="inlineStr"/>
    </row>
    <row r="100" ht="15" customHeight="1">
      <c r="A100" t="inlineStr">
        <is>
          <t>A 17851-2026</t>
        </is>
      </c>
      <c r="B100" s="1" t="n">
        <v>46122.481875</v>
      </c>
      <c r="C100" s="1" t="n">
        <v>46160</v>
      </c>
      <c r="D100" t="inlineStr">
        <is>
          <t>UPPSALA LÄN</t>
        </is>
      </c>
      <c r="E100" t="inlineStr">
        <is>
          <t>ÄLVKARLEBY</t>
        </is>
      </c>
      <c r="F100" t="inlineStr">
        <is>
          <t>Bergvik skog öst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63004-2025</t>
        </is>
      </c>
      <c r="B101" s="1" t="n">
        <v>46009.56873842593</v>
      </c>
      <c r="C101" s="1" t="n">
        <v>46160</v>
      </c>
      <c r="D101" t="inlineStr">
        <is>
          <t>UPPSALA LÄN</t>
        </is>
      </c>
      <c r="E101" t="inlineStr">
        <is>
          <t>ÄLVKARLEBY</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63183-2025</t>
        </is>
      </c>
      <c r="B102" s="1" t="n">
        <v>46010.42908564815</v>
      </c>
      <c r="C102" s="1" t="n">
        <v>46160</v>
      </c>
      <c r="D102" t="inlineStr">
        <is>
          <t>UPPSALA LÄN</t>
        </is>
      </c>
      <c r="E102" t="inlineStr">
        <is>
          <t>ÄLVKARLEBY</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62938-2025</t>
        </is>
      </c>
      <c r="B103" s="1" t="n">
        <v>46009.42092592592</v>
      </c>
      <c r="C103" s="1" t="n">
        <v>46160</v>
      </c>
      <c r="D103" t="inlineStr">
        <is>
          <t>UPPSALA LÄN</t>
        </is>
      </c>
      <c r="E103" t="inlineStr">
        <is>
          <t>ÄLVKARLEBY</t>
        </is>
      </c>
      <c r="F103" t="inlineStr">
        <is>
          <t>Bergvik skog väst AB</t>
        </is>
      </c>
      <c r="G103" t="n">
        <v>10.2</v>
      </c>
      <c r="H103" t="n">
        <v>0</v>
      </c>
      <c r="I103" t="n">
        <v>0</v>
      </c>
      <c r="J103" t="n">
        <v>0</v>
      </c>
      <c r="K103" t="n">
        <v>0</v>
      </c>
      <c r="L103" t="n">
        <v>0</v>
      </c>
      <c r="M103" t="n">
        <v>0</v>
      </c>
      <c r="N103" t="n">
        <v>0</v>
      </c>
      <c r="O103" t="n">
        <v>0</v>
      </c>
      <c r="P103" t="n">
        <v>0</v>
      </c>
      <c r="Q103" t="n">
        <v>0</v>
      </c>
      <c r="R103" s="2" t="inlineStr"/>
    </row>
    <row r="104" ht="15" customHeight="1">
      <c r="A104" t="inlineStr">
        <is>
          <t>A 63341-2025</t>
        </is>
      </c>
      <c r="B104" s="1" t="n">
        <v>46010.65505787037</v>
      </c>
      <c r="C104" s="1" t="n">
        <v>46160</v>
      </c>
      <c r="D104" t="inlineStr">
        <is>
          <t>UPPSALA LÄN</t>
        </is>
      </c>
      <c r="E104" t="inlineStr">
        <is>
          <t>ÄLVKARLEBY</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63365-2025</t>
        </is>
      </c>
      <c r="B105" s="1" t="n">
        <v>46010.70717592593</v>
      </c>
      <c r="C105" s="1" t="n">
        <v>46160</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11848-2026</t>
        </is>
      </c>
      <c r="B106" s="1" t="n">
        <v>46085.45927083334</v>
      </c>
      <c r="C106" s="1" t="n">
        <v>46160</v>
      </c>
      <c r="D106" t="inlineStr">
        <is>
          <t>UPPSALA LÄN</t>
        </is>
      </c>
      <c r="E106" t="inlineStr">
        <is>
          <t>ÄLVKARLEBY</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41272-2023</t>
        </is>
      </c>
      <c r="B107" s="1" t="n">
        <v>45174</v>
      </c>
      <c r="C107" s="1" t="n">
        <v>46160</v>
      </c>
      <c r="D107" t="inlineStr">
        <is>
          <t>UPPSALA LÄN</t>
        </is>
      </c>
      <c r="E107" t="inlineStr">
        <is>
          <t>ÄLVKARLEBY</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46160</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19304-2024</t>
        </is>
      </c>
      <c r="B109" s="1" t="n">
        <v>45428</v>
      </c>
      <c r="C109" s="1" t="n">
        <v>46160</v>
      </c>
      <c r="D109" t="inlineStr">
        <is>
          <t>UPPSALA LÄN</t>
        </is>
      </c>
      <c r="E109" t="inlineStr">
        <is>
          <t>ÄLVKARLEBY</t>
        </is>
      </c>
      <c r="G109" t="n">
        <v>0.2</v>
      </c>
      <c r="H109" t="n">
        <v>0</v>
      </c>
      <c r="I109" t="n">
        <v>0</v>
      </c>
      <c r="J109" t="n">
        <v>0</v>
      </c>
      <c r="K109" t="n">
        <v>0</v>
      </c>
      <c r="L109" t="n">
        <v>0</v>
      </c>
      <c r="M109" t="n">
        <v>0</v>
      </c>
      <c r="N109" t="n">
        <v>0</v>
      </c>
      <c r="O109" t="n">
        <v>0</v>
      </c>
      <c r="P109" t="n">
        <v>0</v>
      </c>
      <c r="Q109" t="n">
        <v>0</v>
      </c>
      <c r="R109" s="2" t="inlineStr"/>
    </row>
    <row r="110" ht="15" customHeight="1">
      <c r="A110" t="inlineStr">
        <is>
          <t>A 14091-2026</t>
        </is>
      </c>
      <c r="B110" s="1" t="n">
        <v>46099.38484953704</v>
      </c>
      <c r="C110" s="1" t="n">
        <v>46160</v>
      </c>
      <c r="D110" t="inlineStr">
        <is>
          <t>UPPSALA LÄN</t>
        </is>
      </c>
      <c r="E110" t="inlineStr">
        <is>
          <t>ÄLVKARLEBY</t>
        </is>
      </c>
      <c r="G110" t="n">
        <v>0.7</v>
      </c>
      <c r="H110" t="n">
        <v>0</v>
      </c>
      <c r="I110" t="n">
        <v>0</v>
      </c>
      <c r="J110" t="n">
        <v>0</v>
      </c>
      <c r="K110" t="n">
        <v>0</v>
      </c>
      <c r="L110" t="n">
        <v>0</v>
      </c>
      <c r="M110" t="n">
        <v>0</v>
      </c>
      <c r="N110" t="n">
        <v>0</v>
      </c>
      <c r="O110" t="n">
        <v>0</v>
      </c>
      <c r="P110" t="n">
        <v>0</v>
      </c>
      <c r="Q110" t="n">
        <v>0</v>
      </c>
      <c r="R110" s="2" t="inlineStr"/>
    </row>
    <row r="111" ht="15" customHeight="1">
      <c r="A111" t="inlineStr">
        <is>
          <t>A 14127-2026</t>
        </is>
      </c>
      <c r="B111" s="1" t="n">
        <v>46099.44534722222</v>
      </c>
      <c r="C111" s="1" t="n">
        <v>46160</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43285-2023</t>
        </is>
      </c>
      <c r="B112" s="1" t="n">
        <v>45183.5630787037</v>
      </c>
      <c r="C112" s="1" t="n">
        <v>46160</v>
      </c>
      <c r="D112" t="inlineStr">
        <is>
          <t>UPPSALA LÄN</t>
        </is>
      </c>
      <c r="E112" t="inlineStr">
        <is>
          <t>ÄLVKARLEBY</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3950-2025</t>
        </is>
      </c>
      <c r="B113" s="1" t="n">
        <v>45684</v>
      </c>
      <c r="C113" s="1" t="n">
        <v>46160</v>
      </c>
      <c r="D113" t="inlineStr">
        <is>
          <t>UPPSALA LÄN</t>
        </is>
      </c>
      <c r="E113" t="inlineStr">
        <is>
          <t>ÄLVKARLEBY</t>
        </is>
      </c>
      <c r="G113" t="n">
        <v>3.1</v>
      </c>
      <c r="H113" t="n">
        <v>0</v>
      </c>
      <c r="I113" t="n">
        <v>0</v>
      </c>
      <c r="J113" t="n">
        <v>0</v>
      </c>
      <c r="K113" t="n">
        <v>0</v>
      </c>
      <c r="L113" t="n">
        <v>0</v>
      </c>
      <c r="M113" t="n">
        <v>0</v>
      </c>
      <c r="N113" t="n">
        <v>0</v>
      </c>
      <c r="O113" t="n">
        <v>0</v>
      </c>
      <c r="P113" t="n">
        <v>0</v>
      </c>
      <c r="Q113" t="n">
        <v>0</v>
      </c>
      <c r="R113" s="2" t="inlineStr"/>
    </row>
    <row r="114" ht="15" customHeight="1">
      <c r="A114" t="inlineStr">
        <is>
          <t>A 22563-2026</t>
        </is>
      </c>
      <c r="B114" s="1" t="n">
        <v>46155.55376157408</v>
      </c>
      <c r="C114" s="1" t="n">
        <v>46160</v>
      </c>
      <c r="D114" t="inlineStr">
        <is>
          <t>UPPSALA LÄN</t>
        </is>
      </c>
      <c r="E114" t="inlineStr">
        <is>
          <t>ÄLVKARLEBY</t>
        </is>
      </c>
      <c r="F114" t="inlineStr">
        <is>
          <t>Bergvik skog öst AB</t>
        </is>
      </c>
      <c r="G114" t="n">
        <v>3.5</v>
      </c>
      <c r="H114" t="n">
        <v>0</v>
      </c>
      <c r="I114" t="n">
        <v>0</v>
      </c>
      <c r="J114" t="n">
        <v>0</v>
      </c>
      <c r="K114" t="n">
        <v>0</v>
      </c>
      <c r="L114" t="n">
        <v>0</v>
      </c>
      <c r="M114" t="n">
        <v>0</v>
      </c>
      <c r="N114" t="n">
        <v>0</v>
      </c>
      <c r="O114" t="n">
        <v>0</v>
      </c>
      <c r="P114" t="n">
        <v>0</v>
      </c>
      <c r="Q114" t="n">
        <v>0</v>
      </c>
      <c r="R114" s="2" t="inlineStr"/>
    </row>
    <row r="115" ht="15" customHeight="1">
      <c r="A115" t="inlineStr">
        <is>
          <t>A 8030-2025</t>
        </is>
      </c>
      <c r="B115" s="1" t="n">
        <v>45707.59064814815</v>
      </c>
      <c r="C115" s="1" t="n">
        <v>46160</v>
      </c>
      <c r="D115" t="inlineStr">
        <is>
          <t>UPPSALA LÄN</t>
        </is>
      </c>
      <c r="E115" t="inlineStr">
        <is>
          <t>ÄLVKARLEBY</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46113-2023</t>
        </is>
      </c>
      <c r="B116" s="1" t="n">
        <v>45196.54938657407</v>
      </c>
      <c r="C116" s="1" t="n">
        <v>46160</v>
      </c>
      <c r="D116" t="inlineStr">
        <is>
          <t>UPPSALA LÄN</t>
        </is>
      </c>
      <c r="E116" t="inlineStr">
        <is>
          <t>ÄLVKARLEBY</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41979-2024</t>
        </is>
      </c>
      <c r="B117" s="1" t="n">
        <v>45561</v>
      </c>
      <c r="C117" s="1" t="n">
        <v>46160</v>
      </c>
      <c r="D117" t="inlineStr">
        <is>
          <t>UPPSALA LÄN</t>
        </is>
      </c>
      <c r="E117" t="inlineStr">
        <is>
          <t>ÄLVKARLEBY</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46160</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46160</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41929-2024</t>
        </is>
      </c>
      <c r="B120" s="1" t="n">
        <v>45561</v>
      </c>
      <c r="C120" s="1" t="n">
        <v>46160</v>
      </c>
      <c r="D120" t="inlineStr">
        <is>
          <t>UPPSALA LÄN</t>
        </is>
      </c>
      <c r="E120" t="inlineStr">
        <is>
          <t>ÄLVKARLEBY</t>
        </is>
      </c>
      <c r="F120" t="inlineStr">
        <is>
          <t>Bergvik skog väst AB</t>
        </is>
      </c>
      <c r="G120" t="n">
        <v>4.9</v>
      </c>
      <c r="H120" t="n">
        <v>0</v>
      </c>
      <c r="I120" t="n">
        <v>0</v>
      </c>
      <c r="J120" t="n">
        <v>0</v>
      </c>
      <c r="K120" t="n">
        <v>0</v>
      </c>
      <c r="L120" t="n">
        <v>0</v>
      </c>
      <c r="M120" t="n">
        <v>0</v>
      </c>
      <c r="N120" t="n">
        <v>0</v>
      </c>
      <c r="O120" t="n">
        <v>0</v>
      </c>
      <c r="P120" t="n">
        <v>0</v>
      </c>
      <c r="Q120" t="n">
        <v>0</v>
      </c>
      <c r="R120" s="2" t="inlineStr"/>
    </row>
    <row r="121" ht="15" customHeight="1">
      <c r="A121" t="inlineStr">
        <is>
          <t>A 18451-2025</t>
        </is>
      </c>
      <c r="B121" s="1" t="n">
        <v>45762</v>
      </c>
      <c r="C121" s="1" t="n">
        <v>46160</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14590-2023</t>
        </is>
      </c>
      <c r="B122" s="1" t="n">
        <v>45013.54621527778</v>
      </c>
      <c r="C122" s="1" t="n">
        <v>46160</v>
      </c>
      <c r="D122" t="inlineStr">
        <is>
          <t>UPPSALA LÄN</t>
        </is>
      </c>
      <c r="E122" t="inlineStr">
        <is>
          <t>ÄLVKARLEBY</t>
        </is>
      </c>
      <c r="G122" t="n">
        <v>1.8</v>
      </c>
      <c r="H122" t="n">
        <v>0</v>
      </c>
      <c r="I122" t="n">
        <v>0</v>
      </c>
      <c r="J122" t="n">
        <v>0</v>
      </c>
      <c r="K122" t="n">
        <v>0</v>
      </c>
      <c r="L122" t="n">
        <v>0</v>
      </c>
      <c r="M122" t="n">
        <v>0</v>
      </c>
      <c r="N122" t="n">
        <v>0</v>
      </c>
      <c r="O122" t="n">
        <v>0</v>
      </c>
      <c r="P122" t="n">
        <v>0</v>
      </c>
      <c r="Q122" t="n">
        <v>0</v>
      </c>
      <c r="R122" s="2" t="inlineStr"/>
    </row>
    <row r="123" ht="15" customHeight="1">
      <c r="A123" t="inlineStr">
        <is>
          <t>A 9533-2025</t>
        </is>
      </c>
      <c r="B123" s="1" t="n">
        <v>45715.57082175926</v>
      </c>
      <c r="C123" s="1" t="n">
        <v>46160</v>
      </c>
      <c r="D123" t="inlineStr">
        <is>
          <t>UPPSALA LÄN</t>
        </is>
      </c>
      <c r="E123" t="inlineStr">
        <is>
          <t>ÄLVKARLEBY</t>
        </is>
      </c>
      <c r="G123" t="n">
        <v>2.1</v>
      </c>
      <c r="H123" t="n">
        <v>0</v>
      </c>
      <c r="I123" t="n">
        <v>0</v>
      </c>
      <c r="J123" t="n">
        <v>0</v>
      </c>
      <c r="K123" t="n">
        <v>0</v>
      </c>
      <c r="L123" t="n">
        <v>0</v>
      </c>
      <c r="M123" t="n">
        <v>0</v>
      </c>
      <c r="N123" t="n">
        <v>0</v>
      </c>
      <c r="O123" t="n">
        <v>0</v>
      </c>
      <c r="P123" t="n">
        <v>0</v>
      </c>
      <c r="Q123" t="n">
        <v>0</v>
      </c>
      <c r="R123" s="2" t="inlineStr"/>
    </row>
    <row r="124" ht="15" customHeight="1">
      <c r="A124" t="inlineStr">
        <is>
          <t>A 19697-2025</t>
        </is>
      </c>
      <c r="B124" s="1" t="n">
        <v>45771</v>
      </c>
      <c r="C124" s="1" t="n">
        <v>46160</v>
      </c>
      <c r="D124" t="inlineStr">
        <is>
          <t>UPPSALA LÄN</t>
        </is>
      </c>
      <c r="E124" t="inlineStr">
        <is>
          <t>ÄLVKARLEBY</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c r="A125" t="inlineStr">
        <is>
          <t>A 22223-2025</t>
        </is>
      </c>
      <c r="B125" s="1" t="n">
        <v>45785</v>
      </c>
      <c r="C125" s="1" t="n">
        <v>46160</v>
      </c>
      <c r="D125" t="inlineStr">
        <is>
          <t>UPPSALA LÄN</t>
        </is>
      </c>
      <c r="E125" t="inlineStr">
        <is>
          <t>ÄLVKARLEBY</t>
        </is>
      </c>
      <c r="F125" t="inlineStr">
        <is>
          <t>Bergvik skog väst AB</t>
        </is>
      </c>
      <c r="G125" t="n">
        <v>1.3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2026-05-18T10:56:38Z</dcterms:created>
  <dcterms:modified xmlns:dcterms="http://purl.org/dc/terms/" xmlns:xsi="http://www.w3.org/2001/XMLSchema-instance" xsi:type="dcterms:W3CDTF">2026-05-18T10:56:38Z</dcterms:modified>
</cp:coreProperties>
</file>