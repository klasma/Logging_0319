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45916</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45916</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45916</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45916</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26681-2025</t>
        </is>
      </c>
      <c r="B7" s="1" t="n">
        <v>45810.42891203704</v>
      </c>
      <c r="C7" s="1" t="n">
        <v>45916</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45916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45916</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45916</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45916</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45916</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30484-2025</t>
        </is>
      </c>
      <c r="B13" s="1" t="n">
        <v>45828.75157407407</v>
      </c>
      <c r="C13" s="1" t="n">
        <v>45916</v>
      </c>
      <c r="D13" t="inlineStr">
        <is>
          <t>UPPSALA LÄN</t>
        </is>
      </c>
      <c r="E13" t="inlineStr">
        <is>
          <t>ÄLVKARLEBY</t>
        </is>
      </c>
      <c r="F13" t="inlineStr">
        <is>
          <t>Bergvik skog väst AB</t>
        </is>
      </c>
      <c r="G13" t="n">
        <v>1.6</v>
      </c>
      <c r="H13" t="n">
        <v>1</v>
      </c>
      <c r="I13" t="n">
        <v>1</v>
      </c>
      <c r="J13" t="n">
        <v>1</v>
      </c>
      <c r="K13" t="n">
        <v>0</v>
      </c>
      <c r="L13" t="n">
        <v>0</v>
      </c>
      <c r="M13" t="n">
        <v>0</v>
      </c>
      <c r="N13" t="n">
        <v>0</v>
      </c>
      <c r="O13" t="n">
        <v>1</v>
      </c>
      <c r="P13" t="n">
        <v>0</v>
      </c>
      <c r="Q13" t="n">
        <v>3</v>
      </c>
      <c r="R13" s="2" t="inlineStr">
        <is>
          <t>Slåtterfibbla
Svart trolldruva
Gullviva</t>
        </is>
      </c>
      <c r="S13">
        <f>HYPERLINK("https://klasma.github.io/Logging_0319/artfynd/A 30484-2025 artfynd.xlsx", "A 30484-2025")</f>
        <v/>
      </c>
      <c r="T13">
        <f>HYPERLINK("https://klasma.github.io/Logging_0319/kartor/A 30484-2025 karta.png", "A 30484-2025")</f>
        <v/>
      </c>
      <c r="V13">
        <f>HYPERLINK("https://klasma.github.io/Logging_0319/klagomål/A 30484-2025 FSC-klagomål.docx", "A 30484-2025")</f>
        <v/>
      </c>
      <c r="W13">
        <f>HYPERLINK("https://klasma.github.io/Logging_0319/klagomålsmail/A 30484-2025 FSC-klagomål mail.docx", "A 30484-2025")</f>
        <v/>
      </c>
      <c r="X13">
        <f>HYPERLINK("https://klasma.github.io/Logging_0319/tillsyn/A 30484-2025 tillsynsbegäran.docx", "A 30484-2025")</f>
        <v/>
      </c>
      <c r="Y13">
        <f>HYPERLINK("https://klasma.github.io/Logging_0319/tillsynsmail/A 30484-2025 tillsynsbegäran mail.docx", "A 30484-2025")</f>
        <v/>
      </c>
    </row>
    <row r="14" ht="15" customHeight="1">
      <c r="A14" t="inlineStr">
        <is>
          <t>A 34798-2024</t>
        </is>
      </c>
      <c r="B14" s="1" t="n">
        <v>45526</v>
      </c>
      <c r="C14" s="1" t="n">
        <v>45916</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45916</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55547-2024</t>
        </is>
      </c>
      <c r="B16" s="1" t="n">
        <v>45622.5105787037</v>
      </c>
      <c r="C16" s="1" t="n">
        <v>45916</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45916</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45916</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45916</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12427-2025</t>
        </is>
      </c>
      <c r="B20" s="1" t="n">
        <v>45730.45799768518</v>
      </c>
      <c r="C20" s="1" t="n">
        <v>45916</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10455-2022</t>
        </is>
      </c>
      <c r="B21" s="1" t="n">
        <v>44623</v>
      </c>
      <c r="C21" s="1" t="n">
        <v>45916</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21700-2024</t>
        </is>
      </c>
      <c r="B22" s="1" t="n">
        <v>45442</v>
      </c>
      <c r="C22" s="1" t="n">
        <v>45916</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45916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39902-2025</t>
        </is>
      </c>
      <c r="B24" s="1" t="n">
        <v>45891.63597222222</v>
      </c>
      <c r="C24" s="1" t="n">
        <v>45916</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9521-2025</t>
        </is>
      </c>
      <c r="B25" s="1" t="n">
        <v>45715.56259259259</v>
      </c>
      <c r="C25" s="1" t="n">
        <v>45916</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66277-2020</t>
        </is>
      </c>
      <c r="B26" s="1" t="n">
        <v>44176</v>
      </c>
      <c r="C26" s="1" t="n">
        <v>45916</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50416-2020</t>
        </is>
      </c>
      <c r="B27" s="1" t="n">
        <v>44110</v>
      </c>
      <c r="C27" s="1" t="n">
        <v>45916</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45916</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45916</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45916</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45916</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45916</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38226-2023</t>
        </is>
      </c>
      <c r="B33" s="1" t="n">
        <v>45161</v>
      </c>
      <c r="C33" s="1" t="n">
        <v>45916</v>
      </c>
      <c r="D33" t="inlineStr">
        <is>
          <t>UPPSALA LÄN</t>
        </is>
      </c>
      <c r="E33" t="inlineStr">
        <is>
          <t>ÄLVKARLEBY</t>
        </is>
      </c>
      <c r="F33" t="inlineStr">
        <is>
          <t>Bergvik skog väst AB</t>
        </is>
      </c>
      <c r="G33" t="n">
        <v>4.5</v>
      </c>
      <c r="H33" t="n">
        <v>0</v>
      </c>
      <c r="I33" t="n">
        <v>0</v>
      </c>
      <c r="J33" t="n">
        <v>0</v>
      </c>
      <c r="K33" t="n">
        <v>0</v>
      </c>
      <c r="L33" t="n">
        <v>0</v>
      </c>
      <c r="M33" t="n">
        <v>0</v>
      </c>
      <c r="N33" t="n">
        <v>0</v>
      </c>
      <c r="O33" t="n">
        <v>0</v>
      </c>
      <c r="P33" t="n">
        <v>0</v>
      </c>
      <c r="Q33" t="n">
        <v>0</v>
      </c>
      <c r="R33" s="2" t="inlineStr"/>
    </row>
    <row r="34" ht="15" customHeight="1">
      <c r="A34" t="inlineStr">
        <is>
          <t>A 24592-2025</t>
        </is>
      </c>
      <c r="B34" s="1" t="n">
        <v>45798.54337962963</v>
      </c>
      <c r="C34" s="1" t="n">
        <v>45916</v>
      </c>
      <c r="D34" t="inlineStr">
        <is>
          <t>UPPSALA LÄN</t>
        </is>
      </c>
      <c r="E34" t="inlineStr">
        <is>
          <t>ÄLVKARLEBY</t>
        </is>
      </c>
      <c r="F34" t="inlineStr">
        <is>
          <t>Bergvik skog väst AB</t>
        </is>
      </c>
      <c r="G34" t="n">
        <v>2.5</v>
      </c>
      <c r="H34" t="n">
        <v>0</v>
      </c>
      <c r="I34" t="n">
        <v>0</v>
      </c>
      <c r="J34" t="n">
        <v>0</v>
      </c>
      <c r="K34" t="n">
        <v>0</v>
      </c>
      <c r="L34" t="n">
        <v>0</v>
      </c>
      <c r="M34" t="n">
        <v>0</v>
      </c>
      <c r="N34" t="n">
        <v>0</v>
      </c>
      <c r="O34" t="n">
        <v>0</v>
      </c>
      <c r="P34" t="n">
        <v>0</v>
      </c>
      <c r="Q34" t="n">
        <v>0</v>
      </c>
      <c r="R34" s="2" t="inlineStr"/>
    </row>
    <row r="35" ht="15" customHeight="1">
      <c r="A35" t="inlineStr">
        <is>
          <t>A 24591-2025</t>
        </is>
      </c>
      <c r="B35" s="1" t="n">
        <v>45798.53666666667</v>
      </c>
      <c r="C35" s="1" t="n">
        <v>45916</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24593-2025</t>
        </is>
      </c>
      <c r="B36" s="1" t="n">
        <v>45798</v>
      </c>
      <c r="C36" s="1" t="n">
        <v>45916</v>
      </c>
      <c r="D36" t="inlineStr">
        <is>
          <t>UPPSALA LÄN</t>
        </is>
      </c>
      <c r="E36" t="inlineStr">
        <is>
          <t>ÄLVKARLEBY</t>
        </is>
      </c>
      <c r="F36" t="inlineStr">
        <is>
          <t>Bergvik skog väst AB</t>
        </is>
      </c>
      <c r="G36" t="n">
        <v>0.6</v>
      </c>
      <c r="H36" t="n">
        <v>0</v>
      </c>
      <c r="I36" t="n">
        <v>0</v>
      </c>
      <c r="J36" t="n">
        <v>0</v>
      </c>
      <c r="K36" t="n">
        <v>0</v>
      </c>
      <c r="L36" t="n">
        <v>0</v>
      </c>
      <c r="M36" t="n">
        <v>0</v>
      </c>
      <c r="N36" t="n">
        <v>0</v>
      </c>
      <c r="O36" t="n">
        <v>0</v>
      </c>
      <c r="P36" t="n">
        <v>0</v>
      </c>
      <c r="Q36" t="n">
        <v>0</v>
      </c>
      <c r="R36" s="2" t="inlineStr"/>
    </row>
    <row r="37" ht="15" customHeight="1">
      <c r="A37" t="inlineStr">
        <is>
          <t>A 19303-2024</t>
        </is>
      </c>
      <c r="B37" s="1" t="n">
        <v>45428.70386574074</v>
      </c>
      <c r="C37" s="1" t="n">
        <v>45916</v>
      </c>
      <c r="D37" t="inlineStr">
        <is>
          <t>UPPSALA LÄN</t>
        </is>
      </c>
      <c r="E37" t="inlineStr">
        <is>
          <t>ÄLVKARLEBY</t>
        </is>
      </c>
      <c r="G37" t="n">
        <v>0.4</v>
      </c>
      <c r="H37" t="n">
        <v>0</v>
      </c>
      <c r="I37" t="n">
        <v>0</v>
      </c>
      <c r="J37" t="n">
        <v>0</v>
      </c>
      <c r="K37" t="n">
        <v>0</v>
      </c>
      <c r="L37" t="n">
        <v>0</v>
      </c>
      <c r="M37" t="n">
        <v>0</v>
      </c>
      <c r="N37" t="n">
        <v>0</v>
      </c>
      <c r="O37" t="n">
        <v>0</v>
      </c>
      <c r="P37" t="n">
        <v>0</v>
      </c>
      <c r="Q37" t="n">
        <v>0</v>
      </c>
      <c r="R37" s="2" t="inlineStr"/>
    </row>
    <row r="38" ht="15" customHeight="1">
      <c r="A38" t="inlineStr">
        <is>
          <t>A 25330-2025</t>
        </is>
      </c>
      <c r="B38" s="1" t="n">
        <v>45800.59114583334</v>
      </c>
      <c r="C38" s="1" t="n">
        <v>45916</v>
      </c>
      <c r="D38" t="inlineStr">
        <is>
          <t>UPPSALA LÄN</t>
        </is>
      </c>
      <c r="E38" t="inlineStr">
        <is>
          <t>ÄLVKARLEBY</t>
        </is>
      </c>
      <c r="F38" t="inlineStr">
        <is>
          <t>Bergvik skog väst AB</t>
        </is>
      </c>
      <c r="G38" t="n">
        <v>5</v>
      </c>
      <c r="H38" t="n">
        <v>0</v>
      </c>
      <c r="I38" t="n">
        <v>0</v>
      </c>
      <c r="J38" t="n">
        <v>0</v>
      </c>
      <c r="K38" t="n">
        <v>0</v>
      </c>
      <c r="L38" t="n">
        <v>0</v>
      </c>
      <c r="M38" t="n">
        <v>0</v>
      </c>
      <c r="N38" t="n">
        <v>0</v>
      </c>
      <c r="O38" t="n">
        <v>0</v>
      </c>
      <c r="P38" t="n">
        <v>0</v>
      </c>
      <c r="Q38" t="n">
        <v>0</v>
      </c>
      <c r="R38" s="2" t="inlineStr"/>
    </row>
    <row r="39" ht="15" customHeight="1">
      <c r="A39" t="inlineStr">
        <is>
          <t>A 25264-2025</t>
        </is>
      </c>
      <c r="B39" s="1" t="n">
        <v>45800.5334375</v>
      </c>
      <c r="C39" s="1" t="n">
        <v>45916</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3950-2025</t>
        </is>
      </c>
      <c r="B40" s="1" t="n">
        <v>45684</v>
      </c>
      <c r="C40" s="1" t="n">
        <v>45916</v>
      </c>
      <c r="D40" t="inlineStr">
        <is>
          <t>UPPSALA LÄN</t>
        </is>
      </c>
      <c r="E40" t="inlineStr">
        <is>
          <t>ÄLVKARLEBY</t>
        </is>
      </c>
      <c r="G40" t="n">
        <v>3.1</v>
      </c>
      <c r="H40" t="n">
        <v>0</v>
      </c>
      <c r="I40" t="n">
        <v>0</v>
      </c>
      <c r="J40" t="n">
        <v>0</v>
      </c>
      <c r="K40" t="n">
        <v>0</v>
      </c>
      <c r="L40" t="n">
        <v>0</v>
      </c>
      <c r="M40" t="n">
        <v>0</v>
      </c>
      <c r="N40" t="n">
        <v>0</v>
      </c>
      <c r="O40" t="n">
        <v>0</v>
      </c>
      <c r="P40" t="n">
        <v>0</v>
      </c>
      <c r="Q40" t="n">
        <v>0</v>
      </c>
      <c r="R40" s="2" t="inlineStr"/>
    </row>
    <row r="41" ht="15" customHeight="1">
      <c r="A41" t="inlineStr">
        <is>
          <t>A 19740-2025</t>
        </is>
      </c>
      <c r="B41" s="1" t="n">
        <v>45771</v>
      </c>
      <c r="C41" s="1" t="n">
        <v>45916</v>
      </c>
      <c r="D41" t="inlineStr">
        <is>
          <t>UPPSALA LÄN</t>
        </is>
      </c>
      <c r="E41" t="inlineStr">
        <is>
          <t>ÄLVKARLEBY</t>
        </is>
      </c>
      <c r="F41" t="inlineStr">
        <is>
          <t>Bergvik skog väst AB</t>
        </is>
      </c>
      <c r="G41" t="n">
        <v>0.7</v>
      </c>
      <c r="H41" t="n">
        <v>0</v>
      </c>
      <c r="I41" t="n">
        <v>0</v>
      </c>
      <c r="J41" t="n">
        <v>0</v>
      </c>
      <c r="K41" t="n">
        <v>0</v>
      </c>
      <c r="L41" t="n">
        <v>0</v>
      </c>
      <c r="M41" t="n">
        <v>0</v>
      </c>
      <c r="N41" t="n">
        <v>0</v>
      </c>
      <c r="O41" t="n">
        <v>0</v>
      </c>
      <c r="P41" t="n">
        <v>0</v>
      </c>
      <c r="Q41" t="n">
        <v>0</v>
      </c>
      <c r="R41" s="2" t="inlineStr"/>
    </row>
    <row r="42" ht="15" customHeight="1">
      <c r="A42" t="inlineStr">
        <is>
          <t>A 26668-2025</t>
        </is>
      </c>
      <c r="B42" s="1" t="n">
        <v>45810.41017361111</v>
      </c>
      <c r="C42" s="1" t="n">
        <v>45916</v>
      </c>
      <c r="D42" t="inlineStr">
        <is>
          <t>UPPSALA LÄN</t>
        </is>
      </c>
      <c r="E42" t="inlineStr">
        <is>
          <t>ÄLVKARLEBY</t>
        </is>
      </c>
      <c r="F42" t="inlineStr">
        <is>
          <t>Bergvik skog väst AB</t>
        </is>
      </c>
      <c r="G42" t="n">
        <v>2.6</v>
      </c>
      <c r="H42" t="n">
        <v>0</v>
      </c>
      <c r="I42" t="n">
        <v>0</v>
      </c>
      <c r="J42" t="n">
        <v>0</v>
      </c>
      <c r="K42" t="n">
        <v>0</v>
      </c>
      <c r="L42" t="n">
        <v>0</v>
      </c>
      <c r="M42" t="n">
        <v>0</v>
      </c>
      <c r="N42" t="n">
        <v>0</v>
      </c>
      <c r="O42" t="n">
        <v>0</v>
      </c>
      <c r="P42" t="n">
        <v>0</v>
      </c>
      <c r="Q42" t="n">
        <v>0</v>
      </c>
      <c r="R42" s="2" t="inlineStr"/>
    </row>
    <row r="43" ht="15" customHeight="1">
      <c r="A43" t="inlineStr">
        <is>
          <t>A 19862-2025</t>
        </is>
      </c>
      <c r="B43" s="1" t="n">
        <v>45771.53560185185</v>
      </c>
      <c r="C43" s="1" t="n">
        <v>45916</v>
      </c>
      <c r="D43" t="inlineStr">
        <is>
          <t>UPPSALA LÄN</t>
        </is>
      </c>
      <c r="E43" t="inlineStr">
        <is>
          <t>ÄLVKARLEBY</t>
        </is>
      </c>
      <c r="F43" t="inlineStr">
        <is>
          <t>Kyrkan</t>
        </is>
      </c>
      <c r="G43" t="n">
        <v>3</v>
      </c>
      <c r="H43" t="n">
        <v>0</v>
      </c>
      <c r="I43" t="n">
        <v>0</v>
      </c>
      <c r="J43" t="n">
        <v>0</v>
      </c>
      <c r="K43" t="n">
        <v>0</v>
      </c>
      <c r="L43" t="n">
        <v>0</v>
      </c>
      <c r="M43" t="n">
        <v>0</v>
      </c>
      <c r="N43" t="n">
        <v>0</v>
      </c>
      <c r="O43" t="n">
        <v>0</v>
      </c>
      <c r="P43" t="n">
        <v>0</v>
      </c>
      <c r="Q43" t="n">
        <v>0</v>
      </c>
      <c r="R43" s="2" t="inlineStr"/>
    </row>
    <row r="44" ht="15" customHeight="1">
      <c r="A44" t="inlineStr">
        <is>
          <t>A 18451-2025</t>
        </is>
      </c>
      <c r="B44" s="1" t="n">
        <v>45762</v>
      </c>
      <c r="C44" s="1" t="n">
        <v>45916</v>
      </c>
      <c r="D44" t="inlineStr">
        <is>
          <t>UPPSALA LÄN</t>
        </is>
      </c>
      <c r="E44" t="inlineStr">
        <is>
          <t>ÄLVKARLEBY</t>
        </is>
      </c>
      <c r="F44" t="inlineStr">
        <is>
          <t>Bergvik skog väst AB</t>
        </is>
      </c>
      <c r="G44" t="n">
        <v>1.2</v>
      </c>
      <c r="H44" t="n">
        <v>0</v>
      </c>
      <c r="I44" t="n">
        <v>0</v>
      </c>
      <c r="J44" t="n">
        <v>0</v>
      </c>
      <c r="K44" t="n">
        <v>0</v>
      </c>
      <c r="L44" t="n">
        <v>0</v>
      </c>
      <c r="M44" t="n">
        <v>0</v>
      </c>
      <c r="N44" t="n">
        <v>0</v>
      </c>
      <c r="O44" t="n">
        <v>0</v>
      </c>
      <c r="P44" t="n">
        <v>0</v>
      </c>
      <c r="Q44" t="n">
        <v>0</v>
      </c>
      <c r="R44" s="2" t="inlineStr"/>
    </row>
    <row r="45" ht="15" customHeight="1">
      <c r="A45" t="inlineStr">
        <is>
          <t>A 45372-2024</t>
        </is>
      </c>
      <c r="B45" s="1" t="n">
        <v>45576.51116898148</v>
      </c>
      <c r="C45" s="1" t="n">
        <v>45916</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45916</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45916</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27330-2025</t>
        </is>
      </c>
      <c r="B48" s="1" t="n">
        <v>45812.60934027778</v>
      </c>
      <c r="C48" s="1" t="n">
        <v>45916</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2183-2024</t>
        </is>
      </c>
      <c r="B49" s="1" t="n">
        <v>45309</v>
      </c>
      <c r="C49" s="1" t="n">
        <v>45916</v>
      </c>
      <c r="D49" t="inlineStr">
        <is>
          <t>UPPSALA LÄN</t>
        </is>
      </c>
      <c r="E49" t="inlineStr">
        <is>
          <t>ÄLVKARLEBY</t>
        </is>
      </c>
      <c r="G49" t="n">
        <v>0.5</v>
      </c>
      <c r="H49" t="n">
        <v>0</v>
      </c>
      <c r="I49" t="n">
        <v>0</v>
      </c>
      <c r="J49" t="n">
        <v>0</v>
      </c>
      <c r="K49" t="n">
        <v>0</v>
      </c>
      <c r="L49" t="n">
        <v>0</v>
      </c>
      <c r="M49" t="n">
        <v>0</v>
      </c>
      <c r="N49" t="n">
        <v>0</v>
      </c>
      <c r="O49" t="n">
        <v>0</v>
      </c>
      <c r="P49" t="n">
        <v>0</v>
      </c>
      <c r="Q49" t="n">
        <v>0</v>
      </c>
      <c r="R49" s="2" t="inlineStr"/>
    </row>
    <row r="50" ht="15" customHeight="1">
      <c r="A50" t="inlineStr">
        <is>
          <t>A 27743-2025</t>
        </is>
      </c>
      <c r="B50" s="1" t="n">
        <v>45815.53981481482</v>
      </c>
      <c r="C50" s="1" t="n">
        <v>45916</v>
      </c>
      <c r="D50" t="inlineStr">
        <is>
          <t>UPPSALA LÄN</t>
        </is>
      </c>
      <c r="E50" t="inlineStr">
        <is>
          <t>ÄLVKARLEBY</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27741-2025</t>
        </is>
      </c>
      <c r="B51" s="1" t="n">
        <v>45815.5346875</v>
      </c>
      <c r="C51" s="1" t="n">
        <v>45916</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27742-2025</t>
        </is>
      </c>
      <c r="B52" s="1" t="n">
        <v>45815.53724537037</v>
      </c>
      <c r="C52" s="1" t="n">
        <v>45916</v>
      </c>
      <c r="D52" t="inlineStr">
        <is>
          <t>UPPSALA LÄN</t>
        </is>
      </c>
      <c r="E52" t="inlineStr">
        <is>
          <t>ÄLVKARLEBY</t>
        </is>
      </c>
      <c r="F52" t="inlineStr">
        <is>
          <t>Bergvik skog väst AB</t>
        </is>
      </c>
      <c r="G52" t="n">
        <v>1.4</v>
      </c>
      <c r="H52" t="n">
        <v>0</v>
      </c>
      <c r="I52" t="n">
        <v>0</v>
      </c>
      <c r="J52" t="n">
        <v>0</v>
      </c>
      <c r="K52" t="n">
        <v>0</v>
      </c>
      <c r="L52" t="n">
        <v>0</v>
      </c>
      <c r="M52" t="n">
        <v>0</v>
      </c>
      <c r="N52" t="n">
        <v>0</v>
      </c>
      <c r="O52" t="n">
        <v>0</v>
      </c>
      <c r="P52" t="n">
        <v>0</v>
      </c>
      <c r="Q52" t="n">
        <v>0</v>
      </c>
      <c r="R52" s="2" t="inlineStr"/>
    </row>
    <row r="53" ht="15" customHeight="1">
      <c r="A53" t="inlineStr">
        <is>
          <t>A 28670-2025</t>
        </is>
      </c>
      <c r="B53" s="1" t="n">
        <v>45819.67130787037</v>
      </c>
      <c r="C53" s="1" t="n">
        <v>45916</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28668-2025</t>
        </is>
      </c>
      <c r="B54" s="1" t="n">
        <v>45819.66650462963</v>
      </c>
      <c r="C54" s="1" t="n">
        <v>45916</v>
      </c>
      <c r="D54" t="inlineStr">
        <is>
          <t>UPPSALA LÄN</t>
        </is>
      </c>
      <c r="E54" t="inlineStr">
        <is>
          <t>ÄLVKARLEBY</t>
        </is>
      </c>
      <c r="F54" t="inlineStr">
        <is>
          <t>Bergvik skog väst AB</t>
        </is>
      </c>
      <c r="G54" t="n">
        <v>8.300000000000001</v>
      </c>
      <c r="H54" t="n">
        <v>0</v>
      </c>
      <c r="I54" t="n">
        <v>0</v>
      </c>
      <c r="J54" t="n">
        <v>0</v>
      </c>
      <c r="K54" t="n">
        <v>0</v>
      </c>
      <c r="L54" t="n">
        <v>0</v>
      </c>
      <c r="M54" t="n">
        <v>0</v>
      </c>
      <c r="N54" t="n">
        <v>0</v>
      </c>
      <c r="O54" t="n">
        <v>0</v>
      </c>
      <c r="P54" t="n">
        <v>0</v>
      </c>
      <c r="Q54" t="n">
        <v>0</v>
      </c>
      <c r="R54" s="2" t="inlineStr"/>
    </row>
    <row r="55" ht="15" customHeight="1">
      <c r="A55" t="inlineStr">
        <is>
          <t>A 41929-2024</t>
        </is>
      </c>
      <c r="B55" s="1" t="n">
        <v>45561</v>
      </c>
      <c r="C55" s="1" t="n">
        <v>45916</v>
      </c>
      <c r="D55" t="inlineStr">
        <is>
          <t>UPPSALA LÄN</t>
        </is>
      </c>
      <c r="E55" t="inlineStr">
        <is>
          <t>ÄLVKARLEBY</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45916</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30483-2025</t>
        </is>
      </c>
      <c r="B57" s="1" t="n">
        <v>45828.68988425926</v>
      </c>
      <c r="C57" s="1" t="n">
        <v>45916</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30936-2025</t>
        </is>
      </c>
      <c r="B58" s="1" t="n">
        <v>45832.40586805555</v>
      </c>
      <c r="C58" s="1" t="n">
        <v>45916</v>
      </c>
      <c r="D58" t="inlineStr">
        <is>
          <t>UPPSALA LÄN</t>
        </is>
      </c>
      <c r="E58" t="inlineStr">
        <is>
          <t>ÄLVKARLEBY</t>
        </is>
      </c>
      <c r="F58" t="inlineStr">
        <is>
          <t>Bergvik skog öst AB</t>
        </is>
      </c>
      <c r="G58" t="n">
        <v>7.2</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45916</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32187-2025</t>
        </is>
      </c>
      <c r="B60" s="1" t="n">
        <v>45835.56949074074</v>
      </c>
      <c r="C60" s="1" t="n">
        <v>45916</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43285-2023</t>
        </is>
      </c>
      <c r="B61" s="1" t="n">
        <v>45183.5630787037</v>
      </c>
      <c r="C61" s="1" t="n">
        <v>45916</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45916</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45916</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32212-2025</t>
        </is>
      </c>
      <c r="B64" s="1" t="n">
        <v>45835.58509259259</v>
      </c>
      <c r="C64" s="1" t="n">
        <v>45916</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45916</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9533-2025</t>
        </is>
      </c>
      <c r="B66" s="1" t="n">
        <v>45715.57082175926</v>
      </c>
      <c r="C66" s="1" t="n">
        <v>45916</v>
      </c>
      <c r="D66" t="inlineStr">
        <is>
          <t>UPPSALA LÄN</t>
        </is>
      </c>
      <c r="E66" t="inlineStr">
        <is>
          <t>ÄLVKARLEBY</t>
        </is>
      </c>
      <c r="G66" t="n">
        <v>2.1</v>
      </c>
      <c r="H66" t="n">
        <v>0</v>
      </c>
      <c r="I66" t="n">
        <v>0</v>
      </c>
      <c r="J66" t="n">
        <v>0</v>
      </c>
      <c r="K66" t="n">
        <v>0</v>
      </c>
      <c r="L66" t="n">
        <v>0</v>
      </c>
      <c r="M66" t="n">
        <v>0</v>
      </c>
      <c r="N66" t="n">
        <v>0</v>
      </c>
      <c r="O66" t="n">
        <v>0</v>
      </c>
      <c r="P66" t="n">
        <v>0</v>
      </c>
      <c r="Q66" t="n">
        <v>0</v>
      </c>
      <c r="R66" s="2" t="inlineStr"/>
    </row>
    <row r="67" ht="15" customHeight="1">
      <c r="A67" t="inlineStr">
        <is>
          <t>A 26815-2022</t>
        </is>
      </c>
      <c r="B67" s="1" t="n">
        <v>44740.44644675926</v>
      </c>
      <c r="C67" s="1" t="n">
        <v>45916</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2184-2024</t>
        </is>
      </c>
      <c r="B68" s="1" t="n">
        <v>45309</v>
      </c>
      <c r="C68" s="1" t="n">
        <v>45916</v>
      </c>
      <c r="D68" t="inlineStr">
        <is>
          <t>UPPSALA LÄN</t>
        </is>
      </c>
      <c r="E68" t="inlineStr">
        <is>
          <t>ÄLVKARLEBY</t>
        </is>
      </c>
      <c r="G68" t="n">
        <v>0.6</v>
      </c>
      <c r="H68" t="n">
        <v>0</v>
      </c>
      <c r="I68" t="n">
        <v>0</v>
      </c>
      <c r="J68" t="n">
        <v>0</v>
      </c>
      <c r="K68" t="n">
        <v>0</v>
      </c>
      <c r="L68" t="n">
        <v>0</v>
      </c>
      <c r="M68" t="n">
        <v>0</v>
      </c>
      <c r="N68" t="n">
        <v>0</v>
      </c>
      <c r="O68" t="n">
        <v>0</v>
      </c>
      <c r="P68" t="n">
        <v>0</v>
      </c>
      <c r="Q68" t="n">
        <v>0</v>
      </c>
      <c r="R68" s="2" t="inlineStr"/>
    </row>
    <row r="69" ht="15" customHeight="1">
      <c r="A69" t="inlineStr">
        <is>
          <t>A 41615-2025</t>
        </is>
      </c>
      <c r="B69" s="1" t="n">
        <v>45901.69556712963</v>
      </c>
      <c r="C69" s="1" t="n">
        <v>45916</v>
      </c>
      <c r="D69" t="inlineStr">
        <is>
          <t>UPPSALA LÄN</t>
        </is>
      </c>
      <c r="E69" t="inlineStr">
        <is>
          <t>ÄLVKARLEBY</t>
        </is>
      </c>
      <c r="F69" t="inlineStr">
        <is>
          <t>Bergvik skog väst AB</t>
        </is>
      </c>
      <c r="G69" t="n">
        <v>3</v>
      </c>
      <c r="H69" t="n">
        <v>0</v>
      </c>
      <c r="I69" t="n">
        <v>0</v>
      </c>
      <c r="J69" t="n">
        <v>0</v>
      </c>
      <c r="K69" t="n">
        <v>0</v>
      </c>
      <c r="L69" t="n">
        <v>0</v>
      </c>
      <c r="M69" t="n">
        <v>0</v>
      </c>
      <c r="N69" t="n">
        <v>0</v>
      </c>
      <c r="O69" t="n">
        <v>0</v>
      </c>
      <c r="P69" t="n">
        <v>0</v>
      </c>
      <c r="Q69" t="n">
        <v>0</v>
      </c>
      <c r="R69" s="2" t="inlineStr"/>
    </row>
    <row r="70" ht="15" customHeight="1">
      <c r="A70" t="inlineStr">
        <is>
          <t>A 41847-2025</t>
        </is>
      </c>
      <c r="B70" s="1" t="n">
        <v>45902.75265046296</v>
      </c>
      <c r="C70" s="1" t="n">
        <v>45916</v>
      </c>
      <c r="D70" t="inlineStr">
        <is>
          <t>UPPSALA LÄN</t>
        </is>
      </c>
      <c r="E70" t="inlineStr">
        <is>
          <t>ÄLVKARLEBY</t>
        </is>
      </c>
      <c r="F70" t="inlineStr">
        <is>
          <t>Bergvik skog väst AB</t>
        </is>
      </c>
      <c r="G70" t="n">
        <v>3.6</v>
      </c>
      <c r="H70" t="n">
        <v>0</v>
      </c>
      <c r="I70" t="n">
        <v>0</v>
      </c>
      <c r="J70" t="n">
        <v>0</v>
      </c>
      <c r="K70" t="n">
        <v>0</v>
      </c>
      <c r="L70" t="n">
        <v>0</v>
      </c>
      <c r="M70" t="n">
        <v>0</v>
      </c>
      <c r="N70" t="n">
        <v>0</v>
      </c>
      <c r="O70" t="n">
        <v>0</v>
      </c>
      <c r="P70" t="n">
        <v>0</v>
      </c>
      <c r="Q70" t="n">
        <v>0</v>
      </c>
      <c r="R70" s="2" t="inlineStr"/>
    </row>
    <row r="71" ht="15" customHeight="1">
      <c r="A71" t="inlineStr">
        <is>
          <t>A 19703-2025</t>
        </is>
      </c>
      <c r="B71" s="1" t="n">
        <v>45771</v>
      </c>
      <c r="C71" s="1" t="n">
        <v>45916</v>
      </c>
      <c r="D71" t="inlineStr">
        <is>
          <t>UPPSALA LÄN</t>
        </is>
      </c>
      <c r="E71" t="inlineStr">
        <is>
          <t>ÄLVKARLEBY</t>
        </is>
      </c>
      <c r="F71" t="inlineStr">
        <is>
          <t>Bergvik skog väst AB</t>
        </is>
      </c>
      <c r="G71" t="n">
        <v>3.8</v>
      </c>
      <c r="H71" t="n">
        <v>0</v>
      </c>
      <c r="I71" t="n">
        <v>0</v>
      </c>
      <c r="J71" t="n">
        <v>0</v>
      </c>
      <c r="K71" t="n">
        <v>0</v>
      </c>
      <c r="L71" t="n">
        <v>0</v>
      </c>
      <c r="M71" t="n">
        <v>0</v>
      </c>
      <c r="N71" t="n">
        <v>0</v>
      </c>
      <c r="O71" t="n">
        <v>0</v>
      </c>
      <c r="P71" t="n">
        <v>0</v>
      </c>
      <c r="Q71" t="n">
        <v>0</v>
      </c>
      <c r="R71" s="2" t="inlineStr"/>
    </row>
    <row r="72" ht="15" customHeight="1">
      <c r="A72" t="inlineStr">
        <is>
          <t>A 26664-2025</t>
        </is>
      </c>
      <c r="B72" s="1" t="n">
        <v>45810</v>
      </c>
      <c r="C72" s="1" t="n">
        <v>45916</v>
      </c>
      <c r="D72" t="inlineStr">
        <is>
          <t>UPPSALA LÄN</t>
        </is>
      </c>
      <c r="E72" t="inlineStr">
        <is>
          <t>ÄLVKARLEBY</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50409-2020</t>
        </is>
      </c>
      <c r="B73" s="1" t="n">
        <v>44110</v>
      </c>
      <c r="C73" s="1" t="n">
        <v>45916</v>
      </c>
      <c r="D73" t="inlineStr">
        <is>
          <t>UPPSALA LÄN</t>
        </is>
      </c>
      <c r="E73" t="inlineStr">
        <is>
          <t>ÄLVKARLEBY</t>
        </is>
      </c>
      <c r="F73" t="inlineStr">
        <is>
          <t>Bergvik skog väst AB</t>
        </is>
      </c>
      <c r="G73" t="n">
        <v>4</v>
      </c>
      <c r="H73" t="n">
        <v>0</v>
      </c>
      <c r="I73" t="n">
        <v>0</v>
      </c>
      <c r="J73" t="n">
        <v>0</v>
      </c>
      <c r="K73" t="n">
        <v>0</v>
      </c>
      <c r="L73" t="n">
        <v>0</v>
      </c>
      <c r="M73" t="n">
        <v>0</v>
      </c>
      <c r="N73" t="n">
        <v>0</v>
      </c>
      <c r="O73" t="n">
        <v>0</v>
      </c>
      <c r="P73" t="n">
        <v>0</v>
      </c>
      <c r="Q73" t="n">
        <v>0</v>
      </c>
      <c r="R73" s="2" t="inlineStr"/>
    </row>
    <row r="74" ht="15" customHeight="1">
      <c r="A74" t="inlineStr">
        <is>
          <t>A 43577-2025</t>
        </is>
      </c>
      <c r="B74" s="1" t="n">
        <v>45911.64219907407</v>
      </c>
      <c r="C74" s="1" t="n">
        <v>45916</v>
      </c>
      <c r="D74" t="inlineStr">
        <is>
          <t>UPPSALA LÄN</t>
        </is>
      </c>
      <c r="E74" t="inlineStr">
        <is>
          <t>ÄLVKARLEBY</t>
        </is>
      </c>
      <c r="F74" t="inlineStr">
        <is>
          <t>Bergvik skog väst AB</t>
        </is>
      </c>
      <c r="G74" t="n">
        <v>3</v>
      </c>
      <c r="H74" t="n">
        <v>0</v>
      </c>
      <c r="I74" t="n">
        <v>0</v>
      </c>
      <c r="J74" t="n">
        <v>0</v>
      </c>
      <c r="K74" t="n">
        <v>0</v>
      </c>
      <c r="L74" t="n">
        <v>0</v>
      </c>
      <c r="M74" t="n">
        <v>0</v>
      </c>
      <c r="N74" t="n">
        <v>0</v>
      </c>
      <c r="O74" t="n">
        <v>0</v>
      </c>
      <c r="P74" t="n">
        <v>0</v>
      </c>
      <c r="Q74" t="n">
        <v>0</v>
      </c>
      <c r="R74" s="2" t="inlineStr"/>
    </row>
    <row r="75" ht="15" customHeight="1">
      <c r="A75" t="inlineStr">
        <is>
          <t>A 8031-2025</t>
        </is>
      </c>
      <c r="B75" s="1" t="n">
        <v>45707.59112268518</v>
      </c>
      <c r="C75" s="1" t="n">
        <v>45916</v>
      </c>
      <c r="D75" t="inlineStr">
        <is>
          <t>UPPSALA LÄN</t>
        </is>
      </c>
      <c r="E75" t="inlineStr">
        <is>
          <t>ÄLVKARLEBY</t>
        </is>
      </c>
      <c r="F75" t="inlineStr">
        <is>
          <t>Bergvik skog väst AB</t>
        </is>
      </c>
      <c r="G75" t="n">
        <v>4</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45916</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43662-2025</t>
        </is>
      </c>
      <c r="B77" s="1" t="n">
        <v>45912.34446759259</v>
      </c>
      <c r="C77" s="1" t="n">
        <v>45916</v>
      </c>
      <c r="D77" t="inlineStr">
        <is>
          <t>UPPSALA LÄN</t>
        </is>
      </c>
      <c r="E77" t="inlineStr">
        <is>
          <t>ÄLVKARLEBY</t>
        </is>
      </c>
      <c r="F77" t="inlineStr">
        <is>
          <t>Kyrkan</t>
        </is>
      </c>
      <c r="G77" t="n">
        <v>4.5</v>
      </c>
      <c r="H77" t="n">
        <v>0</v>
      </c>
      <c r="I77" t="n">
        <v>0</v>
      </c>
      <c r="J77" t="n">
        <v>0</v>
      </c>
      <c r="K77" t="n">
        <v>0</v>
      </c>
      <c r="L77" t="n">
        <v>0</v>
      </c>
      <c r="M77" t="n">
        <v>0</v>
      </c>
      <c r="N77" t="n">
        <v>0</v>
      </c>
      <c r="O77" t="n">
        <v>0</v>
      </c>
      <c r="P77" t="n">
        <v>0</v>
      </c>
      <c r="Q77" t="n">
        <v>0</v>
      </c>
      <c r="R77" s="2" t="inlineStr"/>
    </row>
    <row r="78" ht="15" customHeight="1">
      <c r="A78" t="inlineStr">
        <is>
          <t>A 8030-2025</t>
        </is>
      </c>
      <c r="B78" s="1" t="n">
        <v>45707.59064814815</v>
      </c>
      <c r="C78" s="1" t="n">
        <v>45916</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45916</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11553-2021</t>
        </is>
      </c>
      <c r="B80" s="1" t="n">
        <v>44264.48725694444</v>
      </c>
      <c r="C80" s="1" t="n">
        <v>45916</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45916</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14004-2025</t>
        </is>
      </c>
      <c r="B82" s="1" t="n">
        <v>45740.2997337963</v>
      </c>
      <c r="C82" s="1" t="n">
        <v>45916</v>
      </c>
      <c r="D82" t="inlineStr">
        <is>
          <t>UPPSALA LÄN</t>
        </is>
      </c>
      <c r="E82" t="inlineStr">
        <is>
          <t>ÄLVKARLEBY</t>
        </is>
      </c>
      <c r="F82" t="inlineStr">
        <is>
          <t>Bergvik skog öst AB</t>
        </is>
      </c>
      <c r="G82" t="n">
        <v>10.1</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45916</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967-2021</t>
        </is>
      </c>
      <c r="B84" s="1" t="n">
        <v>44207</v>
      </c>
      <c r="C84" s="1" t="n">
        <v>45916</v>
      </c>
      <c r="D84" t="inlineStr">
        <is>
          <t>UPPSALA LÄN</t>
        </is>
      </c>
      <c r="E84" t="inlineStr">
        <is>
          <t>ÄLVKARLEBY</t>
        </is>
      </c>
      <c r="G84" t="n">
        <v>0.7</v>
      </c>
      <c r="H84" t="n">
        <v>0</v>
      </c>
      <c r="I84" t="n">
        <v>0</v>
      </c>
      <c r="J84" t="n">
        <v>0</v>
      </c>
      <c r="K84" t="n">
        <v>0</v>
      </c>
      <c r="L84" t="n">
        <v>0</v>
      </c>
      <c r="M84" t="n">
        <v>0</v>
      </c>
      <c r="N84" t="n">
        <v>0</v>
      </c>
      <c r="O84" t="n">
        <v>0</v>
      </c>
      <c r="P84" t="n">
        <v>0</v>
      </c>
      <c r="Q84" t="n">
        <v>0</v>
      </c>
      <c r="R84" s="2" t="inlineStr"/>
    </row>
    <row r="85" ht="15" customHeight="1">
      <c r="A85" t="inlineStr">
        <is>
          <t>A 36216-2022</t>
        </is>
      </c>
      <c r="B85" s="1" t="n">
        <v>44803</v>
      </c>
      <c r="C85" s="1" t="n">
        <v>45916</v>
      </c>
      <c r="D85" t="inlineStr">
        <is>
          <t>UPPSALA LÄN</t>
        </is>
      </c>
      <c r="E85" t="inlineStr">
        <is>
          <t>ÄLVKARLEBY</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45916</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19304-2024</t>
        </is>
      </c>
      <c r="B87" s="1" t="n">
        <v>45428</v>
      </c>
      <c r="C87" s="1" t="n">
        <v>45916</v>
      </c>
      <c r="D87" t="inlineStr">
        <is>
          <t>UPPSALA LÄN</t>
        </is>
      </c>
      <c r="E87" t="inlineStr">
        <is>
          <t>ÄLVKARLEBY</t>
        </is>
      </c>
      <c r="G87" t="n">
        <v>0.2</v>
      </c>
      <c r="H87" t="n">
        <v>0</v>
      </c>
      <c r="I87" t="n">
        <v>0</v>
      </c>
      <c r="J87" t="n">
        <v>0</v>
      </c>
      <c r="K87" t="n">
        <v>0</v>
      </c>
      <c r="L87" t="n">
        <v>0</v>
      </c>
      <c r="M87" t="n">
        <v>0</v>
      </c>
      <c r="N87" t="n">
        <v>0</v>
      </c>
      <c r="O87" t="n">
        <v>0</v>
      </c>
      <c r="P87" t="n">
        <v>0</v>
      </c>
      <c r="Q87" t="n">
        <v>0</v>
      </c>
      <c r="R87" s="2" t="inlineStr"/>
    </row>
    <row r="88" ht="15" customHeight="1">
      <c r="A88" t="inlineStr">
        <is>
          <t>A 19697-2025</t>
        </is>
      </c>
      <c r="B88" s="1" t="n">
        <v>45771</v>
      </c>
      <c r="C88" s="1" t="n">
        <v>45916</v>
      </c>
      <c r="D88" t="inlineStr">
        <is>
          <t>UPPSALA LÄN</t>
        </is>
      </c>
      <c r="E88" t="inlineStr">
        <is>
          <t>ÄLVKARLEBY</t>
        </is>
      </c>
      <c r="F88" t="inlineStr">
        <is>
          <t>Bergvik skog väst AB</t>
        </is>
      </c>
      <c r="G88" t="n">
        <v>3.3</v>
      </c>
      <c r="H88" t="n">
        <v>0</v>
      </c>
      <c r="I88" t="n">
        <v>0</v>
      </c>
      <c r="J88" t="n">
        <v>0</v>
      </c>
      <c r="K88" t="n">
        <v>0</v>
      </c>
      <c r="L88" t="n">
        <v>0</v>
      </c>
      <c r="M88" t="n">
        <v>0</v>
      </c>
      <c r="N88" t="n">
        <v>0</v>
      </c>
      <c r="O88" t="n">
        <v>0</v>
      </c>
      <c r="P88" t="n">
        <v>0</v>
      </c>
      <c r="Q88" t="n">
        <v>0</v>
      </c>
      <c r="R88" s="2" t="inlineStr"/>
    </row>
    <row r="89" ht="15" customHeight="1">
      <c r="A89" t="inlineStr">
        <is>
          <t>A 21012-2025</t>
        </is>
      </c>
      <c r="B89" s="1" t="n">
        <v>45777</v>
      </c>
      <c r="C89" s="1" t="n">
        <v>45916</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22223-2025</t>
        </is>
      </c>
      <c r="B90" s="1" t="n">
        <v>45785</v>
      </c>
      <c r="C90" s="1" t="n">
        <v>45916</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c r="A91" t="inlineStr">
        <is>
          <t>A 16990-2022</t>
        </is>
      </c>
      <c r="B91" s="1" t="n">
        <v>44676.6122337963</v>
      </c>
      <c r="C91" s="1" t="n">
        <v>45916</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2025-09-16T08:54:55Z</dcterms:created>
  <dcterms:modified xmlns:dcterms="http://purl.org/dc/terms/" xmlns:xsi="http://www.w3.org/2001/XMLSchema-instance" xsi:type="dcterms:W3CDTF">2025-09-16T08:54:55Z</dcterms:modified>
</cp:coreProperties>
</file>