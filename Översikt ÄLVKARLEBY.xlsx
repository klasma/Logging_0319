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45662</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45662</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45662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45662</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45662</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45662</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45662</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45662</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45662</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45662</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45662</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45662</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45662</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45662</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45662</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45662</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45662</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45662</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45662</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45662</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55567-2024</t>
        </is>
      </c>
      <c r="B22" s="1" t="n">
        <v>45622</v>
      </c>
      <c r="C22" s="1" t="n">
        <v>45662</v>
      </c>
      <c r="D22" t="inlineStr">
        <is>
          <t>UPPSALA LÄN</t>
        </is>
      </c>
      <c r="E22" t="inlineStr">
        <is>
          <t>ÄLVKARLEBY</t>
        </is>
      </c>
      <c r="F22" t="inlineStr">
        <is>
          <t>Bergvik skog väst AB</t>
        </is>
      </c>
      <c r="G22" t="n">
        <v>2.7</v>
      </c>
      <c r="H22" t="n">
        <v>2</v>
      </c>
      <c r="I22" t="n">
        <v>0</v>
      </c>
      <c r="J22" t="n">
        <v>0</v>
      </c>
      <c r="K22" t="n">
        <v>1</v>
      </c>
      <c r="L22" t="n">
        <v>0</v>
      </c>
      <c r="M22" t="n">
        <v>0</v>
      </c>
      <c r="N22" t="n">
        <v>0</v>
      </c>
      <c r="O22" t="n">
        <v>1</v>
      </c>
      <c r="P22" t="n">
        <v>1</v>
      </c>
      <c r="Q22" t="n">
        <v>2</v>
      </c>
      <c r="R22" s="2" t="inlineStr">
        <is>
          <t>Knärot
Lopplummer</t>
        </is>
      </c>
      <c r="S22">
        <f>HYPERLINK("https://klasma.github.io/Logging_0319/artfynd/A 55567-2024 artfynd.xlsx", "A 55567-2024")</f>
        <v/>
      </c>
      <c r="T22">
        <f>HYPERLINK("https://klasma.github.io/Logging_0319/kartor/A 55567-2024 karta.png", "A 55567-2024")</f>
        <v/>
      </c>
      <c r="U22">
        <f>HYPERLINK("https://klasma.github.io/Logging_0319/knärot/A 55567-2024 karta knärot.png", "A 55567-2024")</f>
        <v/>
      </c>
      <c r="V22">
        <f>HYPERLINK("https://klasma.github.io/Logging_0319/klagomål/A 55567-2024 FSC-klagomål.docx", "A 55567-2024")</f>
        <v/>
      </c>
      <c r="W22">
        <f>HYPERLINK("https://klasma.github.io/Logging_0319/klagomålsmail/A 55567-2024 FSC-klagomål mail.docx", "A 55567-2024")</f>
        <v/>
      </c>
      <c r="X22">
        <f>HYPERLINK("https://klasma.github.io/Logging_0319/tillsyn/A 55567-2024 tillsynsbegäran.docx", "A 55567-2024")</f>
        <v/>
      </c>
      <c r="Y22">
        <f>HYPERLINK("https://klasma.github.io/Logging_0319/tillsynsmail/A 55567-2024 tillsynsbegäran mail.docx", "A 55567-2024")</f>
        <v/>
      </c>
    </row>
    <row r="23" ht="15" customHeight="1">
      <c r="A23" t="inlineStr">
        <is>
          <t>A 61147-2019</t>
        </is>
      </c>
      <c r="B23" s="1" t="n">
        <v>43782</v>
      </c>
      <c r="C23" s="1" t="n">
        <v>45662</v>
      </c>
      <c r="D23" t="inlineStr">
        <is>
          <t>UPPSALA LÄN</t>
        </is>
      </c>
      <c r="E23" t="inlineStr">
        <is>
          <t>ÄLVKARLEBY</t>
        </is>
      </c>
      <c r="F23" t="inlineStr">
        <is>
          <t>Bergvik skog väst AB</t>
        </is>
      </c>
      <c r="G23" t="n">
        <v>0.9</v>
      </c>
      <c r="H23" t="n">
        <v>0</v>
      </c>
      <c r="I23" t="n">
        <v>0</v>
      </c>
      <c r="J23" t="n">
        <v>0</v>
      </c>
      <c r="K23" t="n">
        <v>1</v>
      </c>
      <c r="L23" t="n">
        <v>0</v>
      </c>
      <c r="M23" t="n">
        <v>0</v>
      </c>
      <c r="N23" t="n">
        <v>0</v>
      </c>
      <c r="O23" t="n">
        <v>1</v>
      </c>
      <c r="P23" t="n">
        <v>1</v>
      </c>
      <c r="Q23" t="n">
        <v>1</v>
      </c>
      <c r="R23" s="2" t="inlineStr">
        <is>
          <t>Violgubbe</t>
        </is>
      </c>
      <c r="S23">
        <f>HYPERLINK("https://klasma.github.io/Logging_0319/artfynd/A 61147-2019 artfynd.xlsx", "A 61147-2019")</f>
        <v/>
      </c>
      <c r="T23">
        <f>HYPERLINK("https://klasma.github.io/Logging_0319/kartor/A 61147-2019 karta.png", "A 61147-2019")</f>
        <v/>
      </c>
      <c r="V23">
        <f>HYPERLINK("https://klasma.github.io/Logging_0319/klagomål/A 61147-2019 FSC-klagomål.docx", "A 61147-2019")</f>
        <v/>
      </c>
      <c r="W23">
        <f>HYPERLINK("https://klasma.github.io/Logging_0319/klagomålsmail/A 61147-2019 FSC-klagomål mail.docx", "A 61147-2019")</f>
        <v/>
      </c>
      <c r="X23">
        <f>HYPERLINK("https://klasma.github.io/Logging_0319/tillsyn/A 61147-2019 tillsynsbegäran.docx", "A 61147-2019")</f>
        <v/>
      </c>
      <c r="Y23">
        <f>HYPERLINK("https://klasma.github.io/Logging_0319/tillsynsmail/A 61147-2019 tillsynsbegäran mail.docx", "A 61147-2019")</f>
        <v/>
      </c>
    </row>
    <row r="24" ht="15" customHeight="1">
      <c r="A24" t="inlineStr">
        <is>
          <t>A 42895-2020</t>
        </is>
      </c>
      <c r="B24" s="1" t="n">
        <v>44078</v>
      </c>
      <c r="C24" s="1" t="n">
        <v>45662</v>
      </c>
      <c r="D24" t="inlineStr">
        <is>
          <t>UPPSALA LÄN</t>
        </is>
      </c>
      <c r="E24" t="inlineStr">
        <is>
          <t>ÄLVKARLEBY</t>
        </is>
      </c>
      <c r="F24" t="inlineStr">
        <is>
          <t>Bergvik skog väst AB</t>
        </is>
      </c>
      <c r="G24" t="n">
        <v>21.9</v>
      </c>
      <c r="H24" t="n">
        <v>1</v>
      </c>
      <c r="I24" t="n">
        <v>0</v>
      </c>
      <c r="J24" t="n">
        <v>0</v>
      </c>
      <c r="K24" t="n">
        <v>1</v>
      </c>
      <c r="L24" t="n">
        <v>0</v>
      </c>
      <c r="M24" t="n">
        <v>0</v>
      </c>
      <c r="N24" t="n">
        <v>0</v>
      </c>
      <c r="O24" t="n">
        <v>1</v>
      </c>
      <c r="P24" t="n">
        <v>1</v>
      </c>
      <c r="Q24" t="n">
        <v>1</v>
      </c>
      <c r="R24" s="2" t="inlineStr">
        <is>
          <t>Gölgroda</t>
        </is>
      </c>
      <c r="S24">
        <f>HYPERLINK("https://klasma.github.io/Logging_0319/artfynd/A 42895-2020 artfynd.xlsx", "A 42895-2020")</f>
        <v/>
      </c>
      <c r="T24">
        <f>HYPERLINK("https://klasma.github.io/Logging_0319/kartor/A 42895-2020 karta.png", "A 42895-2020")</f>
        <v/>
      </c>
      <c r="V24">
        <f>HYPERLINK("https://klasma.github.io/Logging_0319/klagomål/A 42895-2020 FSC-klagomål.docx", "A 42895-2020")</f>
        <v/>
      </c>
      <c r="W24">
        <f>HYPERLINK("https://klasma.github.io/Logging_0319/klagomålsmail/A 42895-2020 FSC-klagomål mail.docx", "A 42895-2020")</f>
        <v/>
      </c>
      <c r="X24">
        <f>HYPERLINK("https://klasma.github.io/Logging_0319/tillsyn/A 42895-2020 tillsynsbegäran.docx", "A 42895-2020")</f>
        <v/>
      </c>
      <c r="Y24">
        <f>HYPERLINK("https://klasma.github.io/Logging_0319/tillsynsmail/A 42895-2020 tillsynsbegäran mail.docx", "A 42895-2020")</f>
        <v/>
      </c>
    </row>
    <row r="25" ht="15" customHeight="1">
      <c r="A25" t="inlineStr">
        <is>
          <t>A 66277-2020</t>
        </is>
      </c>
      <c r="B25" s="1" t="n">
        <v>44176</v>
      </c>
      <c r="C25" s="1" t="n">
        <v>45662</v>
      </c>
      <c r="D25" t="inlineStr">
        <is>
          <t>UPPSALA LÄN</t>
        </is>
      </c>
      <c r="E25" t="inlineStr">
        <is>
          <t>ÄLVKARLEBY</t>
        </is>
      </c>
      <c r="F25" t="inlineStr">
        <is>
          <t>Bergvik skog väst AB</t>
        </is>
      </c>
      <c r="G25" t="n">
        <v>2.6</v>
      </c>
      <c r="H25" t="n">
        <v>1</v>
      </c>
      <c r="I25" t="n">
        <v>0</v>
      </c>
      <c r="J25" t="n">
        <v>0</v>
      </c>
      <c r="K25" t="n">
        <v>0</v>
      </c>
      <c r="L25" t="n">
        <v>0</v>
      </c>
      <c r="M25" t="n">
        <v>0</v>
      </c>
      <c r="N25" t="n">
        <v>0</v>
      </c>
      <c r="O25" t="n">
        <v>0</v>
      </c>
      <c r="P25" t="n">
        <v>0</v>
      </c>
      <c r="Q25" t="n">
        <v>1</v>
      </c>
      <c r="R25" s="2" t="inlineStr">
        <is>
          <t>Vanlig padda</t>
        </is>
      </c>
      <c r="S25">
        <f>HYPERLINK("https://klasma.github.io/Logging_0319/artfynd/A 66277-2020 artfynd.xlsx", "A 66277-2020")</f>
        <v/>
      </c>
      <c r="T25">
        <f>HYPERLINK("https://klasma.github.io/Logging_0319/kartor/A 66277-2020 karta.png", "A 66277-2020")</f>
        <v/>
      </c>
      <c r="V25">
        <f>HYPERLINK("https://klasma.github.io/Logging_0319/klagomål/A 66277-2020 FSC-klagomål.docx", "A 66277-2020")</f>
        <v/>
      </c>
      <c r="W25">
        <f>HYPERLINK("https://klasma.github.io/Logging_0319/klagomålsmail/A 66277-2020 FSC-klagomål mail.docx", "A 66277-2020")</f>
        <v/>
      </c>
      <c r="X25">
        <f>HYPERLINK("https://klasma.github.io/Logging_0319/tillsyn/A 66277-2020 tillsynsbegäran.docx", "A 66277-2020")</f>
        <v/>
      </c>
      <c r="Y25">
        <f>HYPERLINK("https://klasma.github.io/Logging_0319/tillsynsmail/A 66277-2020 tillsynsbegäran mail.docx", "A 66277-2020")</f>
        <v/>
      </c>
    </row>
    <row r="26" ht="15" customHeight="1">
      <c r="A26" t="inlineStr">
        <is>
          <t>A 10455-2022</t>
        </is>
      </c>
      <c r="B26" s="1" t="n">
        <v>44623</v>
      </c>
      <c r="C26" s="1" t="n">
        <v>45662</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29748-2022</t>
        </is>
      </c>
      <c r="B27" s="1" t="n">
        <v>44755</v>
      </c>
      <c r="C27" s="1" t="n">
        <v>45662</v>
      </c>
      <c r="D27" t="inlineStr">
        <is>
          <t>UPPSALA LÄN</t>
        </is>
      </c>
      <c r="E27" t="inlineStr">
        <is>
          <t>ÄLVKARLEBY</t>
        </is>
      </c>
      <c r="F27" t="inlineStr">
        <is>
          <t>Bergvik skog väst AB</t>
        </is>
      </c>
      <c r="G27" t="n">
        <v>2</v>
      </c>
      <c r="H27" t="n">
        <v>0</v>
      </c>
      <c r="I27" t="n">
        <v>0</v>
      </c>
      <c r="J27" t="n">
        <v>0</v>
      </c>
      <c r="K27" t="n">
        <v>0</v>
      </c>
      <c r="L27" t="n">
        <v>1</v>
      </c>
      <c r="M27" t="n">
        <v>0</v>
      </c>
      <c r="N27" t="n">
        <v>0</v>
      </c>
      <c r="O27" t="n">
        <v>1</v>
      </c>
      <c r="P27" t="n">
        <v>1</v>
      </c>
      <c r="Q27" t="n">
        <v>1</v>
      </c>
      <c r="R27" s="2" t="inlineStr">
        <is>
          <t>Stor bockrot</t>
        </is>
      </c>
      <c r="S27">
        <f>HYPERLINK("https://klasma.github.io/Logging_0319/artfynd/A 29748-2022 artfynd.xlsx", "A 29748-2022")</f>
        <v/>
      </c>
      <c r="T27">
        <f>HYPERLINK("https://klasma.github.io/Logging_0319/kartor/A 29748-2022 karta.png", "A 29748-2022")</f>
        <v/>
      </c>
      <c r="V27">
        <f>HYPERLINK("https://klasma.github.io/Logging_0319/klagomål/A 29748-2022 FSC-klagomål.docx", "A 29748-2022")</f>
        <v/>
      </c>
      <c r="W27">
        <f>HYPERLINK("https://klasma.github.io/Logging_0319/klagomålsmail/A 29748-2022 FSC-klagomål mail.docx", "A 29748-2022")</f>
        <v/>
      </c>
      <c r="X27">
        <f>HYPERLINK("https://klasma.github.io/Logging_0319/tillsyn/A 29748-2022 tillsynsbegäran.docx", "A 29748-2022")</f>
        <v/>
      </c>
      <c r="Y27">
        <f>HYPERLINK("https://klasma.github.io/Logging_0319/tillsynsmail/A 29748-2022 tillsynsbegäran mail.docx", "A 29748-2022")</f>
        <v/>
      </c>
    </row>
    <row r="28" ht="15" customHeight="1">
      <c r="A28" t="inlineStr">
        <is>
          <t>A 12415-2023</t>
        </is>
      </c>
      <c r="B28" s="1" t="n">
        <v>44999</v>
      </c>
      <c r="C28" s="1" t="n">
        <v>45662</v>
      </c>
      <c r="D28" t="inlineStr">
        <is>
          <t>UPPSALA LÄN</t>
        </is>
      </c>
      <c r="E28" t="inlineStr">
        <is>
          <t>ÄLVKARLEBY</t>
        </is>
      </c>
      <c r="F28" t="inlineStr">
        <is>
          <t>Bergvik skog väst AB</t>
        </is>
      </c>
      <c r="G28" t="n">
        <v>7.2</v>
      </c>
      <c r="H28" t="n">
        <v>0</v>
      </c>
      <c r="I28" t="n">
        <v>1</v>
      </c>
      <c r="J28" t="n">
        <v>0</v>
      </c>
      <c r="K28" t="n">
        <v>0</v>
      </c>
      <c r="L28" t="n">
        <v>0</v>
      </c>
      <c r="M28" t="n">
        <v>0</v>
      </c>
      <c r="N28" t="n">
        <v>0</v>
      </c>
      <c r="O28" t="n">
        <v>0</v>
      </c>
      <c r="P28" t="n">
        <v>0</v>
      </c>
      <c r="Q28" t="n">
        <v>1</v>
      </c>
      <c r="R28" s="2" t="inlineStr">
        <is>
          <t>Sårläka</t>
        </is>
      </c>
      <c r="S28">
        <f>HYPERLINK("https://klasma.github.io/Logging_0319/artfynd/A 12415-2023 artfynd.xlsx", "A 12415-2023")</f>
        <v/>
      </c>
      <c r="T28">
        <f>HYPERLINK("https://klasma.github.io/Logging_0319/kartor/A 12415-2023 karta.png", "A 12415-2023")</f>
        <v/>
      </c>
      <c r="V28">
        <f>HYPERLINK("https://klasma.github.io/Logging_0319/klagomål/A 12415-2023 FSC-klagomål.docx", "A 12415-2023")</f>
        <v/>
      </c>
      <c r="W28">
        <f>HYPERLINK("https://klasma.github.io/Logging_0319/klagomålsmail/A 12415-2023 FSC-klagomål mail.docx", "A 12415-2023")</f>
        <v/>
      </c>
      <c r="X28">
        <f>HYPERLINK("https://klasma.github.io/Logging_0319/tillsyn/A 12415-2023 tillsynsbegäran.docx", "A 12415-2023")</f>
        <v/>
      </c>
      <c r="Y28">
        <f>HYPERLINK("https://klasma.github.io/Logging_0319/tillsynsmail/A 12415-2023 tillsynsbegäran mail.docx", "A 12415-2023")</f>
        <v/>
      </c>
    </row>
    <row r="29" ht="15" customHeight="1">
      <c r="A29" t="inlineStr">
        <is>
          <t>A 46354-2023</t>
        </is>
      </c>
      <c r="B29" s="1" t="n">
        <v>45197</v>
      </c>
      <c r="C29" s="1" t="n">
        <v>45662</v>
      </c>
      <c r="D29" t="inlineStr">
        <is>
          <t>UPPSALA LÄN</t>
        </is>
      </c>
      <c r="E29" t="inlineStr">
        <is>
          <t>ÄLVKARLEBY</t>
        </is>
      </c>
      <c r="F29" t="inlineStr">
        <is>
          <t>Bergvik skog öst AB</t>
        </is>
      </c>
      <c r="G29" t="n">
        <v>2.3</v>
      </c>
      <c r="H29" t="n">
        <v>1</v>
      </c>
      <c r="I29" t="n">
        <v>1</v>
      </c>
      <c r="J29" t="n">
        <v>0</v>
      </c>
      <c r="K29" t="n">
        <v>0</v>
      </c>
      <c r="L29" t="n">
        <v>0</v>
      </c>
      <c r="M29" t="n">
        <v>0</v>
      </c>
      <c r="N29" t="n">
        <v>0</v>
      </c>
      <c r="O29" t="n">
        <v>0</v>
      </c>
      <c r="P29" t="n">
        <v>0</v>
      </c>
      <c r="Q29" t="n">
        <v>1</v>
      </c>
      <c r="R29" s="2" t="inlineStr">
        <is>
          <t>Skogsknipprot</t>
        </is>
      </c>
      <c r="S29">
        <f>HYPERLINK("https://klasma.github.io/Logging_0319/artfynd/A 46354-2023 artfynd.xlsx", "A 46354-2023")</f>
        <v/>
      </c>
      <c r="T29">
        <f>HYPERLINK("https://klasma.github.io/Logging_0319/kartor/A 46354-2023 karta.png", "A 46354-2023")</f>
        <v/>
      </c>
      <c r="V29">
        <f>HYPERLINK("https://klasma.github.io/Logging_0319/klagomål/A 46354-2023 FSC-klagomål.docx", "A 46354-2023")</f>
        <v/>
      </c>
      <c r="W29">
        <f>HYPERLINK("https://klasma.github.io/Logging_0319/klagomålsmail/A 46354-2023 FSC-klagomål mail.docx", "A 46354-2023")</f>
        <v/>
      </c>
      <c r="X29">
        <f>HYPERLINK("https://klasma.github.io/Logging_0319/tillsyn/A 46354-2023 tillsynsbegäran.docx", "A 46354-2023")</f>
        <v/>
      </c>
      <c r="Y29">
        <f>HYPERLINK("https://klasma.github.io/Logging_0319/tillsynsmail/A 46354-2023 tillsynsbegäran mail.docx", "A 46354-2023")</f>
        <v/>
      </c>
    </row>
    <row r="30" ht="15" customHeight="1">
      <c r="A30" t="inlineStr">
        <is>
          <t>A 5209-2024</t>
        </is>
      </c>
      <c r="B30" s="1" t="n">
        <v>45330</v>
      </c>
      <c r="C30" s="1" t="n">
        <v>45662</v>
      </c>
      <c r="D30" t="inlineStr">
        <is>
          <t>UPPSALA LÄN</t>
        </is>
      </c>
      <c r="E30" t="inlineStr">
        <is>
          <t>ÄLVKARLEBY</t>
        </is>
      </c>
      <c r="G30" t="n">
        <v>6.3</v>
      </c>
      <c r="H30" t="n">
        <v>1</v>
      </c>
      <c r="I30" t="n">
        <v>1</v>
      </c>
      <c r="J30" t="n">
        <v>0</v>
      </c>
      <c r="K30" t="n">
        <v>0</v>
      </c>
      <c r="L30" t="n">
        <v>0</v>
      </c>
      <c r="M30" t="n">
        <v>0</v>
      </c>
      <c r="N30" t="n">
        <v>0</v>
      </c>
      <c r="O30" t="n">
        <v>0</v>
      </c>
      <c r="P30" t="n">
        <v>0</v>
      </c>
      <c r="Q30" t="n">
        <v>1</v>
      </c>
      <c r="R30" s="2" t="inlineStr">
        <is>
          <t>Guckusko</t>
        </is>
      </c>
      <c r="S30">
        <f>HYPERLINK("https://klasma.github.io/Logging_0319/artfynd/A 5209-2024 artfynd.xlsx", "A 5209-2024")</f>
        <v/>
      </c>
      <c r="T30">
        <f>HYPERLINK("https://klasma.github.io/Logging_0319/kartor/A 5209-2024 karta.png", "A 5209-2024")</f>
        <v/>
      </c>
      <c r="V30">
        <f>HYPERLINK("https://klasma.github.io/Logging_0319/klagomål/A 5209-2024 FSC-klagomål.docx", "A 5209-2024")</f>
        <v/>
      </c>
      <c r="W30">
        <f>HYPERLINK("https://klasma.github.io/Logging_0319/klagomålsmail/A 5209-2024 FSC-klagomål mail.docx", "A 5209-2024")</f>
        <v/>
      </c>
      <c r="X30">
        <f>HYPERLINK("https://klasma.github.io/Logging_0319/tillsyn/A 5209-2024 tillsynsbegäran.docx", "A 5209-2024")</f>
        <v/>
      </c>
      <c r="Y30">
        <f>HYPERLINK("https://klasma.github.io/Logging_0319/tillsynsmail/A 5209-2024 tillsynsbegäran mail.docx", "A 5209-2024")</f>
        <v/>
      </c>
    </row>
    <row r="31" ht="15" customHeight="1">
      <c r="A31" t="inlineStr">
        <is>
          <t>A 19300-2024</t>
        </is>
      </c>
      <c r="B31" s="1" t="n">
        <v>45428</v>
      </c>
      <c r="C31" s="1" t="n">
        <v>45662</v>
      </c>
      <c r="D31" t="inlineStr">
        <is>
          <t>UPPSALA LÄN</t>
        </is>
      </c>
      <c r="E31" t="inlineStr">
        <is>
          <t>ÄLVKARLEBY</t>
        </is>
      </c>
      <c r="G31" t="n">
        <v>0.9</v>
      </c>
      <c r="H31" t="n">
        <v>1</v>
      </c>
      <c r="I31" t="n">
        <v>0</v>
      </c>
      <c r="J31" t="n">
        <v>0</v>
      </c>
      <c r="K31" t="n">
        <v>1</v>
      </c>
      <c r="L31" t="n">
        <v>0</v>
      </c>
      <c r="M31" t="n">
        <v>0</v>
      </c>
      <c r="N31" t="n">
        <v>0</v>
      </c>
      <c r="O31" t="n">
        <v>1</v>
      </c>
      <c r="P31" t="n">
        <v>1</v>
      </c>
      <c r="Q31" t="n">
        <v>1</v>
      </c>
      <c r="R31" s="2" t="inlineStr">
        <is>
          <t>Kricka</t>
        </is>
      </c>
      <c r="S31">
        <f>HYPERLINK("https://klasma.github.io/Logging_0319/artfynd/A 19300-2024 artfynd.xlsx", "A 19300-2024")</f>
        <v/>
      </c>
      <c r="T31">
        <f>HYPERLINK("https://klasma.github.io/Logging_0319/kartor/A 19300-2024 karta.png", "A 19300-2024")</f>
        <v/>
      </c>
      <c r="V31">
        <f>HYPERLINK("https://klasma.github.io/Logging_0319/klagomål/A 19300-2024 FSC-klagomål.docx", "A 19300-2024")</f>
        <v/>
      </c>
      <c r="W31">
        <f>HYPERLINK("https://klasma.github.io/Logging_0319/klagomålsmail/A 19300-2024 FSC-klagomål mail.docx", "A 19300-2024")</f>
        <v/>
      </c>
      <c r="X31">
        <f>HYPERLINK("https://klasma.github.io/Logging_0319/tillsyn/A 19300-2024 tillsynsbegäran.docx", "A 19300-2024")</f>
        <v/>
      </c>
      <c r="Y31">
        <f>HYPERLINK("https://klasma.github.io/Logging_0319/tillsynsmail/A 19300-2024 tillsynsbegäran mail.docx", "A 19300-2024")</f>
        <v/>
      </c>
      <c r="Z31">
        <f>HYPERLINK("https://klasma.github.io/Logging_0319/fåglar/A 19300-2024 prioriterade fågelarter.docx", "A 19300-2024")</f>
        <v/>
      </c>
    </row>
    <row r="32" ht="15" customHeight="1">
      <c r="A32" t="inlineStr">
        <is>
          <t>A 21700-2024</t>
        </is>
      </c>
      <c r="B32" s="1" t="n">
        <v>45442</v>
      </c>
      <c r="C32" s="1" t="n">
        <v>45662</v>
      </c>
      <c r="D32" t="inlineStr">
        <is>
          <t>UPPSALA LÄN</t>
        </is>
      </c>
      <c r="E32" t="inlineStr">
        <is>
          <t>ÄLVKARLEBY</t>
        </is>
      </c>
      <c r="F32" t="inlineStr">
        <is>
          <t>Bergvik skog väst AB</t>
        </is>
      </c>
      <c r="G32" t="n">
        <v>1.1</v>
      </c>
      <c r="H32" t="n">
        <v>0</v>
      </c>
      <c r="I32" t="n">
        <v>0</v>
      </c>
      <c r="J32" t="n">
        <v>0</v>
      </c>
      <c r="K32" t="n">
        <v>1</v>
      </c>
      <c r="L32" t="n">
        <v>0</v>
      </c>
      <c r="M32" t="n">
        <v>0</v>
      </c>
      <c r="N32" t="n">
        <v>0</v>
      </c>
      <c r="O32" t="n">
        <v>1</v>
      </c>
      <c r="P32" t="n">
        <v>1</v>
      </c>
      <c r="Q32" t="n">
        <v>1</v>
      </c>
      <c r="R32" s="2" t="inlineStr">
        <is>
          <t>Töcknig trymal</t>
        </is>
      </c>
      <c r="S32">
        <f>HYPERLINK("https://klasma.github.io/Logging_0319/artfynd/A 21700-2024 artfynd.xlsx", "A 21700-2024")</f>
        <v/>
      </c>
      <c r="T32">
        <f>HYPERLINK("https://klasma.github.io/Logging_0319/kartor/A 21700-2024 karta.png", "A 21700-2024")</f>
        <v/>
      </c>
      <c r="V32">
        <f>HYPERLINK("https://klasma.github.io/Logging_0319/klagomål/A 21700-2024 FSC-klagomål.docx", "A 21700-2024")</f>
        <v/>
      </c>
      <c r="W32">
        <f>HYPERLINK("https://klasma.github.io/Logging_0319/klagomålsmail/A 21700-2024 FSC-klagomål mail.docx", "A 21700-2024")</f>
        <v/>
      </c>
      <c r="X32">
        <f>HYPERLINK("https://klasma.github.io/Logging_0319/tillsyn/A 21700-2024 tillsynsbegäran.docx", "A 21700-2024")</f>
        <v/>
      </c>
      <c r="Y32">
        <f>HYPERLINK("https://klasma.github.io/Logging_0319/tillsynsmail/A 21700-2024 tillsynsbegäran mail.docx", "A 21700-2024")</f>
        <v/>
      </c>
    </row>
    <row r="33" ht="15" customHeight="1">
      <c r="A33" t="inlineStr">
        <is>
          <t>A 26471-2024</t>
        </is>
      </c>
      <c r="B33" s="1" t="n">
        <v>45469</v>
      </c>
      <c r="C33" s="1" t="n">
        <v>45662</v>
      </c>
      <c r="D33" t="inlineStr">
        <is>
          <t>UPPSALA LÄN</t>
        </is>
      </c>
      <c r="E33" t="inlineStr">
        <is>
          <t>ÄLVKARLEBY</t>
        </is>
      </c>
      <c r="F33" t="inlineStr">
        <is>
          <t>Bergvik skog väst AB</t>
        </is>
      </c>
      <c r="G33" t="n">
        <v>5.3</v>
      </c>
      <c r="H33" t="n">
        <v>1</v>
      </c>
      <c r="I33" t="n">
        <v>0</v>
      </c>
      <c r="J33" t="n">
        <v>1</v>
      </c>
      <c r="K33" t="n">
        <v>0</v>
      </c>
      <c r="L33" t="n">
        <v>0</v>
      </c>
      <c r="M33" t="n">
        <v>0</v>
      </c>
      <c r="N33" t="n">
        <v>0</v>
      </c>
      <c r="O33" t="n">
        <v>1</v>
      </c>
      <c r="P33" t="n">
        <v>0</v>
      </c>
      <c r="Q33" t="n">
        <v>1</v>
      </c>
      <c r="R33" s="2" t="inlineStr">
        <is>
          <t>Slaguggla</t>
        </is>
      </c>
      <c r="S33">
        <f>HYPERLINK("https://klasma.github.io/Logging_0319/artfynd/A 26471-2024 artfynd.xlsx", "A 26471-2024")</f>
        <v/>
      </c>
      <c r="T33">
        <f>HYPERLINK("https://klasma.github.io/Logging_0319/kartor/A 26471-2024 karta.png", "A 26471-2024")</f>
        <v/>
      </c>
      <c r="V33">
        <f>HYPERLINK("https://klasma.github.io/Logging_0319/klagomål/A 26471-2024 FSC-klagomål.docx", "A 26471-2024")</f>
        <v/>
      </c>
      <c r="W33">
        <f>HYPERLINK("https://klasma.github.io/Logging_0319/klagomålsmail/A 26471-2024 FSC-klagomål mail.docx", "A 26471-2024")</f>
        <v/>
      </c>
      <c r="X33">
        <f>HYPERLINK("https://klasma.github.io/Logging_0319/tillsyn/A 26471-2024 tillsynsbegäran.docx", "A 26471-2024")</f>
        <v/>
      </c>
      <c r="Y33">
        <f>HYPERLINK("https://klasma.github.io/Logging_0319/tillsynsmail/A 26471-2024 tillsynsbegäran mail.docx", "A 26471-2024")</f>
        <v/>
      </c>
      <c r="Z33">
        <f>HYPERLINK("https://klasma.github.io/Logging_0319/fåglar/A 26471-2024 prioriterade fågelarter.docx", "A 26471-2024")</f>
        <v/>
      </c>
    </row>
    <row r="34" ht="15" customHeight="1">
      <c r="A34" t="inlineStr">
        <is>
          <t>A 33775-2024</t>
        </is>
      </c>
      <c r="B34" s="1" t="n">
        <v>45520</v>
      </c>
      <c r="C34" s="1" t="n">
        <v>45662</v>
      </c>
      <c r="D34" t="inlineStr">
        <is>
          <t>UPPSALA LÄN</t>
        </is>
      </c>
      <c r="E34" t="inlineStr">
        <is>
          <t>ÄLVKARLEBY</t>
        </is>
      </c>
      <c r="F34" t="inlineStr">
        <is>
          <t>Bergvik skog väst AB</t>
        </is>
      </c>
      <c r="G34" t="n">
        <v>5.6</v>
      </c>
      <c r="H34" t="n">
        <v>0</v>
      </c>
      <c r="I34" t="n">
        <v>1</v>
      </c>
      <c r="J34" t="n">
        <v>0</v>
      </c>
      <c r="K34" t="n">
        <v>0</v>
      </c>
      <c r="L34" t="n">
        <v>0</v>
      </c>
      <c r="M34" t="n">
        <v>0</v>
      </c>
      <c r="N34" t="n">
        <v>0</v>
      </c>
      <c r="O34" t="n">
        <v>0</v>
      </c>
      <c r="P34" t="n">
        <v>0</v>
      </c>
      <c r="Q34" t="n">
        <v>1</v>
      </c>
      <c r="R34" s="2" t="inlineStr">
        <is>
          <t>Tibast</t>
        </is>
      </c>
      <c r="S34">
        <f>HYPERLINK("https://klasma.github.io/Logging_0319/artfynd/A 33775-2024 artfynd.xlsx", "A 33775-2024")</f>
        <v/>
      </c>
      <c r="T34">
        <f>HYPERLINK("https://klasma.github.io/Logging_0319/kartor/A 33775-2024 karta.png", "A 33775-2024")</f>
        <v/>
      </c>
      <c r="V34">
        <f>HYPERLINK("https://klasma.github.io/Logging_0319/klagomål/A 33775-2024 FSC-klagomål.docx", "A 33775-2024")</f>
        <v/>
      </c>
      <c r="W34">
        <f>HYPERLINK("https://klasma.github.io/Logging_0319/klagomålsmail/A 33775-2024 FSC-klagomål mail.docx", "A 33775-2024")</f>
        <v/>
      </c>
      <c r="X34">
        <f>HYPERLINK("https://klasma.github.io/Logging_0319/tillsyn/A 33775-2024 tillsynsbegäran.docx", "A 33775-2024")</f>
        <v/>
      </c>
      <c r="Y34">
        <f>HYPERLINK("https://klasma.github.io/Logging_0319/tillsynsmail/A 33775-2024 tillsynsbegäran mail.docx", "A 33775-2024")</f>
        <v/>
      </c>
    </row>
    <row r="35" ht="15" customHeight="1">
      <c r="A35" t="inlineStr">
        <is>
          <t>A 33796-2024</t>
        </is>
      </c>
      <c r="B35" s="1" t="n">
        <v>45520</v>
      </c>
      <c r="C35" s="1" t="n">
        <v>45662</v>
      </c>
      <c r="D35" t="inlineStr">
        <is>
          <t>UPPSALA LÄN</t>
        </is>
      </c>
      <c r="E35" t="inlineStr">
        <is>
          <t>ÄLVKARLEBY</t>
        </is>
      </c>
      <c r="F35" t="inlineStr">
        <is>
          <t>Bergvik skog väst AB</t>
        </is>
      </c>
      <c r="G35" t="n">
        <v>4.6</v>
      </c>
      <c r="H35" t="n">
        <v>1</v>
      </c>
      <c r="I35" t="n">
        <v>0</v>
      </c>
      <c r="J35" t="n">
        <v>0</v>
      </c>
      <c r="K35" t="n">
        <v>0</v>
      </c>
      <c r="L35" t="n">
        <v>0</v>
      </c>
      <c r="M35" t="n">
        <v>0</v>
      </c>
      <c r="N35" t="n">
        <v>0</v>
      </c>
      <c r="O35" t="n">
        <v>0</v>
      </c>
      <c r="P35" t="n">
        <v>0</v>
      </c>
      <c r="Q35" t="n">
        <v>1</v>
      </c>
      <c r="R35" s="2" t="inlineStr">
        <is>
          <t>Revlummer</t>
        </is>
      </c>
      <c r="S35">
        <f>HYPERLINK("https://klasma.github.io/Logging_0319/artfynd/A 33796-2024 artfynd.xlsx", "A 33796-2024")</f>
        <v/>
      </c>
      <c r="T35">
        <f>HYPERLINK("https://klasma.github.io/Logging_0319/kartor/A 33796-2024 karta.png", "A 33796-2024")</f>
        <v/>
      </c>
      <c r="V35">
        <f>HYPERLINK("https://klasma.github.io/Logging_0319/klagomål/A 33796-2024 FSC-klagomål.docx", "A 33796-2024")</f>
        <v/>
      </c>
      <c r="W35">
        <f>HYPERLINK("https://klasma.github.io/Logging_0319/klagomålsmail/A 33796-2024 FSC-klagomål mail.docx", "A 33796-2024")</f>
        <v/>
      </c>
      <c r="X35">
        <f>HYPERLINK("https://klasma.github.io/Logging_0319/tillsyn/A 33796-2024 tillsynsbegäran.docx", "A 33796-2024")</f>
        <v/>
      </c>
      <c r="Y35">
        <f>HYPERLINK("https://klasma.github.io/Logging_0319/tillsynsmail/A 33796-2024 tillsynsbegäran mail.docx", "A 33796-2024")</f>
        <v/>
      </c>
    </row>
    <row r="36" ht="15" customHeight="1">
      <c r="A36" t="inlineStr">
        <is>
          <t>A 19969-2019</t>
        </is>
      </c>
      <c r="B36" s="1" t="n">
        <v>43570</v>
      </c>
      <c r="C36" s="1" t="n">
        <v>45662</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45662</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45662</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45662</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45662</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45662</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45662</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45662</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45662</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45662</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45662</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45662</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45662</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45662</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45662</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45662</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45662</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45662</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45662</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45662</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45662</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45662</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45662</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45662</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45662</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45662</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45662</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45662</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45662</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45662</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45662</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45662</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45662</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45662</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45662</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45662</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45662</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45662</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45662</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45662</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45662</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45662</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45662</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45662</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45662</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45662</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45662</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45662</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45662</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45662</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45662</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45662</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45662</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45662</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45662</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45662</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45662</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45662</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45662</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45662</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45662</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45662</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45662</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45662</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45662</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45662</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45662</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45662</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45662</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45662</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45662</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45662</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45662</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45662</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45662</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45662</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45662</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45662</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45662</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45662</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45662</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45662</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45662</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45662</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45662</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45662</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45662</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45662</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45662</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45662</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45662</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45662</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45662</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45662</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45662</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45662</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45662</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45662</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45662</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45662</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45662</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45662</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55554-2024</t>
        </is>
      </c>
      <c r="B138" s="1" t="n">
        <v>45622</v>
      </c>
      <c r="C138" s="1" t="n">
        <v>45662</v>
      </c>
      <c r="D138" t="inlineStr">
        <is>
          <t>UPPSALA LÄN</t>
        </is>
      </c>
      <c r="E138" t="inlineStr">
        <is>
          <t>ÄLVKARLEBY</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55547-2024</t>
        </is>
      </c>
      <c r="B139" s="1" t="n">
        <v>45622</v>
      </c>
      <c r="C139" s="1" t="n">
        <v>45662</v>
      </c>
      <c r="D139" t="inlineStr">
        <is>
          <t>UPPSALA LÄN</t>
        </is>
      </c>
      <c r="E139" t="inlineStr">
        <is>
          <t>ÄLVKARLEBY</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55555-2024</t>
        </is>
      </c>
      <c r="B140" s="1" t="n">
        <v>45622</v>
      </c>
      <c r="C140" s="1" t="n">
        <v>45662</v>
      </c>
      <c r="D140" t="inlineStr">
        <is>
          <t>UPPSALA LÄN</t>
        </is>
      </c>
      <c r="E140" t="inlineStr">
        <is>
          <t>ÄLVKARLEBY</t>
        </is>
      </c>
      <c r="F140" t="inlineStr">
        <is>
          <t>Bergvik skog väst AB</t>
        </is>
      </c>
      <c r="G140" t="n">
        <v>0.7</v>
      </c>
      <c r="H140" t="n">
        <v>0</v>
      </c>
      <c r="I140" t="n">
        <v>0</v>
      </c>
      <c r="J140" t="n">
        <v>0</v>
      </c>
      <c r="K140" t="n">
        <v>0</v>
      </c>
      <c r="L140" t="n">
        <v>0</v>
      </c>
      <c r="M140" t="n">
        <v>0</v>
      </c>
      <c r="N140" t="n">
        <v>0</v>
      </c>
      <c r="O140" t="n">
        <v>0</v>
      </c>
      <c r="P140" t="n">
        <v>0</v>
      </c>
      <c r="Q140" t="n">
        <v>0</v>
      </c>
      <c r="R140" s="2" t="inlineStr"/>
    </row>
    <row r="141" ht="15" customHeight="1">
      <c r="A141" t="inlineStr">
        <is>
          <t>A 55560-2024</t>
        </is>
      </c>
      <c r="B141" s="1" t="n">
        <v>45622</v>
      </c>
      <c r="C141" s="1" t="n">
        <v>45662</v>
      </c>
      <c r="D141" t="inlineStr">
        <is>
          <t>UPPSALA LÄN</t>
        </is>
      </c>
      <c r="E141" t="inlineStr">
        <is>
          <t>ÄLVKARLEBY</t>
        </is>
      </c>
      <c r="F141" t="inlineStr">
        <is>
          <t>Bergvik skog väst AB</t>
        </is>
      </c>
      <c r="G141" t="n">
        <v>1</v>
      </c>
      <c r="H141" t="n">
        <v>0</v>
      </c>
      <c r="I141" t="n">
        <v>0</v>
      </c>
      <c r="J141" t="n">
        <v>0</v>
      </c>
      <c r="K141" t="n">
        <v>0</v>
      </c>
      <c r="L141" t="n">
        <v>0</v>
      </c>
      <c r="M141" t="n">
        <v>0</v>
      </c>
      <c r="N141" t="n">
        <v>0</v>
      </c>
      <c r="O141" t="n">
        <v>0</v>
      </c>
      <c r="P141" t="n">
        <v>0</v>
      </c>
      <c r="Q141" t="n">
        <v>0</v>
      </c>
      <c r="R141" s="2" t="inlineStr"/>
    </row>
    <row r="142" ht="15" customHeight="1">
      <c r="A142" t="inlineStr">
        <is>
          <t>A 55578-2024</t>
        </is>
      </c>
      <c r="B142" s="1" t="n">
        <v>45622</v>
      </c>
      <c r="C142" s="1" t="n">
        <v>45662</v>
      </c>
      <c r="D142" t="inlineStr">
        <is>
          <t>UPPSALA LÄN</t>
        </is>
      </c>
      <c r="E142" t="inlineStr">
        <is>
          <t>ÄLVKARLEBY</t>
        </is>
      </c>
      <c r="F142" t="inlineStr">
        <is>
          <t>Bergvik skog väst AB</t>
        </is>
      </c>
      <c r="G142" t="n">
        <v>5.8</v>
      </c>
      <c r="H142" t="n">
        <v>0</v>
      </c>
      <c r="I142" t="n">
        <v>0</v>
      </c>
      <c r="J142" t="n">
        <v>0</v>
      </c>
      <c r="K142" t="n">
        <v>0</v>
      </c>
      <c r="L142" t="n">
        <v>0</v>
      </c>
      <c r="M142" t="n">
        <v>0</v>
      </c>
      <c r="N142" t="n">
        <v>0</v>
      </c>
      <c r="O142" t="n">
        <v>0</v>
      </c>
      <c r="P142" t="n">
        <v>0</v>
      </c>
      <c r="Q142" t="n">
        <v>0</v>
      </c>
      <c r="R142" s="2" t="inlineStr"/>
    </row>
    <row r="143" ht="15" customHeight="1">
      <c r="A143" t="inlineStr">
        <is>
          <t>A 55561-2024</t>
        </is>
      </c>
      <c r="B143" s="1" t="n">
        <v>45622</v>
      </c>
      <c r="C143" s="1" t="n">
        <v>45662</v>
      </c>
      <c r="D143" t="inlineStr">
        <is>
          <t>UPPSALA LÄN</t>
        </is>
      </c>
      <c r="E143" t="inlineStr">
        <is>
          <t>ÄLVKARLEBY</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45662</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2025-01-05T15:56:14Z</dcterms:created>
  <dcterms:modified xmlns:dcterms="http://purl.org/dc/terms/" xmlns:xsi="http://www.w3.org/2001/XMLSchema-instance" xsi:type="dcterms:W3CDTF">2025-01-05T15:56:14Z</dcterms:modified>
</cp:coreProperties>
</file>