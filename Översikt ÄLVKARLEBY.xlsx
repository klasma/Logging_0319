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45965</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45965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45965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45965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46508-2025</t>
        </is>
      </c>
      <c r="B9" s="1" t="n">
        <v>45925.91729166666</v>
      </c>
      <c r="C9" s="1" t="n">
        <v>45965</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45965</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45965</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34798-2024</t>
        </is>
      </c>
      <c r="B12" s="1" t="n">
        <v>45526</v>
      </c>
      <c r="C12" s="1" t="n">
        <v>45965</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45965</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21007-2025</t>
        </is>
      </c>
      <c r="B14" s="1" t="n">
        <v>45777</v>
      </c>
      <c r="C14" s="1" t="n">
        <v>45965</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21700-2024</t>
        </is>
      </c>
      <c r="B15" s="1" t="n">
        <v>45442</v>
      </c>
      <c r="C15" s="1" t="n">
        <v>45965</v>
      </c>
      <c r="D15" t="inlineStr">
        <is>
          <t>UPPSALA LÄN</t>
        </is>
      </c>
      <c r="E15" t="inlineStr">
        <is>
          <t>ÄLVKARLEBY</t>
        </is>
      </c>
      <c r="F15" t="inlineStr">
        <is>
          <t>Bergvik skog väst AB</t>
        </is>
      </c>
      <c r="G15" t="n">
        <v>1.1</v>
      </c>
      <c r="H15" t="n">
        <v>0</v>
      </c>
      <c r="I15" t="n">
        <v>0</v>
      </c>
      <c r="J15" t="n">
        <v>0</v>
      </c>
      <c r="K15" t="n">
        <v>1</v>
      </c>
      <c r="L15" t="n">
        <v>0</v>
      </c>
      <c r="M15" t="n">
        <v>0</v>
      </c>
      <c r="N15" t="n">
        <v>0</v>
      </c>
      <c r="O15" t="n">
        <v>1</v>
      </c>
      <c r="P15" t="n">
        <v>1</v>
      </c>
      <c r="Q15" t="n">
        <v>1</v>
      </c>
      <c r="R15" s="2" t="inlineStr">
        <is>
          <t>Töcknig trymal</t>
        </is>
      </c>
      <c r="S15">
        <f>HYPERLINK("https://klasma.github.io/Logging_0319/artfynd/A 21700-2024 artfynd.xlsx", "A 21700-2024")</f>
        <v/>
      </c>
      <c r="T15">
        <f>HYPERLINK("https://klasma.github.io/Logging_0319/kartor/A 21700-2024 karta.png", "A 21700-2024")</f>
        <v/>
      </c>
      <c r="V15">
        <f>HYPERLINK("https://klasma.github.io/Logging_0319/klagomål/A 21700-2024 FSC-klagomål.docx", "A 21700-2024")</f>
        <v/>
      </c>
      <c r="W15">
        <f>HYPERLINK("https://klasma.github.io/Logging_0319/klagomålsmail/A 21700-2024 FSC-klagomål mail.docx", "A 21700-2024")</f>
        <v/>
      </c>
      <c r="X15">
        <f>HYPERLINK("https://klasma.github.io/Logging_0319/tillsyn/A 21700-2024 tillsynsbegäran.docx", "A 21700-2024")</f>
        <v/>
      </c>
      <c r="Y15">
        <f>HYPERLINK("https://klasma.github.io/Logging_0319/tillsynsmail/A 21700-2024 tillsynsbegäran mail.docx", "A 21700-2024")</f>
        <v/>
      </c>
    </row>
    <row r="16" ht="15" customHeight="1">
      <c r="A16" t="inlineStr">
        <is>
          <t>A 10455-2022</t>
        </is>
      </c>
      <c r="B16" s="1" t="n">
        <v>44623</v>
      </c>
      <c r="C16" s="1" t="n">
        <v>45965</v>
      </c>
      <c r="D16" t="inlineStr">
        <is>
          <t>UPPSALA LÄN</t>
        </is>
      </c>
      <c r="E16" t="inlineStr">
        <is>
          <t>ÄLVKARLEBY</t>
        </is>
      </c>
      <c r="F16" t="inlineStr">
        <is>
          <t>Bergvik skog öst AB</t>
        </is>
      </c>
      <c r="G16" t="n">
        <v>1.1</v>
      </c>
      <c r="H16" t="n">
        <v>0</v>
      </c>
      <c r="I16" t="n">
        <v>0</v>
      </c>
      <c r="J16" t="n">
        <v>1</v>
      </c>
      <c r="K16" t="n">
        <v>0</v>
      </c>
      <c r="L16" t="n">
        <v>0</v>
      </c>
      <c r="M16" t="n">
        <v>0</v>
      </c>
      <c r="N16" t="n">
        <v>0</v>
      </c>
      <c r="O16" t="n">
        <v>1</v>
      </c>
      <c r="P16" t="n">
        <v>0</v>
      </c>
      <c r="Q16" t="n">
        <v>1</v>
      </c>
      <c r="R16" s="2" t="inlineStr">
        <is>
          <t>Sandviol</t>
        </is>
      </c>
      <c r="S16">
        <f>HYPERLINK("https://klasma.github.io/Logging_0319/artfynd/A 10455-2022 artfynd.xlsx", "A 10455-2022")</f>
        <v/>
      </c>
      <c r="T16">
        <f>HYPERLINK("https://klasma.github.io/Logging_0319/kartor/A 10455-2022 karta.png", "A 10455-2022")</f>
        <v/>
      </c>
      <c r="V16">
        <f>HYPERLINK("https://klasma.github.io/Logging_0319/klagomål/A 10455-2022 FSC-klagomål.docx", "A 10455-2022")</f>
        <v/>
      </c>
      <c r="W16">
        <f>HYPERLINK("https://klasma.github.io/Logging_0319/klagomålsmail/A 10455-2022 FSC-klagomål mail.docx", "A 10455-2022")</f>
        <v/>
      </c>
      <c r="X16">
        <f>HYPERLINK("https://klasma.github.io/Logging_0319/tillsyn/A 10455-2022 tillsynsbegäran.docx", "A 10455-2022")</f>
        <v/>
      </c>
      <c r="Y16">
        <f>HYPERLINK("https://klasma.github.io/Logging_0319/tillsynsmail/A 10455-2022 tillsynsbegäran mail.docx", "A 10455-2022")</f>
        <v/>
      </c>
    </row>
    <row r="17" ht="15" customHeight="1">
      <c r="A17" t="inlineStr">
        <is>
          <t>A 66277-2020</t>
        </is>
      </c>
      <c r="B17" s="1" t="n">
        <v>44176</v>
      </c>
      <c r="C17" s="1" t="n">
        <v>45965</v>
      </c>
      <c r="D17" t="inlineStr">
        <is>
          <t>UPPSALA LÄN</t>
        </is>
      </c>
      <c r="E17" t="inlineStr">
        <is>
          <t>ÄLVKARLEBY</t>
        </is>
      </c>
      <c r="F17" t="inlineStr">
        <is>
          <t>Bergvik skog väst AB</t>
        </is>
      </c>
      <c r="G17" t="n">
        <v>2.6</v>
      </c>
      <c r="H17" t="n">
        <v>1</v>
      </c>
      <c r="I17" t="n">
        <v>0</v>
      </c>
      <c r="J17" t="n">
        <v>0</v>
      </c>
      <c r="K17" t="n">
        <v>0</v>
      </c>
      <c r="L17" t="n">
        <v>0</v>
      </c>
      <c r="M17" t="n">
        <v>0</v>
      </c>
      <c r="N17" t="n">
        <v>0</v>
      </c>
      <c r="O17" t="n">
        <v>0</v>
      </c>
      <c r="P17" t="n">
        <v>0</v>
      </c>
      <c r="Q17" t="n">
        <v>1</v>
      </c>
      <c r="R17" s="2" t="inlineStr">
        <is>
          <t>Vanlig padda</t>
        </is>
      </c>
      <c r="S17">
        <f>HYPERLINK("https://klasma.github.io/Logging_0319/artfynd/A 66277-2020 artfynd.xlsx", "A 66277-2020")</f>
        <v/>
      </c>
      <c r="T17">
        <f>HYPERLINK("https://klasma.github.io/Logging_0319/kartor/A 66277-2020 karta.png", "A 66277-2020")</f>
        <v/>
      </c>
      <c r="V17">
        <f>HYPERLINK("https://klasma.github.io/Logging_0319/klagomål/A 66277-2020 FSC-klagomål.docx", "A 66277-2020")</f>
        <v/>
      </c>
      <c r="W17">
        <f>HYPERLINK("https://klasma.github.io/Logging_0319/klagomålsmail/A 66277-2020 FSC-klagomål mail.docx", "A 66277-2020")</f>
        <v/>
      </c>
      <c r="X17">
        <f>HYPERLINK("https://klasma.github.io/Logging_0319/tillsyn/A 66277-2020 tillsynsbegäran.docx", "A 66277-2020")</f>
        <v/>
      </c>
      <c r="Y17">
        <f>HYPERLINK("https://klasma.github.io/Logging_0319/tillsynsmail/A 66277-2020 tillsynsbegäran mail.docx", "A 66277-2020")</f>
        <v/>
      </c>
    </row>
    <row r="18" ht="15" customHeight="1">
      <c r="A18" t="inlineStr">
        <is>
          <t>A 19300-2024</t>
        </is>
      </c>
      <c r="B18" s="1" t="n">
        <v>45428.70128472222</v>
      </c>
      <c r="C18" s="1" t="n">
        <v>45965</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47207-2025</t>
        </is>
      </c>
      <c r="B19" s="1" t="n">
        <v>45930.37263888889</v>
      </c>
      <c r="C19" s="1" t="n">
        <v>45965</v>
      </c>
      <c r="D19" t="inlineStr">
        <is>
          <t>UPPSALA LÄN</t>
        </is>
      </c>
      <c r="E19" t="inlineStr">
        <is>
          <t>ÄLVKARLEBY</t>
        </is>
      </c>
      <c r="F19" t="inlineStr">
        <is>
          <t>Bergvik skog väst AB</t>
        </is>
      </c>
      <c r="G19" t="n">
        <v>2.2</v>
      </c>
      <c r="H19" t="n">
        <v>0</v>
      </c>
      <c r="I19" t="n">
        <v>0</v>
      </c>
      <c r="J19" t="n">
        <v>1</v>
      </c>
      <c r="K19" t="n">
        <v>0</v>
      </c>
      <c r="L19" t="n">
        <v>0</v>
      </c>
      <c r="M19" t="n">
        <v>0</v>
      </c>
      <c r="N19" t="n">
        <v>0</v>
      </c>
      <c r="O19" t="n">
        <v>1</v>
      </c>
      <c r="P19" t="n">
        <v>0</v>
      </c>
      <c r="Q19" t="n">
        <v>1</v>
      </c>
      <c r="R19" s="2" t="inlineStr">
        <is>
          <t>Sumpviol</t>
        </is>
      </c>
      <c r="S19">
        <f>HYPERLINK("https://klasma.github.io/Logging_0319/artfynd/A 47207-2025 artfynd.xlsx", "A 47207-2025")</f>
        <v/>
      </c>
      <c r="T19">
        <f>HYPERLINK("https://klasma.github.io/Logging_0319/kartor/A 47207-2025 karta.png", "A 47207-2025")</f>
        <v/>
      </c>
      <c r="V19">
        <f>HYPERLINK("https://klasma.github.io/Logging_0319/klagomål/A 47207-2025 FSC-klagomål.docx", "A 47207-2025")</f>
        <v/>
      </c>
      <c r="W19">
        <f>HYPERLINK("https://klasma.github.io/Logging_0319/klagomålsmail/A 47207-2025 FSC-klagomål mail.docx", "A 47207-2025")</f>
        <v/>
      </c>
      <c r="X19">
        <f>HYPERLINK("https://klasma.github.io/Logging_0319/tillsyn/A 47207-2025 tillsynsbegäran.docx", "A 47207-2025")</f>
        <v/>
      </c>
      <c r="Y19">
        <f>HYPERLINK("https://klasma.github.io/Logging_0319/tillsynsmail/A 47207-2025 tillsynsbegäran mail.docx", "A 47207-2025")</f>
        <v/>
      </c>
    </row>
    <row r="20" ht="15" customHeight="1">
      <c r="A20" t="inlineStr">
        <is>
          <t>A 39902-2025</t>
        </is>
      </c>
      <c r="B20" s="1" t="n">
        <v>45891.63597222222</v>
      </c>
      <c r="C20" s="1" t="n">
        <v>45965</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9521-2025</t>
        </is>
      </c>
      <c r="B21" s="1" t="n">
        <v>45715.56259259259</v>
      </c>
      <c r="C21" s="1" t="n">
        <v>45965</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36217-2022</t>
        </is>
      </c>
      <c r="B22" s="1" t="n">
        <v>44803</v>
      </c>
      <c r="C22" s="1" t="n">
        <v>45965</v>
      </c>
      <c r="D22" t="inlineStr">
        <is>
          <t>UPPSALA LÄN</t>
        </is>
      </c>
      <c r="E22" t="inlineStr">
        <is>
          <t>ÄLVKARLEBY</t>
        </is>
      </c>
      <c r="F22" t="inlineStr">
        <is>
          <t>Bergvik skog väst AB</t>
        </is>
      </c>
      <c r="G22" t="n">
        <v>0.2</v>
      </c>
      <c r="H22" t="n">
        <v>0</v>
      </c>
      <c r="I22" t="n">
        <v>0</v>
      </c>
      <c r="J22" t="n">
        <v>0</v>
      </c>
      <c r="K22" t="n">
        <v>0</v>
      </c>
      <c r="L22" t="n">
        <v>0</v>
      </c>
      <c r="M22" t="n">
        <v>0</v>
      </c>
      <c r="N22" t="n">
        <v>0</v>
      </c>
      <c r="O22" t="n">
        <v>0</v>
      </c>
      <c r="P22" t="n">
        <v>0</v>
      </c>
      <c r="Q22" t="n">
        <v>0</v>
      </c>
      <c r="R22" s="2" t="inlineStr"/>
    </row>
    <row r="23" ht="15" customHeight="1">
      <c r="A23" t="inlineStr">
        <is>
          <t>A 29116-2022</t>
        </is>
      </c>
      <c r="B23" s="1" t="n">
        <v>44750</v>
      </c>
      <c r="C23" s="1" t="n">
        <v>45965</v>
      </c>
      <c r="D23" t="inlineStr">
        <is>
          <t>UPPSALA LÄN</t>
        </is>
      </c>
      <c r="E23" t="inlineStr">
        <is>
          <t>ÄLVKARLEBY</t>
        </is>
      </c>
      <c r="F23" t="inlineStr">
        <is>
          <t>Kommuner</t>
        </is>
      </c>
      <c r="G23" t="n">
        <v>1.6</v>
      </c>
      <c r="H23" t="n">
        <v>0</v>
      </c>
      <c r="I23" t="n">
        <v>0</v>
      </c>
      <c r="J23" t="n">
        <v>0</v>
      </c>
      <c r="K23" t="n">
        <v>0</v>
      </c>
      <c r="L23" t="n">
        <v>0</v>
      </c>
      <c r="M23" t="n">
        <v>0</v>
      </c>
      <c r="N23" t="n">
        <v>0</v>
      </c>
      <c r="O23" t="n">
        <v>0</v>
      </c>
      <c r="P23" t="n">
        <v>0</v>
      </c>
      <c r="Q23" t="n">
        <v>0</v>
      </c>
      <c r="R23" s="2" t="inlineStr"/>
    </row>
    <row r="24" ht="15" customHeight="1">
      <c r="A24" t="inlineStr">
        <is>
          <t>A 26815-2022</t>
        </is>
      </c>
      <c r="B24" s="1" t="n">
        <v>44740.44644675926</v>
      </c>
      <c r="C24" s="1" t="n">
        <v>45965</v>
      </c>
      <c r="D24" t="inlineStr">
        <is>
          <t>UPPSALA LÄN</t>
        </is>
      </c>
      <c r="E24" t="inlineStr">
        <is>
          <t>ÄLVKARLEBY</t>
        </is>
      </c>
      <c r="G24" t="n">
        <v>5.8</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45965</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36216-2022</t>
        </is>
      </c>
      <c r="B26" s="1" t="n">
        <v>44803</v>
      </c>
      <c r="C26" s="1" t="n">
        <v>45965</v>
      </c>
      <c r="D26" t="inlineStr">
        <is>
          <t>UPPSALA LÄN</t>
        </is>
      </c>
      <c r="E26" t="inlineStr">
        <is>
          <t>ÄLVKARLEBY</t>
        </is>
      </c>
      <c r="F26" t="inlineStr">
        <is>
          <t>Bergvik skog väst AB</t>
        </is>
      </c>
      <c r="G26" t="n">
        <v>0.5</v>
      </c>
      <c r="H26" t="n">
        <v>0</v>
      </c>
      <c r="I26" t="n">
        <v>0</v>
      </c>
      <c r="J26" t="n">
        <v>0</v>
      </c>
      <c r="K26" t="n">
        <v>0</v>
      </c>
      <c r="L26" t="n">
        <v>0</v>
      </c>
      <c r="M26" t="n">
        <v>0</v>
      </c>
      <c r="N26" t="n">
        <v>0</v>
      </c>
      <c r="O26" t="n">
        <v>0</v>
      </c>
      <c r="P26" t="n">
        <v>0</v>
      </c>
      <c r="Q26" t="n">
        <v>0</v>
      </c>
      <c r="R26" s="2" t="inlineStr"/>
    </row>
    <row r="27" ht="15" customHeight="1">
      <c r="A27" t="inlineStr">
        <is>
          <t>A 18451-2025</t>
        </is>
      </c>
      <c r="B27" s="1" t="n">
        <v>45762</v>
      </c>
      <c r="C27" s="1" t="n">
        <v>45965</v>
      </c>
      <c r="D27" t="inlineStr">
        <is>
          <t>UPPSALA LÄN</t>
        </is>
      </c>
      <c r="E27" t="inlineStr">
        <is>
          <t>ÄLVKARLEBY</t>
        </is>
      </c>
      <c r="F27" t="inlineStr">
        <is>
          <t>Bergvik skog väst AB</t>
        </is>
      </c>
      <c r="G27" t="n">
        <v>1.2</v>
      </c>
      <c r="H27" t="n">
        <v>0</v>
      </c>
      <c r="I27" t="n">
        <v>0</v>
      </c>
      <c r="J27" t="n">
        <v>0</v>
      </c>
      <c r="K27" t="n">
        <v>0</v>
      </c>
      <c r="L27" t="n">
        <v>0</v>
      </c>
      <c r="M27" t="n">
        <v>0</v>
      </c>
      <c r="N27" t="n">
        <v>0</v>
      </c>
      <c r="O27" t="n">
        <v>0</v>
      </c>
      <c r="P27" t="n">
        <v>0</v>
      </c>
      <c r="Q27" t="n">
        <v>0</v>
      </c>
      <c r="R27" s="2" t="inlineStr"/>
    </row>
    <row r="28" ht="15" customHeight="1">
      <c r="A28" t="inlineStr">
        <is>
          <t>A 19740-2025</t>
        </is>
      </c>
      <c r="B28" s="1" t="n">
        <v>45771</v>
      </c>
      <c r="C28" s="1" t="n">
        <v>45965</v>
      </c>
      <c r="D28" t="inlineStr">
        <is>
          <t>UPPSALA LÄN</t>
        </is>
      </c>
      <c r="E28" t="inlineStr">
        <is>
          <t>ÄLVKARLEBY</t>
        </is>
      </c>
      <c r="F28" t="inlineStr">
        <is>
          <t>Bergvik skog väst AB</t>
        </is>
      </c>
      <c r="G28" t="n">
        <v>0.7</v>
      </c>
      <c r="H28" t="n">
        <v>0</v>
      </c>
      <c r="I28" t="n">
        <v>0</v>
      </c>
      <c r="J28" t="n">
        <v>0</v>
      </c>
      <c r="K28" t="n">
        <v>0</v>
      </c>
      <c r="L28" t="n">
        <v>0</v>
      </c>
      <c r="M28" t="n">
        <v>0</v>
      </c>
      <c r="N28" t="n">
        <v>0</v>
      </c>
      <c r="O28" t="n">
        <v>0</v>
      </c>
      <c r="P28" t="n">
        <v>0</v>
      </c>
      <c r="Q28" t="n">
        <v>0</v>
      </c>
      <c r="R28" s="2" t="inlineStr"/>
    </row>
    <row r="29" ht="15" customHeight="1">
      <c r="A29" t="inlineStr">
        <is>
          <t>A 19862-2025</t>
        </is>
      </c>
      <c r="B29" s="1" t="n">
        <v>45771.53560185185</v>
      </c>
      <c r="C29" s="1" t="n">
        <v>45965</v>
      </c>
      <c r="D29" t="inlineStr">
        <is>
          <t>UPPSALA LÄN</t>
        </is>
      </c>
      <c r="E29" t="inlineStr">
        <is>
          <t>ÄLVKARLEBY</t>
        </is>
      </c>
      <c r="F29" t="inlineStr">
        <is>
          <t>Kyrkan</t>
        </is>
      </c>
      <c r="G29" t="n">
        <v>3</v>
      </c>
      <c r="H29" t="n">
        <v>0</v>
      </c>
      <c r="I29" t="n">
        <v>0</v>
      </c>
      <c r="J29" t="n">
        <v>0</v>
      </c>
      <c r="K29" t="n">
        <v>0</v>
      </c>
      <c r="L29" t="n">
        <v>0</v>
      </c>
      <c r="M29" t="n">
        <v>0</v>
      </c>
      <c r="N29" t="n">
        <v>0</v>
      </c>
      <c r="O29" t="n">
        <v>0</v>
      </c>
      <c r="P29" t="n">
        <v>0</v>
      </c>
      <c r="Q29" t="n">
        <v>0</v>
      </c>
      <c r="R29" s="2" t="inlineStr"/>
    </row>
    <row r="30" ht="15" customHeight="1">
      <c r="A30" t="inlineStr">
        <is>
          <t>A 2184-2024</t>
        </is>
      </c>
      <c r="B30" s="1" t="n">
        <v>45309</v>
      </c>
      <c r="C30" s="1" t="n">
        <v>45965</v>
      </c>
      <c r="D30" t="inlineStr">
        <is>
          <t>UPPSALA LÄN</t>
        </is>
      </c>
      <c r="E30" t="inlineStr">
        <is>
          <t>ÄLVKARLEBY</t>
        </is>
      </c>
      <c r="G30" t="n">
        <v>0.6</v>
      </c>
      <c r="H30" t="n">
        <v>0</v>
      </c>
      <c r="I30" t="n">
        <v>0</v>
      </c>
      <c r="J30" t="n">
        <v>0</v>
      </c>
      <c r="K30" t="n">
        <v>0</v>
      </c>
      <c r="L30" t="n">
        <v>0</v>
      </c>
      <c r="M30" t="n">
        <v>0</v>
      </c>
      <c r="N30" t="n">
        <v>0</v>
      </c>
      <c r="O30" t="n">
        <v>0</v>
      </c>
      <c r="P30" t="n">
        <v>0</v>
      </c>
      <c r="Q30" t="n">
        <v>0</v>
      </c>
      <c r="R30" s="2" t="inlineStr"/>
    </row>
    <row r="31" ht="15" customHeight="1">
      <c r="A31" t="inlineStr">
        <is>
          <t>A 19303-2024</t>
        </is>
      </c>
      <c r="B31" s="1" t="n">
        <v>45428.70386574074</v>
      </c>
      <c r="C31" s="1" t="n">
        <v>45965</v>
      </c>
      <c r="D31" t="inlineStr">
        <is>
          <t>UPPSALA LÄN</t>
        </is>
      </c>
      <c r="E31" t="inlineStr">
        <is>
          <t>ÄLVKARLEBY</t>
        </is>
      </c>
      <c r="G31" t="n">
        <v>0.4</v>
      </c>
      <c r="H31" t="n">
        <v>0</v>
      </c>
      <c r="I31" t="n">
        <v>0</v>
      </c>
      <c r="J31" t="n">
        <v>0</v>
      </c>
      <c r="K31" t="n">
        <v>0</v>
      </c>
      <c r="L31" t="n">
        <v>0</v>
      </c>
      <c r="M31" t="n">
        <v>0</v>
      </c>
      <c r="N31" t="n">
        <v>0</v>
      </c>
      <c r="O31" t="n">
        <v>0</v>
      </c>
      <c r="P31" t="n">
        <v>0</v>
      </c>
      <c r="Q31" t="n">
        <v>0</v>
      </c>
      <c r="R31" s="2" t="inlineStr"/>
    </row>
    <row r="32" ht="15" customHeight="1">
      <c r="A32" t="inlineStr">
        <is>
          <t>A 46335-2025</t>
        </is>
      </c>
      <c r="B32" s="1" t="n">
        <v>45925.46199074074</v>
      </c>
      <c r="C32" s="1" t="n">
        <v>45965</v>
      </c>
      <c r="D32" t="inlineStr">
        <is>
          <t>UPPSALA LÄN</t>
        </is>
      </c>
      <c r="E32" t="inlineStr">
        <is>
          <t>ÄLVKARLEBY</t>
        </is>
      </c>
      <c r="G32" t="n">
        <v>1.3</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45965</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38226-2023</t>
        </is>
      </c>
      <c r="B34" s="1" t="n">
        <v>45161</v>
      </c>
      <c r="C34" s="1" t="n">
        <v>45965</v>
      </c>
      <c r="D34" t="inlineStr">
        <is>
          <t>UPPSALA LÄN</t>
        </is>
      </c>
      <c r="E34" t="inlineStr">
        <is>
          <t>ÄLVKARLEBY</t>
        </is>
      </c>
      <c r="F34" t="inlineStr">
        <is>
          <t>Bergvik skog väst AB</t>
        </is>
      </c>
      <c r="G34" t="n">
        <v>4.5</v>
      </c>
      <c r="H34" t="n">
        <v>0</v>
      </c>
      <c r="I34" t="n">
        <v>0</v>
      </c>
      <c r="J34" t="n">
        <v>0</v>
      </c>
      <c r="K34" t="n">
        <v>0</v>
      </c>
      <c r="L34" t="n">
        <v>0</v>
      </c>
      <c r="M34" t="n">
        <v>0</v>
      </c>
      <c r="N34" t="n">
        <v>0</v>
      </c>
      <c r="O34" t="n">
        <v>0</v>
      </c>
      <c r="P34" t="n">
        <v>0</v>
      </c>
      <c r="Q34" t="n">
        <v>0</v>
      </c>
      <c r="R34" s="2" t="inlineStr"/>
    </row>
    <row r="35" ht="15" customHeight="1">
      <c r="A35" t="inlineStr">
        <is>
          <t>A 9533-2025</t>
        </is>
      </c>
      <c r="B35" s="1" t="n">
        <v>45715.57082175926</v>
      </c>
      <c r="C35" s="1" t="n">
        <v>45965</v>
      </c>
      <c r="D35" t="inlineStr">
        <is>
          <t>UPPSALA LÄN</t>
        </is>
      </c>
      <c r="E35" t="inlineStr">
        <is>
          <t>ÄLVKARLEBY</t>
        </is>
      </c>
      <c r="G35" t="n">
        <v>2.1</v>
      </c>
      <c r="H35" t="n">
        <v>0</v>
      </c>
      <c r="I35" t="n">
        <v>0</v>
      </c>
      <c r="J35" t="n">
        <v>0</v>
      </c>
      <c r="K35" t="n">
        <v>0</v>
      </c>
      <c r="L35" t="n">
        <v>0</v>
      </c>
      <c r="M35" t="n">
        <v>0</v>
      </c>
      <c r="N35" t="n">
        <v>0</v>
      </c>
      <c r="O35" t="n">
        <v>0</v>
      </c>
      <c r="P35" t="n">
        <v>0</v>
      </c>
      <c r="Q35" t="n">
        <v>0</v>
      </c>
      <c r="R35" s="2" t="inlineStr"/>
    </row>
    <row r="36" ht="15" customHeight="1">
      <c r="A36" t="inlineStr">
        <is>
          <t>A 45372-2024</t>
        </is>
      </c>
      <c r="B36" s="1" t="n">
        <v>45576.51116898148</v>
      </c>
      <c r="C36" s="1" t="n">
        <v>45965</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41272-2023</t>
        </is>
      </c>
      <c r="B37" s="1" t="n">
        <v>45174</v>
      </c>
      <c r="C37" s="1" t="n">
        <v>45965</v>
      </c>
      <c r="D37" t="inlineStr">
        <is>
          <t>UPPSALA LÄN</t>
        </is>
      </c>
      <c r="E37" t="inlineStr">
        <is>
          <t>ÄLVKARLEBY</t>
        </is>
      </c>
      <c r="F37" t="inlineStr">
        <is>
          <t>Bergvik skog väst AB</t>
        </is>
      </c>
      <c r="G37" t="n">
        <v>0.9</v>
      </c>
      <c r="H37" t="n">
        <v>0</v>
      </c>
      <c r="I37" t="n">
        <v>0</v>
      </c>
      <c r="J37" t="n">
        <v>0</v>
      </c>
      <c r="K37" t="n">
        <v>0</v>
      </c>
      <c r="L37" t="n">
        <v>0</v>
      </c>
      <c r="M37" t="n">
        <v>0</v>
      </c>
      <c r="N37" t="n">
        <v>0</v>
      </c>
      <c r="O37" t="n">
        <v>0</v>
      </c>
      <c r="P37" t="n">
        <v>0</v>
      </c>
      <c r="Q37" t="n">
        <v>0</v>
      </c>
      <c r="R37" s="2" t="inlineStr"/>
    </row>
    <row r="38" ht="15" customHeight="1">
      <c r="A38" t="inlineStr">
        <is>
          <t>A 19697-2025</t>
        </is>
      </c>
      <c r="B38" s="1" t="n">
        <v>45771</v>
      </c>
      <c r="C38" s="1" t="n">
        <v>45965</v>
      </c>
      <c r="D38" t="inlineStr">
        <is>
          <t>UPPSALA LÄN</t>
        </is>
      </c>
      <c r="E38" t="inlineStr">
        <is>
          <t>ÄLVKARLEBY</t>
        </is>
      </c>
      <c r="F38" t="inlineStr">
        <is>
          <t>Bergvik skog väst AB</t>
        </is>
      </c>
      <c r="G38" t="n">
        <v>3.3</v>
      </c>
      <c r="H38" t="n">
        <v>0</v>
      </c>
      <c r="I38" t="n">
        <v>0</v>
      </c>
      <c r="J38" t="n">
        <v>0</v>
      </c>
      <c r="K38" t="n">
        <v>0</v>
      </c>
      <c r="L38" t="n">
        <v>0</v>
      </c>
      <c r="M38" t="n">
        <v>0</v>
      </c>
      <c r="N38" t="n">
        <v>0</v>
      </c>
      <c r="O38" t="n">
        <v>0</v>
      </c>
      <c r="P38" t="n">
        <v>0</v>
      </c>
      <c r="Q38" t="n">
        <v>0</v>
      </c>
      <c r="R38" s="2" t="inlineStr"/>
    </row>
    <row r="39" ht="15" customHeight="1">
      <c r="A39" t="inlineStr">
        <is>
          <t>A 16990-2022</t>
        </is>
      </c>
      <c r="B39" s="1" t="n">
        <v>44676.6122337963</v>
      </c>
      <c r="C39" s="1" t="n">
        <v>45965</v>
      </c>
      <c r="D39" t="inlineStr">
        <is>
          <t>UPPSALA LÄN</t>
        </is>
      </c>
      <c r="E39" t="inlineStr">
        <is>
          <t>ÄLVKARLEBY</t>
        </is>
      </c>
      <c r="F39" t="inlineStr">
        <is>
          <t>Bergvik skog väst AB</t>
        </is>
      </c>
      <c r="G39" t="n">
        <v>2.6</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45965</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22223-2025</t>
        </is>
      </c>
      <c r="B41" s="1" t="n">
        <v>45785</v>
      </c>
      <c r="C41" s="1" t="n">
        <v>45965</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19304-2024</t>
        </is>
      </c>
      <c r="B42" s="1" t="n">
        <v>45428</v>
      </c>
      <c r="C42" s="1" t="n">
        <v>45965</v>
      </c>
      <c r="D42" t="inlineStr">
        <is>
          <t>UPPSALA LÄN</t>
        </is>
      </c>
      <c r="E42" t="inlineStr">
        <is>
          <t>ÄLVKARLEBY</t>
        </is>
      </c>
      <c r="G42" t="n">
        <v>0.2</v>
      </c>
      <c r="H42" t="n">
        <v>0</v>
      </c>
      <c r="I42" t="n">
        <v>0</v>
      </c>
      <c r="J42" t="n">
        <v>0</v>
      </c>
      <c r="K42" t="n">
        <v>0</v>
      </c>
      <c r="L42" t="n">
        <v>0</v>
      </c>
      <c r="M42" t="n">
        <v>0</v>
      </c>
      <c r="N42" t="n">
        <v>0</v>
      </c>
      <c r="O42" t="n">
        <v>0</v>
      </c>
      <c r="P42" t="n">
        <v>0</v>
      </c>
      <c r="Q42" t="n">
        <v>0</v>
      </c>
      <c r="R42" s="2" t="inlineStr"/>
    </row>
    <row r="43" ht="15" customHeight="1">
      <c r="A43" t="inlineStr">
        <is>
          <t>A 24591-2025</t>
        </is>
      </c>
      <c r="B43" s="1" t="n">
        <v>45798.53666666667</v>
      </c>
      <c r="C43" s="1" t="n">
        <v>45965</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45965</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45965</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11553-2021</t>
        </is>
      </c>
      <c r="B46" s="1" t="n">
        <v>44264.48725694444</v>
      </c>
      <c r="C46" s="1" t="n">
        <v>45965</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45965</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48460-2025</t>
        </is>
      </c>
      <c r="B48" s="1" t="n">
        <v>45935.94372685185</v>
      </c>
      <c r="C48" s="1" t="n">
        <v>45965</v>
      </c>
      <c r="D48" t="inlineStr">
        <is>
          <t>UPPSALA LÄN</t>
        </is>
      </c>
      <c r="E48" t="inlineStr">
        <is>
          <t>ÄLVKARLEBY</t>
        </is>
      </c>
      <c r="F48" t="inlineStr">
        <is>
          <t>Bergvik skog väst AB</t>
        </is>
      </c>
      <c r="G48" t="n">
        <v>1.2</v>
      </c>
      <c r="H48" t="n">
        <v>0</v>
      </c>
      <c r="I48" t="n">
        <v>0</v>
      </c>
      <c r="J48" t="n">
        <v>0</v>
      </c>
      <c r="K48" t="n">
        <v>0</v>
      </c>
      <c r="L48" t="n">
        <v>0</v>
      </c>
      <c r="M48" t="n">
        <v>0</v>
      </c>
      <c r="N48" t="n">
        <v>0</v>
      </c>
      <c r="O48" t="n">
        <v>0</v>
      </c>
      <c r="P48" t="n">
        <v>0</v>
      </c>
      <c r="Q48" t="n">
        <v>0</v>
      </c>
      <c r="R48" s="2" t="inlineStr"/>
    </row>
    <row r="49" ht="15" customHeight="1">
      <c r="A49" t="inlineStr">
        <is>
          <t>A 43285-2023</t>
        </is>
      </c>
      <c r="B49" s="1" t="n">
        <v>45183.5630787037</v>
      </c>
      <c r="C49" s="1" t="n">
        <v>45965</v>
      </c>
      <c r="D49" t="inlineStr">
        <is>
          <t>UPPSALA LÄN</t>
        </is>
      </c>
      <c r="E49" t="inlineStr">
        <is>
          <t>ÄLVKARLEBY</t>
        </is>
      </c>
      <c r="F49" t="inlineStr">
        <is>
          <t>Bergvik skog väst AB</t>
        </is>
      </c>
      <c r="G49" t="n">
        <v>1.3</v>
      </c>
      <c r="H49" t="n">
        <v>0</v>
      </c>
      <c r="I49" t="n">
        <v>0</v>
      </c>
      <c r="J49" t="n">
        <v>0</v>
      </c>
      <c r="K49" t="n">
        <v>0</v>
      </c>
      <c r="L49" t="n">
        <v>0</v>
      </c>
      <c r="M49" t="n">
        <v>0</v>
      </c>
      <c r="N49" t="n">
        <v>0</v>
      </c>
      <c r="O49" t="n">
        <v>0</v>
      </c>
      <c r="P49" t="n">
        <v>0</v>
      </c>
      <c r="Q49" t="n">
        <v>0</v>
      </c>
      <c r="R49" s="2" t="inlineStr"/>
    </row>
    <row r="50" ht="15" customHeight="1">
      <c r="A50" t="inlineStr">
        <is>
          <t>A 26670-2025</t>
        </is>
      </c>
      <c r="B50" s="1" t="n">
        <v>45810.41489583333</v>
      </c>
      <c r="C50" s="1" t="n">
        <v>45965</v>
      </c>
      <c r="D50" t="inlineStr">
        <is>
          <t>UPPSALA LÄN</t>
        </is>
      </c>
      <c r="E50" t="inlineStr">
        <is>
          <t>ÄLVKARLEBY</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3950-2025</t>
        </is>
      </c>
      <c r="B51" s="1" t="n">
        <v>45684</v>
      </c>
      <c r="C51" s="1" t="n">
        <v>45965</v>
      </c>
      <c r="D51" t="inlineStr">
        <is>
          <t>UPPSALA LÄN</t>
        </is>
      </c>
      <c r="E51" t="inlineStr">
        <is>
          <t>ÄLVKARLEBY</t>
        </is>
      </c>
      <c r="G51" t="n">
        <v>3.1</v>
      </c>
      <c r="H51" t="n">
        <v>0</v>
      </c>
      <c r="I51" t="n">
        <v>0</v>
      </c>
      <c r="J51" t="n">
        <v>0</v>
      </c>
      <c r="K51" t="n">
        <v>0</v>
      </c>
      <c r="L51" t="n">
        <v>0</v>
      </c>
      <c r="M51" t="n">
        <v>0</v>
      </c>
      <c r="N51" t="n">
        <v>0</v>
      </c>
      <c r="O51" t="n">
        <v>0</v>
      </c>
      <c r="P51" t="n">
        <v>0</v>
      </c>
      <c r="Q51" t="n">
        <v>0</v>
      </c>
      <c r="R51" s="2" t="inlineStr"/>
    </row>
    <row r="52" ht="15" customHeight="1">
      <c r="A52" t="inlineStr">
        <is>
          <t>A 967-2021</t>
        </is>
      </c>
      <c r="B52" s="1" t="n">
        <v>44207</v>
      </c>
      <c r="C52" s="1" t="n">
        <v>45965</v>
      </c>
      <c r="D52" t="inlineStr">
        <is>
          <t>UPPSALA LÄN</t>
        </is>
      </c>
      <c r="E52" t="inlineStr">
        <is>
          <t>ÄLVKARLEBY</t>
        </is>
      </c>
      <c r="G52" t="n">
        <v>0.7</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45965</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45965</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8031-2025</t>
        </is>
      </c>
      <c r="B55" s="1" t="n">
        <v>45707.59112268518</v>
      </c>
      <c r="C55" s="1" t="n">
        <v>45965</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7286-2023</t>
        </is>
      </c>
      <c r="B56" s="1" t="n">
        <v>44970</v>
      </c>
      <c r="C56" s="1" t="n">
        <v>45965</v>
      </c>
      <c r="D56" t="inlineStr">
        <is>
          <t>UPPSALA LÄN</t>
        </is>
      </c>
      <c r="E56" t="inlineStr">
        <is>
          <t>ÄLVKARLEBY</t>
        </is>
      </c>
      <c r="F56" t="inlineStr">
        <is>
          <t>Bergvik skog väst AB</t>
        </is>
      </c>
      <c r="G56" t="n">
        <v>2.5</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45965</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45965</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28668-2025</t>
        </is>
      </c>
      <c r="B59" s="1" t="n">
        <v>45819.66650462963</v>
      </c>
      <c r="C59" s="1" t="n">
        <v>45965</v>
      </c>
      <c r="D59" t="inlineStr">
        <is>
          <t>UPPSALA LÄN</t>
        </is>
      </c>
      <c r="E59" t="inlineStr">
        <is>
          <t>ÄLVKARLEBY</t>
        </is>
      </c>
      <c r="F59" t="inlineStr">
        <is>
          <t>Bergvik skog väst AB</t>
        </is>
      </c>
      <c r="G59" t="n">
        <v>8.300000000000001</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45965</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19703-2025</t>
        </is>
      </c>
      <c r="B61" s="1" t="n">
        <v>45771</v>
      </c>
      <c r="C61" s="1" t="n">
        <v>45965</v>
      </c>
      <c r="D61" t="inlineStr">
        <is>
          <t>UPPSALA LÄN</t>
        </is>
      </c>
      <c r="E61" t="inlineStr">
        <is>
          <t>ÄLVKARLEBY</t>
        </is>
      </c>
      <c r="F61" t="inlineStr">
        <is>
          <t>Bergvik skog väst AB</t>
        </is>
      </c>
      <c r="G61" t="n">
        <v>3.8</v>
      </c>
      <c r="H61" t="n">
        <v>0</v>
      </c>
      <c r="I61" t="n">
        <v>0</v>
      </c>
      <c r="J61" t="n">
        <v>0</v>
      </c>
      <c r="K61" t="n">
        <v>0</v>
      </c>
      <c r="L61" t="n">
        <v>0</v>
      </c>
      <c r="M61" t="n">
        <v>0</v>
      </c>
      <c r="N61" t="n">
        <v>0</v>
      </c>
      <c r="O61" t="n">
        <v>0</v>
      </c>
      <c r="P61" t="n">
        <v>0</v>
      </c>
      <c r="Q61" t="n">
        <v>0</v>
      </c>
      <c r="R61" s="2" t="inlineStr"/>
    </row>
    <row r="62" ht="15" customHeight="1">
      <c r="A62" t="inlineStr">
        <is>
          <t>A 30944-2025</t>
        </is>
      </c>
      <c r="B62" s="1" t="n">
        <v>45832.41182870371</v>
      </c>
      <c r="C62" s="1" t="n">
        <v>45965</v>
      </c>
      <c r="D62" t="inlineStr">
        <is>
          <t>UPPSALA LÄN</t>
        </is>
      </c>
      <c r="E62" t="inlineStr">
        <is>
          <t>ÄLVKARLEBY</t>
        </is>
      </c>
      <c r="F62" t="inlineStr">
        <is>
          <t>Bergvik skog öst AB</t>
        </is>
      </c>
      <c r="G62" t="n">
        <v>3.4</v>
      </c>
      <c r="H62" t="n">
        <v>0</v>
      </c>
      <c r="I62" t="n">
        <v>0</v>
      </c>
      <c r="J62" t="n">
        <v>0</v>
      </c>
      <c r="K62" t="n">
        <v>0</v>
      </c>
      <c r="L62" t="n">
        <v>0</v>
      </c>
      <c r="M62" t="n">
        <v>0</v>
      </c>
      <c r="N62" t="n">
        <v>0</v>
      </c>
      <c r="O62" t="n">
        <v>0</v>
      </c>
      <c r="P62" t="n">
        <v>0</v>
      </c>
      <c r="Q62" t="n">
        <v>0</v>
      </c>
      <c r="R62" s="2" t="inlineStr"/>
    </row>
    <row r="63" ht="15" customHeight="1">
      <c r="A63" t="inlineStr">
        <is>
          <t>A 30936-2025</t>
        </is>
      </c>
      <c r="B63" s="1" t="n">
        <v>45832.40586805555</v>
      </c>
      <c r="C63" s="1" t="n">
        <v>45965</v>
      </c>
      <c r="D63" t="inlineStr">
        <is>
          <t>UPPSALA LÄN</t>
        </is>
      </c>
      <c r="E63" t="inlineStr">
        <is>
          <t>ÄLVKARLEBY</t>
        </is>
      </c>
      <c r="F63" t="inlineStr">
        <is>
          <t>Bergvik skog öst AB</t>
        </is>
      </c>
      <c r="G63" t="n">
        <v>7.2</v>
      </c>
      <c r="H63" t="n">
        <v>0</v>
      </c>
      <c r="I63" t="n">
        <v>0</v>
      </c>
      <c r="J63" t="n">
        <v>0</v>
      </c>
      <c r="K63" t="n">
        <v>0</v>
      </c>
      <c r="L63" t="n">
        <v>0</v>
      </c>
      <c r="M63" t="n">
        <v>0</v>
      </c>
      <c r="N63" t="n">
        <v>0</v>
      </c>
      <c r="O63" t="n">
        <v>0</v>
      </c>
      <c r="P63" t="n">
        <v>0</v>
      </c>
      <c r="Q63" t="n">
        <v>0</v>
      </c>
      <c r="R63" s="2" t="inlineStr"/>
    </row>
    <row r="64" ht="15" customHeight="1">
      <c r="A64" t="inlineStr">
        <is>
          <t>A 46113-2023</t>
        </is>
      </c>
      <c r="B64" s="1" t="n">
        <v>45196.54938657407</v>
      </c>
      <c r="C64" s="1" t="n">
        <v>45965</v>
      </c>
      <c r="D64" t="inlineStr">
        <is>
          <t>UPPSALA LÄN</t>
        </is>
      </c>
      <c r="E64" t="inlineStr">
        <is>
          <t>ÄLVKARLEBY</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45965</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45965</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45965</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32187-2025</t>
        </is>
      </c>
      <c r="B68" s="1" t="n">
        <v>45835.56949074074</v>
      </c>
      <c r="C68" s="1" t="n">
        <v>45965</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45965</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45965</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45965</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41979-2024</t>
        </is>
      </c>
      <c r="B72" s="1" t="n">
        <v>45561</v>
      </c>
      <c r="C72" s="1" t="n">
        <v>45965</v>
      </c>
      <c r="D72" t="inlineStr">
        <is>
          <t>UPPSALA LÄN</t>
        </is>
      </c>
      <c r="E72" t="inlineStr">
        <is>
          <t>ÄLVKARLEBY</t>
        </is>
      </c>
      <c r="F72" t="inlineStr">
        <is>
          <t>Bergvik skog väst AB</t>
        </is>
      </c>
      <c r="G72" t="n">
        <v>2.8</v>
      </c>
      <c r="H72" t="n">
        <v>0</v>
      </c>
      <c r="I72" t="n">
        <v>0</v>
      </c>
      <c r="J72" t="n">
        <v>0</v>
      </c>
      <c r="K72" t="n">
        <v>0</v>
      </c>
      <c r="L72" t="n">
        <v>0</v>
      </c>
      <c r="M72" t="n">
        <v>0</v>
      </c>
      <c r="N72" t="n">
        <v>0</v>
      </c>
      <c r="O72" t="n">
        <v>0</v>
      </c>
      <c r="P72" t="n">
        <v>0</v>
      </c>
      <c r="Q72" t="n">
        <v>0</v>
      </c>
      <c r="R72" s="2" t="inlineStr"/>
    </row>
    <row r="73" ht="15" customHeight="1">
      <c r="A73" t="inlineStr">
        <is>
          <t>A 41615-2025</t>
        </is>
      </c>
      <c r="B73" s="1" t="n">
        <v>45901.69556712963</v>
      </c>
      <c r="C73" s="1" t="n">
        <v>45965</v>
      </c>
      <c r="D73" t="inlineStr">
        <is>
          <t>UPPSALA LÄN</t>
        </is>
      </c>
      <c r="E73" t="inlineStr">
        <is>
          <t>ÄLVKARLEBY</t>
        </is>
      </c>
      <c r="F73" t="inlineStr">
        <is>
          <t>Bergvik skog väst AB</t>
        </is>
      </c>
      <c r="G73" t="n">
        <v>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45965</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39791-2021</t>
        </is>
      </c>
      <c r="B75" s="1" t="n">
        <v>44417</v>
      </c>
      <c r="C75" s="1" t="n">
        <v>45965</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26664-2025</t>
        </is>
      </c>
      <c r="B76" s="1" t="n">
        <v>45810</v>
      </c>
      <c r="C76" s="1" t="n">
        <v>45965</v>
      </c>
      <c r="D76" t="inlineStr">
        <is>
          <t>UPPSALA LÄN</t>
        </is>
      </c>
      <c r="E76" t="inlineStr">
        <is>
          <t>ÄLVKARLEBY</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41276-2023</t>
        </is>
      </c>
      <c r="B77" s="1" t="n">
        <v>45174</v>
      </c>
      <c r="C77" s="1" t="n">
        <v>45965</v>
      </c>
      <c r="D77" t="inlineStr">
        <is>
          <t>UPPSALA LÄN</t>
        </is>
      </c>
      <c r="E77" t="inlineStr">
        <is>
          <t>ÄLVKARLEBY</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50113-2025</t>
        </is>
      </c>
      <c r="B78" s="1" t="n">
        <v>45943.54452546296</v>
      </c>
      <c r="C78" s="1" t="n">
        <v>45965</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36626-2025</t>
        </is>
      </c>
      <c r="B79" s="1" t="n">
        <v>45870.66732638889</v>
      </c>
      <c r="C79" s="1" t="n">
        <v>45965</v>
      </c>
      <c r="D79" t="inlineStr">
        <is>
          <t>UPPSALA LÄN</t>
        </is>
      </c>
      <c r="E79" t="inlineStr">
        <is>
          <t>ÄLVKARLEBY</t>
        </is>
      </c>
      <c r="F79" t="inlineStr">
        <is>
          <t>Bergvik skog väst AB</t>
        </is>
      </c>
      <c r="G79" t="n">
        <v>2.7</v>
      </c>
      <c r="H79" t="n">
        <v>0</v>
      </c>
      <c r="I79" t="n">
        <v>0</v>
      </c>
      <c r="J79" t="n">
        <v>0</v>
      </c>
      <c r="K79" t="n">
        <v>0</v>
      </c>
      <c r="L79" t="n">
        <v>0</v>
      </c>
      <c r="M79" t="n">
        <v>0</v>
      </c>
      <c r="N79" t="n">
        <v>0</v>
      </c>
      <c r="O79" t="n">
        <v>0</v>
      </c>
      <c r="P79" t="n">
        <v>0</v>
      </c>
      <c r="Q79" t="n">
        <v>0</v>
      </c>
      <c r="R79" s="2" t="inlineStr"/>
    </row>
    <row r="80" ht="15" customHeight="1">
      <c r="A80" t="inlineStr">
        <is>
          <t>A 14004-2025</t>
        </is>
      </c>
      <c r="B80" s="1" t="n">
        <v>45740.2997337963</v>
      </c>
      <c r="C80" s="1" t="n">
        <v>45965</v>
      </c>
      <c r="D80" t="inlineStr">
        <is>
          <t>UPPSALA LÄN</t>
        </is>
      </c>
      <c r="E80" t="inlineStr">
        <is>
          <t>ÄLVKARLEBY</t>
        </is>
      </c>
      <c r="F80" t="inlineStr">
        <is>
          <t>Bergvik skog öst AB</t>
        </is>
      </c>
      <c r="G80" t="n">
        <v>10.1</v>
      </c>
      <c r="H80" t="n">
        <v>0</v>
      </c>
      <c r="I80" t="n">
        <v>0</v>
      </c>
      <c r="J80" t="n">
        <v>0</v>
      </c>
      <c r="K80" t="n">
        <v>0</v>
      </c>
      <c r="L80" t="n">
        <v>0</v>
      </c>
      <c r="M80" t="n">
        <v>0</v>
      </c>
      <c r="N80" t="n">
        <v>0</v>
      </c>
      <c r="O80" t="n">
        <v>0</v>
      </c>
      <c r="P80" t="n">
        <v>0</v>
      </c>
      <c r="Q80" t="n">
        <v>0</v>
      </c>
      <c r="R80" s="2" t="inlineStr"/>
    </row>
    <row r="81" ht="15" customHeight="1">
      <c r="A81" t="inlineStr">
        <is>
          <t>A 41929-2024</t>
        </is>
      </c>
      <c r="B81" s="1" t="n">
        <v>45561</v>
      </c>
      <c r="C81" s="1" t="n">
        <v>45965</v>
      </c>
      <c r="D81" t="inlineStr">
        <is>
          <t>UPPSALA LÄN</t>
        </is>
      </c>
      <c r="E81" t="inlineStr">
        <is>
          <t>ÄLVKARLEBY</t>
        </is>
      </c>
      <c r="F81" t="inlineStr">
        <is>
          <t>Bergvik skog väst AB</t>
        </is>
      </c>
      <c r="G81" t="n">
        <v>4.9</v>
      </c>
      <c r="H81" t="n">
        <v>0</v>
      </c>
      <c r="I81" t="n">
        <v>0</v>
      </c>
      <c r="J81" t="n">
        <v>0</v>
      </c>
      <c r="K81" t="n">
        <v>0</v>
      </c>
      <c r="L81" t="n">
        <v>0</v>
      </c>
      <c r="M81" t="n">
        <v>0</v>
      </c>
      <c r="N81" t="n">
        <v>0</v>
      </c>
      <c r="O81" t="n">
        <v>0</v>
      </c>
      <c r="P81" t="n">
        <v>0</v>
      </c>
      <c r="Q81" t="n">
        <v>0</v>
      </c>
      <c r="R81" s="2" t="inlineStr"/>
    </row>
    <row r="82" ht="15" customHeight="1">
      <c r="A82" t="inlineStr">
        <is>
          <t>A 41847-2025</t>
        </is>
      </c>
      <c r="B82" s="1" t="n">
        <v>45902.75265046296</v>
      </c>
      <c r="C82" s="1" t="n">
        <v>45965</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50869-2025</t>
        </is>
      </c>
      <c r="B83" s="1" t="n">
        <v>45946.60259259259</v>
      </c>
      <c r="C83" s="1" t="n">
        <v>45965</v>
      </c>
      <c r="D83" t="inlineStr">
        <is>
          <t>UPPSALA LÄN</t>
        </is>
      </c>
      <c r="E83" t="inlineStr">
        <is>
          <t>ÄLVKARLEBY</t>
        </is>
      </c>
      <c r="F83" t="inlineStr">
        <is>
          <t>Bergvik skog väst AB</t>
        </is>
      </c>
      <c r="G83" t="n">
        <v>11.4</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45965</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51237-2025</t>
        </is>
      </c>
      <c r="B85" s="1" t="n">
        <v>45947.69307870371</v>
      </c>
      <c r="C85" s="1" t="n">
        <v>45965</v>
      </c>
      <c r="D85" t="inlineStr">
        <is>
          <t>UPPSALA LÄN</t>
        </is>
      </c>
      <c r="E85" t="inlineStr">
        <is>
          <t>ÄLVKARLEBY</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46510-2025</t>
        </is>
      </c>
      <c r="B86" s="1" t="n">
        <v>45925.92368055556</v>
      </c>
      <c r="C86" s="1" t="n">
        <v>45965</v>
      </c>
      <c r="D86" t="inlineStr">
        <is>
          <t>UPPSALA LÄN</t>
        </is>
      </c>
      <c r="E86" t="inlineStr">
        <is>
          <t>ÄLVKARLEBY</t>
        </is>
      </c>
      <c r="G86" t="n">
        <v>2.3</v>
      </c>
      <c r="H86" t="n">
        <v>0</v>
      </c>
      <c r="I86" t="n">
        <v>0</v>
      </c>
      <c r="J86" t="n">
        <v>0</v>
      </c>
      <c r="K86" t="n">
        <v>0</v>
      </c>
      <c r="L86" t="n">
        <v>0</v>
      </c>
      <c r="M86" t="n">
        <v>0</v>
      </c>
      <c r="N86" t="n">
        <v>0</v>
      </c>
      <c r="O86" t="n">
        <v>0</v>
      </c>
      <c r="P86" t="n">
        <v>0</v>
      </c>
      <c r="Q86" t="n">
        <v>0</v>
      </c>
      <c r="R86" s="2" t="inlineStr"/>
    </row>
    <row r="87" ht="15" customHeight="1">
      <c r="A87" t="inlineStr">
        <is>
          <t>A 43662-2025</t>
        </is>
      </c>
      <c r="B87" s="1" t="n">
        <v>45912.34446759259</v>
      </c>
      <c r="C87" s="1" t="n">
        <v>45965</v>
      </c>
      <c r="D87" t="inlineStr">
        <is>
          <t>UPPSALA LÄN</t>
        </is>
      </c>
      <c r="E87" t="inlineStr">
        <is>
          <t>ÄLVKARLEBY</t>
        </is>
      </c>
      <c r="F87" t="inlineStr">
        <is>
          <t>Kyrkan</t>
        </is>
      </c>
      <c r="G87" t="n">
        <v>4.5</v>
      </c>
      <c r="H87" t="n">
        <v>0</v>
      </c>
      <c r="I87" t="n">
        <v>0</v>
      </c>
      <c r="J87" t="n">
        <v>0</v>
      </c>
      <c r="K87" t="n">
        <v>0</v>
      </c>
      <c r="L87" t="n">
        <v>0</v>
      </c>
      <c r="M87" t="n">
        <v>0</v>
      </c>
      <c r="N87" t="n">
        <v>0</v>
      </c>
      <c r="O87" t="n">
        <v>0</v>
      </c>
      <c r="P87" t="n">
        <v>0</v>
      </c>
      <c r="Q87" t="n">
        <v>0</v>
      </c>
      <c r="R87" s="2" t="inlineStr"/>
    </row>
    <row r="88" ht="15" customHeight="1">
      <c r="A88" t="inlineStr">
        <is>
          <t>A 52498-2025</t>
        </is>
      </c>
      <c r="B88" s="1" t="n">
        <v>45954.49314814815</v>
      </c>
      <c r="C88" s="1" t="n">
        <v>45965</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43577-2025</t>
        </is>
      </c>
      <c r="B89" s="1" t="n">
        <v>45911.64219907407</v>
      </c>
      <c r="C89" s="1" t="n">
        <v>45965</v>
      </c>
      <c r="D89" t="inlineStr">
        <is>
          <t>UPPSALA LÄN</t>
        </is>
      </c>
      <c r="E89" t="inlineStr">
        <is>
          <t>ÄLVKARLEBY</t>
        </is>
      </c>
      <c r="F89" t="inlineStr">
        <is>
          <t>Bergvik skog väst AB</t>
        </is>
      </c>
      <c r="G89" t="n">
        <v>3</v>
      </c>
      <c r="H89" t="n">
        <v>0</v>
      </c>
      <c r="I89" t="n">
        <v>0</v>
      </c>
      <c r="J89" t="n">
        <v>0</v>
      </c>
      <c r="K89" t="n">
        <v>0</v>
      </c>
      <c r="L89" t="n">
        <v>0</v>
      </c>
      <c r="M89" t="n">
        <v>0</v>
      </c>
      <c r="N89" t="n">
        <v>0</v>
      </c>
      <c r="O89" t="n">
        <v>0</v>
      </c>
      <c r="P89" t="n">
        <v>0</v>
      </c>
      <c r="Q89" t="n">
        <v>0</v>
      </c>
      <c r="R89" s="2" t="inlineStr"/>
    </row>
    <row r="90" ht="15" customHeight="1">
      <c r="A90" t="inlineStr">
        <is>
          <t>A 51149-2025</t>
        </is>
      </c>
      <c r="B90" s="1" t="n">
        <v>45947</v>
      </c>
      <c r="C90" s="1" t="n">
        <v>45965</v>
      </c>
      <c r="D90" t="inlineStr">
        <is>
          <t>UPPSALA LÄN</t>
        </is>
      </c>
      <c r="E90" t="inlineStr">
        <is>
          <t>ÄLVKARLEBY</t>
        </is>
      </c>
      <c r="F90" t="inlineStr">
        <is>
          <t>Bergvik skog väst AB</t>
        </is>
      </c>
      <c r="G90" t="n">
        <v>2.9</v>
      </c>
      <c r="H90" t="n">
        <v>0</v>
      </c>
      <c r="I90" t="n">
        <v>0</v>
      </c>
      <c r="J90" t="n">
        <v>0</v>
      </c>
      <c r="K90" t="n">
        <v>0</v>
      </c>
      <c r="L90" t="n">
        <v>0</v>
      </c>
      <c r="M90" t="n">
        <v>0</v>
      </c>
      <c r="N90" t="n">
        <v>0</v>
      </c>
      <c r="O90" t="n">
        <v>0</v>
      </c>
      <c r="P90" t="n">
        <v>0</v>
      </c>
      <c r="Q90" t="n">
        <v>0</v>
      </c>
      <c r="R90" s="2" t="inlineStr"/>
    </row>
    <row r="91" ht="15" customHeight="1">
      <c r="A91" t="inlineStr">
        <is>
          <t>A 52477-2025</t>
        </is>
      </c>
      <c r="B91" s="1" t="n">
        <v>45954.46980324074</v>
      </c>
      <c r="C91" s="1" t="n">
        <v>45965</v>
      </c>
      <c r="D91" t="inlineStr">
        <is>
          <t>UPPSALA LÄN</t>
        </is>
      </c>
      <c r="E91" t="inlineStr">
        <is>
          <t>ÄLVKARLEBY</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53173-2025</t>
        </is>
      </c>
      <c r="B92" s="1" t="n">
        <v>45958.51738425926</v>
      </c>
      <c r="C92" s="1" t="n">
        <v>45965</v>
      </c>
      <c r="D92" t="inlineStr">
        <is>
          <t>UPPSALA LÄN</t>
        </is>
      </c>
      <c r="E92" t="inlineStr">
        <is>
          <t>ÄLVKARLEBY</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45033-2025</t>
        </is>
      </c>
      <c r="B93" s="1" t="n">
        <v>45918.70299768518</v>
      </c>
      <c r="C93" s="1" t="n">
        <v>45965</v>
      </c>
      <c r="D93" t="inlineStr">
        <is>
          <t>UPPSALA LÄN</t>
        </is>
      </c>
      <c r="E93" t="inlineStr">
        <is>
          <t>ÄLVKARLEBY</t>
        </is>
      </c>
      <c r="F93" t="inlineStr">
        <is>
          <t>Bergvik skog väst AB</t>
        </is>
      </c>
      <c r="G93" t="n">
        <v>0.9</v>
      </c>
      <c r="H93" t="n">
        <v>0</v>
      </c>
      <c r="I93" t="n">
        <v>0</v>
      </c>
      <c r="J93" t="n">
        <v>0</v>
      </c>
      <c r="K93" t="n">
        <v>0</v>
      </c>
      <c r="L93" t="n">
        <v>0</v>
      </c>
      <c r="M93" t="n">
        <v>0</v>
      </c>
      <c r="N93" t="n">
        <v>0</v>
      </c>
      <c r="O93" t="n">
        <v>0</v>
      </c>
      <c r="P93" t="n">
        <v>0</v>
      </c>
      <c r="Q93" t="n">
        <v>0</v>
      </c>
      <c r="R93" s="2" t="inlineStr"/>
    </row>
    <row r="94">
      <c r="A94" t="inlineStr">
        <is>
          <t>A 45512-2025</t>
        </is>
      </c>
      <c r="B94" s="1" t="n">
        <v>45922.58106481482</v>
      </c>
      <c r="C94" s="1" t="n">
        <v>45965</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2025-11-04T10:05:54Z</dcterms:created>
  <dcterms:modified xmlns:dcterms="http://purl.org/dc/terms/" xmlns:xsi="http://www.w3.org/2001/XMLSchema-instance" xsi:type="dcterms:W3CDTF">2025-11-04T10:05:54Z</dcterms:modified>
</cp:coreProperties>
</file>