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45715</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45715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45715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45715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45715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45715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45715</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45715</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45715</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45715</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45715</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45715</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45715</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45715</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45715</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45715</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45715</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45715</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45715</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45715</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45715</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45715</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45715</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45715</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45715</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45715</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45715</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45715</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45715</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45715</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45715</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45715</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45715</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45715</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45715</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45715</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45715</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45715</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45715</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45715</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19969-2019</t>
        </is>
      </c>
      <c r="B42" s="1" t="n">
        <v>43570</v>
      </c>
      <c r="C42" s="1" t="n">
        <v>45715</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24105-2019</t>
        </is>
      </c>
      <c r="B43" s="1" t="n">
        <v>43598</v>
      </c>
      <c r="C43" s="1" t="n">
        <v>45715</v>
      </c>
      <c r="D43" t="inlineStr">
        <is>
          <t>UPPSALA LÄN</t>
        </is>
      </c>
      <c r="E43" t="inlineStr">
        <is>
          <t>ÄLVKARLEBY</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25340-2019</t>
        </is>
      </c>
      <c r="B44" s="1" t="n">
        <v>43606</v>
      </c>
      <c r="C44" s="1" t="n">
        <v>45715</v>
      </c>
      <c r="D44" t="inlineStr">
        <is>
          <t>UPPSALA LÄN</t>
        </is>
      </c>
      <c r="E44" t="inlineStr">
        <is>
          <t>ÄLVKARLEBY</t>
        </is>
      </c>
      <c r="F44" t="inlineStr">
        <is>
          <t>Bergvik skog väst AB</t>
        </is>
      </c>
      <c r="G44" t="n">
        <v>2.9</v>
      </c>
      <c r="H44" t="n">
        <v>0</v>
      </c>
      <c r="I44" t="n">
        <v>0</v>
      </c>
      <c r="J44" t="n">
        <v>0</v>
      </c>
      <c r="K44" t="n">
        <v>0</v>
      </c>
      <c r="L44" t="n">
        <v>0</v>
      </c>
      <c r="M44" t="n">
        <v>0</v>
      </c>
      <c r="N44" t="n">
        <v>0</v>
      </c>
      <c r="O44" t="n">
        <v>0</v>
      </c>
      <c r="P44" t="n">
        <v>0</v>
      </c>
      <c r="Q44" t="n">
        <v>0</v>
      </c>
      <c r="R44" s="2" t="inlineStr"/>
    </row>
    <row r="45" ht="15" customHeight="1">
      <c r="A45" t="inlineStr">
        <is>
          <t>A 44457-2019</t>
        </is>
      </c>
      <c r="B45" s="1" t="n">
        <v>43711</v>
      </c>
      <c r="C45" s="1" t="n">
        <v>45715</v>
      </c>
      <c r="D45" t="inlineStr">
        <is>
          <t>UPPSALA LÄN</t>
        </is>
      </c>
      <c r="E45" t="inlineStr">
        <is>
          <t>ÄLVKARLEBY</t>
        </is>
      </c>
      <c r="F45" t="inlineStr">
        <is>
          <t>Bergvik skog väst AB</t>
        </is>
      </c>
      <c r="G45" t="n">
        <v>8.699999999999999</v>
      </c>
      <c r="H45" t="n">
        <v>0</v>
      </c>
      <c r="I45" t="n">
        <v>0</v>
      </c>
      <c r="J45" t="n">
        <v>0</v>
      </c>
      <c r="K45" t="n">
        <v>0</v>
      </c>
      <c r="L45" t="n">
        <v>0</v>
      </c>
      <c r="M45" t="n">
        <v>0</v>
      </c>
      <c r="N45" t="n">
        <v>0</v>
      </c>
      <c r="O45" t="n">
        <v>0</v>
      </c>
      <c r="P45" t="n">
        <v>0</v>
      </c>
      <c r="Q45" t="n">
        <v>0</v>
      </c>
      <c r="R45" s="2" t="inlineStr"/>
    </row>
    <row r="46" ht="15" customHeight="1">
      <c r="A46" t="inlineStr">
        <is>
          <t>A 48822-2019</t>
        </is>
      </c>
      <c r="B46" s="1" t="n">
        <v>43728</v>
      </c>
      <c r="C46" s="1" t="n">
        <v>45715</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57745-2019</t>
        </is>
      </c>
      <c r="B47" s="1" t="n">
        <v>43768</v>
      </c>
      <c r="C47" s="1" t="n">
        <v>45715</v>
      </c>
      <c r="D47" t="inlineStr">
        <is>
          <t>UPPSALA LÄN</t>
        </is>
      </c>
      <c r="E47" t="inlineStr">
        <is>
          <t>ÄLVKARLEBY</t>
        </is>
      </c>
      <c r="F47" t="inlineStr">
        <is>
          <t>Bergvik skog väst AB</t>
        </is>
      </c>
      <c r="G47" t="n">
        <v>0.5</v>
      </c>
      <c r="H47" t="n">
        <v>0</v>
      </c>
      <c r="I47" t="n">
        <v>0</v>
      </c>
      <c r="J47" t="n">
        <v>0</v>
      </c>
      <c r="K47" t="n">
        <v>0</v>
      </c>
      <c r="L47" t="n">
        <v>0</v>
      </c>
      <c r="M47" t="n">
        <v>0</v>
      </c>
      <c r="N47" t="n">
        <v>0</v>
      </c>
      <c r="O47" t="n">
        <v>0</v>
      </c>
      <c r="P47" t="n">
        <v>0</v>
      </c>
      <c r="Q47" t="n">
        <v>0</v>
      </c>
      <c r="R47" s="2" t="inlineStr"/>
    </row>
    <row r="48" ht="15" customHeight="1">
      <c r="A48" t="inlineStr">
        <is>
          <t>A 5511-2020</t>
        </is>
      </c>
      <c r="B48" s="1" t="n">
        <v>43861</v>
      </c>
      <c r="C48" s="1" t="n">
        <v>45715</v>
      </c>
      <c r="D48" t="inlineStr">
        <is>
          <t>UPPSALA LÄN</t>
        </is>
      </c>
      <c r="E48" t="inlineStr">
        <is>
          <t>ÄLVKARLEBY</t>
        </is>
      </c>
      <c r="G48" t="n">
        <v>1.2</v>
      </c>
      <c r="H48" t="n">
        <v>0</v>
      </c>
      <c r="I48" t="n">
        <v>0</v>
      </c>
      <c r="J48" t="n">
        <v>0</v>
      </c>
      <c r="K48" t="n">
        <v>0</v>
      </c>
      <c r="L48" t="n">
        <v>0</v>
      </c>
      <c r="M48" t="n">
        <v>0</v>
      </c>
      <c r="N48" t="n">
        <v>0</v>
      </c>
      <c r="O48" t="n">
        <v>0</v>
      </c>
      <c r="P48" t="n">
        <v>0</v>
      </c>
      <c r="Q48" t="n">
        <v>0</v>
      </c>
      <c r="R48" s="2" t="inlineStr"/>
    </row>
    <row r="49" ht="15" customHeight="1">
      <c r="A49" t="inlineStr">
        <is>
          <t>A 15213-2020</t>
        </is>
      </c>
      <c r="B49" s="1" t="n">
        <v>43913</v>
      </c>
      <c r="C49" s="1" t="n">
        <v>45715</v>
      </c>
      <c r="D49" t="inlineStr">
        <is>
          <t>UPPSALA LÄN</t>
        </is>
      </c>
      <c r="E49" t="inlineStr">
        <is>
          <t>ÄLVKARLEBY</t>
        </is>
      </c>
      <c r="G49" t="n">
        <v>5</v>
      </c>
      <c r="H49" t="n">
        <v>0</v>
      </c>
      <c r="I49" t="n">
        <v>0</v>
      </c>
      <c r="J49" t="n">
        <v>0</v>
      </c>
      <c r="K49" t="n">
        <v>0</v>
      </c>
      <c r="L49" t="n">
        <v>0</v>
      </c>
      <c r="M49" t="n">
        <v>0</v>
      </c>
      <c r="N49" t="n">
        <v>0</v>
      </c>
      <c r="O49" t="n">
        <v>0</v>
      </c>
      <c r="P49" t="n">
        <v>0</v>
      </c>
      <c r="Q49" t="n">
        <v>0</v>
      </c>
      <c r="R49" s="2" t="inlineStr"/>
    </row>
    <row r="50" ht="15" customHeight="1">
      <c r="A50" t="inlineStr">
        <is>
          <t>A 32416-2020</t>
        </is>
      </c>
      <c r="B50" s="1" t="n">
        <v>44018</v>
      </c>
      <c r="C50" s="1" t="n">
        <v>45715</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37193-2020</t>
        </is>
      </c>
      <c r="B51" s="1" t="n">
        <v>44054</v>
      </c>
      <c r="C51" s="1" t="n">
        <v>45715</v>
      </c>
      <c r="D51" t="inlineStr">
        <is>
          <t>UPPSALA LÄN</t>
        </is>
      </c>
      <c r="E51" t="inlineStr">
        <is>
          <t>ÄLVKARLEBY</t>
        </is>
      </c>
      <c r="F51" t="inlineStr">
        <is>
          <t>Bergvik skog väst AB</t>
        </is>
      </c>
      <c r="G51" t="n">
        <v>2.3</v>
      </c>
      <c r="H51" t="n">
        <v>0</v>
      </c>
      <c r="I51" t="n">
        <v>0</v>
      </c>
      <c r="J51" t="n">
        <v>0</v>
      </c>
      <c r="K51" t="n">
        <v>0</v>
      </c>
      <c r="L51" t="n">
        <v>0</v>
      </c>
      <c r="M51" t="n">
        <v>0</v>
      </c>
      <c r="N51" t="n">
        <v>0</v>
      </c>
      <c r="O51" t="n">
        <v>0</v>
      </c>
      <c r="P51" t="n">
        <v>0</v>
      </c>
      <c r="Q51" t="n">
        <v>0</v>
      </c>
      <c r="R51" s="2" t="inlineStr"/>
    </row>
    <row r="52" ht="15" customHeight="1">
      <c r="A52" t="inlineStr">
        <is>
          <t>A 40667-2020</t>
        </is>
      </c>
      <c r="B52" s="1" t="n">
        <v>44069</v>
      </c>
      <c r="C52" s="1" t="n">
        <v>45715</v>
      </c>
      <c r="D52" t="inlineStr">
        <is>
          <t>UPPSALA LÄN</t>
        </is>
      </c>
      <c r="E52" t="inlineStr">
        <is>
          <t>ÄLVKARLEBY</t>
        </is>
      </c>
      <c r="F52" t="inlineStr">
        <is>
          <t>Bergvik skog väst AB</t>
        </is>
      </c>
      <c r="G52" t="n">
        <v>20.7</v>
      </c>
      <c r="H52" t="n">
        <v>0</v>
      </c>
      <c r="I52" t="n">
        <v>0</v>
      </c>
      <c r="J52" t="n">
        <v>0</v>
      </c>
      <c r="K52" t="n">
        <v>0</v>
      </c>
      <c r="L52" t="n">
        <v>0</v>
      </c>
      <c r="M52" t="n">
        <v>0</v>
      </c>
      <c r="N52" t="n">
        <v>0</v>
      </c>
      <c r="O52" t="n">
        <v>0</v>
      </c>
      <c r="P52" t="n">
        <v>0</v>
      </c>
      <c r="Q52" t="n">
        <v>0</v>
      </c>
      <c r="R52" s="2" t="inlineStr"/>
    </row>
    <row r="53" ht="15" customHeight="1">
      <c r="A53" t="inlineStr">
        <is>
          <t>A 50413-2020</t>
        </is>
      </c>
      <c r="B53" s="1" t="n">
        <v>44110</v>
      </c>
      <c r="C53" s="1" t="n">
        <v>45715</v>
      </c>
      <c r="D53" t="inlineStr">
        <is>
          <t>UPPSALA LÄN</t>
        </is>
      </c>
      <c r="E53" t="inlineStr">
        <is>
          <t>ÄLVKARLEBY</t>
        </is>
      </c>
      <c r="F53" t="inlineStr">
        <is>
          <t>Bergvik skog väst AB</t>
        </is>
      </c>
      <c r="G53" t="n">
        <v>2.1</v>
      </c>
      <c r="H53" t="n">
        <v>0</v>
      </c>
      <c r="I53" t="n">
        <v>0</v>
      </c>
      <c r="J53" t="n">
        <v>0</v>
      </c>
      <c r="K53" t="n">
        <v>0</v>
      </c>
      <c r="L53" t="n">
        <v>0</v>
      </c>
      <c r="M53" t="n">
        <v>0</v>
      </c>
      <c r="N53" t="n">
        <v>0</v>
      </c>
      <c r="O53" t="n">
        <v>0</v>
      </c>
      <c r="P53" t="n">
        <v>0</v>
      </c>
      <c r="Q53" t="n">
        <v>0</v>
      </c>
      <c r="R53" s="2" t="inlineStr"/>
    </row>
    <row r="54" ht="15" customHeight="1">
      <c r="A54" t="inlineStr">
        <is>
          <t>A 50416-2020</t>
        </is>
      </c>
      <c r="B54" s="1" t="n">
        <v>44110</v>
      </c>
      <c r="C54" s="1" t="n">
        <v>45715</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50409-2020</t>
        </is>
      </c>
      <c r="B55" s="1" t="n">
        <v>44110</v>
      </c>
      <c r="C55" s="1" t="n">
        <v>45715</v>
      </c>
      <c r="D55" t="inlineStr">
        <is>
          <t>UPPSALA LÄN</t>
        </is>
      </c>
      <c r="E55" t="inlineStr">
        <is>
          <t>ÄLVKARLEBY</t>
        </is>
      </c>
      <c r="F55" t="inlineStr">
        <is>
          <t>Bergvik skog väst AB</t>
        </is>
      </c>
      <c r="G55" t="n">
        <v>4</v>
      </c>
      <c r="H55" t="n">
        <v>0</v>
      </c>
      <c r="I55" t="n">
        <v>0</v>
      </c>
      <c r="J55" t="n">
        <v>0</v>
      </c>
      <c r="K55" t="n">
        <v>0</v>
      </c>
      <c r="L55" t="n">
        <v>0</v>
      </c>
      <c r="M55" t="n">
        <v>0</v>
      </c>
      <c r="N55" t="n">
        <v>0</v>
      </c>
      <c r="O55" t="n">
        <v>0</v>
      </c>
      <c r="P55" t="n">
        <v>0</v>
      </c>
      <c r="Q55" t="n">
        <v>0</v>
      </c>
      <c r="R55" s="2" t="inlineStr"/>
    </row>
    <row r="56" ht="15" customHeight="1">
      <c r="A56" t="inlineStr">
        <is>
          <t>A 66278-2020</t>
        </is>
      </c>
      <c r="B56" s="1" t="n">
        <v>44176</v>
      </c>
      <c r="C56" s="1" t="n">
        <v>45715</v>
      </c>
      <c r="D56" t="inlineStr">
        <is>
          <t>UPPSALA LÄN</t>
        </is>
      </c>
      <c r="E56" t="inlineStr">
        <is>
          <t>ÄLVKARLEBY</t>
        </is>
      </c>
      <c r="F56" t="inlineStr">
        <is>
          <t>Bergvik skog väst AB</t>
        </is>
      </c>
      <c r="G56" t="n">
        <v>4.1</v>
      </c>
      <c r="H56" t="n">
        <v>0</v>
      </c>
      <c r="I56" t="n">
        <v>0</v>
      </c>
      <c r="J56" t="n">
        <v>0</v>
      </c>
      <c r="K56" t="n">
        <v>0</v>
      </c>
      <c r="L56" t="n">
        <v>0</v>
      </c>
      <c r="M56" t="n">
        <v>0</v>
      </c>
      <c r="N56" t="n">
        <v>0</v>
      </c>
      <c r="O56" t="n">
        <v>0</v>
      </c>
      <c r="P56" t="n">
        <v>0</v>
      </c>
      <c r="Q56" t="n">
        <v>0</v>
      </c>
      <c r="R56" s="2" t="inlineStr"/>
    </row>
    <row r="57" ht="15" customHeight="1">
      <c r="A57" t="inlineStr">
        <is>
          <t>A 967-2021</t>
        </is>
      </c>
      <c r="B57" s="1" t="n">
        <v>44207</v>
      </c>
      <c r="C57" s="1" t="n">
        <v>45715</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11553-2021</t>
        </is>
      </c>
      <c r="B58" s="1" t="n">
        <v>44264</v>
      </c>
      <c r="C58" s="1" t="n">
        <v>45715</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13476-2021</t>
        </is>
      </c>
      <c r="B59" s="1" t="n">
        <v>44273</v>
      </c>
      <c r="C59" s="1" t="n">
        <v>45715</v>
      </c>
      <c r="D59" t="inlineStr">
        <is>
          <t>UPPSALA LÄN</t>
        </is>
      </c>
      <c r="E59" t="inlineStr">
        <is>
          <t>ÄLVKARLEBY</t>
        </is>
      </c>
      <c r="F59" t="inlineStr">
        <is>
          <t>Bergvik skog väst AB</t>
        </is>
      </c>
      <c r="G59" t="n">
        <v>12.1</v>
      </c>
      <c r="H59" t="n">
        <v>0</v>
      </c>
      <c r="I59" t="n">
        <v>0</v>
      </c>
      <c r="J59" t="n">
        <v>0</v>
      </c>
      <c r="K59" t="n">
        <v>0</v>
      </c>
      <c r="L59" t="n">
        <v>0</v>
      </c>
      <c r="M59" t="n">
        <v>0</v>
      </c>
      <c r="N59" t="n">
        <v>0</v>
      </c>
      <c r="O59" t="n">
        <v>0</v>
      </c>
      <c r="P59" t="n">
        <v>0</v>
      </c>
      <c r="Q59" t="n">
        <v>0</v>
      </c>
      <c r="R59" s="2" t="inlineStr"/>
    </row>
    <row r="60" ht="15" customHeight="1">
      <c r="A60" t="inlineStr">
        <is>
          <t>A 39791-2021</t>
        </is>
      </c>
      <c r="B60" s="1" t="n">
        <v>44417</v>
      </c>
      <c r="C60" s="1" t="n">
        <v>45715</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47226-2021</t>
        </is>
      </c>
      <c r="B61" s="1" t="n">
        <v>44447</v>
      </c>
      <c r="C61" s="1" t="n">
        <v>45715</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16990-2022</t>
        </is>
      </c>
      <c r="B62" s="1" t="n">
        <v>44676</v>
      </c>
      <c r="C62" s="1" t="n">
        <v>45715</v>
      </c>
      <c r="D62" t="inlineStr">
        <is>
          <t>UPPSALA LÄN</t>
        </is>
      </c>
      <c r="E62" t="inlineStr">
        <is>
          <t>ÄLVKARLEBY</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22916-2022</t>
        </is>
      </c>
      <c r="B63" s="1" t="n">
        <v>44715</v>
      </c>
      <c r="C63" s="1" t="n">
        <v>45715</v>
      </c>
      <c r="D63" t="inlineStr">
        <is>
          <t>UPPSALA LÄN</t>
        </is>
      </c>
      <c r="E63" t="inlineStr">
        <is>
          <t>ÄLVKARLEBY</t>
        </is>
      </c>
      <c r="F63" t="inlineStr">
        <is>
          <t>Bergvik skog väst AB</t>
        </is>
      </c>
      <c r="G63" t="n">
        <v>9.199999999999999</v>
      </c>
      <c r="H63" t="n">
        <v>0</v>
      </c>
      <c r="I63" t="n">
        <v>0</v>
      </c>
      <c r="J63" t="n">
        <v>0</v>
      </c>
      <c r="K63" t="n">
        <v>0</v>
      </c>
      <c r="L63" t="n">
        <v>0</v>
      </c>
      <c r="M63" t="n">
        <v>0</v>
      </c>
      <c r="N63" t="n">
        <v>0</v>
      </c>
      <c r="O63" t="n">
        <v>0</v>
      </c>
      <c r="P63" t="n">
        <v>0</v>
      </c>
      <c r="Q63" t="n">
        <v>0</v>
      </c>
      <c r="R63" s="2" t="inlineStr"/>
    </row>
    <row r="64" ht="15" customHeight="1">
      <c r="A64" t="inlineStr">
        <is>
          <t>A 26815-2022</t>
        </is>
      </c>
      <c r="B64" s="1" t="n">
        <v>44740</v>
      </c>
      <c r="C64" s="1" t="n">
        <v>45715</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29116-2022</t>
        </is>
      </c>
      <c r="B65" s="1" t="n">
        <v>44750</v>
      </c>
      <c r="C65" s="1" t="n">
        <v>45715</v>
      </c>
      <c r="D65" t="inlineStr">
        <is>
          <t>UPPSALA LÄN</t>
        </is>
      </c>
      <c r="E65" t="inlineStr">
        <is>
          <t>ÄLVKARLEBY</t>
        </is>
      </c>
      <c r="F65" t="inlineStr">
        <is>
          <t>Kommuner</t>
        </is>
      </c>
      <c r="G65" t="n">
        <v>1.6</v>
      </c>
      <c r="H65" t="n">
        <v>0</v>
      </c>
      <c r="I65" t="n">
        <v>0</v>
      </c>
      <c r="J65" t="n">
        <v>0</v>
      </c>
      <c r="K65" t="n">
        <v>0</v>
      </c>
      <c r="L65" t="n">
        <v>0</v>
      </c>
      <c r="M65" t="n">
        <v>0</v>
      </c>
      <c r="N65" t="n">
        <v>0</v>
      </c>
      <c r="O65" t="n">
        <v>0</v>
      </c>
      <c r="P65" t="n">
        <v>0</v>
      </c>
      <c r="Q65" t="n">
        <v>0</v>
      </c>
      <c r="R65" s="2" t="inlineStr"/>
    </row>
    <row r="66" ht="15" customHeight="1">
      <c r="A66" t="inlineStr">
        <is>
          <t>A 29168-2022</t>
        </is>
      </c>
      <c r="B66" s="1" t="n">
        <v>44750</v>
      </c>
      <c r="C66" s="1" t="n">
        <v>45715</v>
      </c>
      <c r="D66" t="inlineStr">
        <is>
          <t>UPPSALA LÄN</t>
        </is>
      </c>
      <c r="E66" t="inlineStr">
        <is>
          <t>ÄLVKARLEBY</t>
        </is>
      </c>
      <c r="F66" t="inlineStr">
        <is>
          <t>Kommuner</t>
        </is>
      </c>
      <c r="G66" t="n">
        <v>5.1</v>
      </c>
      <c r="H66" t="n">
        <v>0</v>
      </c>
      <c r="I66" t="n">
        <v>0</v>
      </c>
      <c r="J66" t="n">
        <v>0</v>
      </c>
      <c r="K66" t="n">
        <v>0</v>
      </c>
      <c r="L66" t="n">
        <v>0</v>
      </c>
      <c r="M66" t="n">
        <v>0</v>
      </c>
      <c r="N66" t="n">
        <v>0</v>
      </c>
      <c r="O66" t="n">
        <v>0</v>
      </c>
      <c r="P66" t="n">
        <v>0</v>
      </c>
      <c r="Q66" t="n">
        <v>0</v>
      </c>
      <c r="R66" s="2" t="inlineStr"/>
    </row>
    <row r="67" ht="15" customHeight="1">
      <c r="A67" t="inlineStr">
        <is>
          <t>A 36216-2022</t>
        </is>
      </c>
      <c r="B67" s="1" t="n">
        <v>44803</v>
      </c>
      <c r="C67" s="1" t="n">
        <v>45715</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36217-2022</t>
        </is>
      </c>
      <c r="B68" s="1" t="n">
        <v>44803</v>
      </c>
      <c r="C68" s="1" t="n">
        <v>45715</v>
      </c>
      <c r="D68" t="inlineStr">
        <is>
          <t>UPPSALA LÄN</t>
        </is>
      </c>
      <c r="E68" t="inlineStr">
        <is>
          <t>ÄLVKARLEBY</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36282-2022</t>
        </is>
      </c>
      <c r="B69" s="1" t="n">
        <v>44803</v>
      </c>
      <c r="C69" s="1" t="n">
        <v>45715</v>
      </c>
      <c r="D69" t="inlineStr">
        <is>
          <t>UPPSALA LÄN</t>
        </is>
      </c>
      <c r="E69" t="inlineStr">
        <is>
          <t>ÄLVKARLEBY</t>
        </is>
      </c>
      <c r="G69" t="n">
        <v>0.1</v>
      </c>
      <c r="H69" t="n">
        <v>0</v>
      </c>
      <c r="I69" t="n">
        <v>0</v>
      </c>
      <c r="J69" t="n">
        <v>0</v>
      </c>
      <c r="K69" t="n">
        <v>0</v>
      </c>
      <c r="L69" t="n">
        <v>0</v>
      </c>
      <c r="M69" t="n">
        <v>0</v>
      </c>
      <c r="N69" t="n">
        <v>0</v>
      </c>
      <c r="O69" t="n">
        <v>0</v>
      </c>
      <c r="P69" t="n">
        <v>0</v>
      </c>
      <c r="Q69" t="n">
        <v>0</v>
      </c>
      <c r="R69" s="2" t="inlineStr"/>
    </row>
    <row r="70" ht="15" customHeight="1">
      <c r="A70" t="inlineStr">
        <is>
          <t>A 41757-2022</t>
        </is>
      </c>
      <c r="B70" s="1" t="n">
        <v>44827</v>
      </c>
      <c r="C70" s="1" t="n">
        <v>45715</v>
      </c>
      <c r="D70" t="inlineStr">
        <is>
          <t>UPPSALA LÄN</t>
        </is>
      </c>
      <c r="E70" t="inlineStr">
        <is>
          <t>ÄLVKARLEBY</t>
        </is>
      </c>
      <c r="F70" t="inlineStr">
        <is>
          <t>Bergvik skog väst AB</t>
        </is>
      </c>
      <c r="G70" t="n">
        <v>12.7</v>
      </c>
      <c r="H70" t="n">
        <v>0</v>
      </c>
      <c r="I70" t="n">
        <v>0</v>
      </c>
      <c r="J70" t="n">
        <v>0</v>
      </c>
      <c r="K70" t="n">
        <v>0</v>
      </c>
      <c r="L70" t="n">
        <v>0</v>
      </c>
      <c r="M70" t="n">
        <v>0</v>
      </c>
      <c r="N70" t="n">
        <v>0</v>
      </c>
      <c r="O70" t="n">
        <v>0</v>
      </c>
      <c r="P70" t="n">
        <v>0</v>
      </c>
      <c r="Q70" t="n">
        <v>0</v>
      </c>
      <c r="R70" s="2" t="inlineStr"/>
    </row>
    <row r="71" ht="15" customHeight="1">
      <c r="A71" t="inlineStr">
        <is>
          <t>A 60837-2022</t>
        </is>
      </c>
      <c r="B71" s="1" t="n">
        <v>44914</v>
      </c>
      <c r="C71" s="1" t="n">
        <v>45715</v>
      </c>
      <c r="D71" t="inlineStr">
        <is>
          <t>UPPSALA LÄN</t>
        </is>
      </c>
      <c r="E71" t="inlineStr">
        <is>
          <t>ÄLVKARLEBY</t>
        </is>
      </c>
      <c r="F71" t="inlineStr">
        <is>
          <t>Bergvik skog väst AB</t>
        </is>
      </c>
      <c r="G71" t="n">
        <v>3.1</v>
      </c>
      <c r="H71" t="n">
        <v>0</v>
      </c>
      <c r="I71" t="n">
        <v>0</v>
      </c>
      <c r="J71" t="n">
        <v>0</v>
      </c>
      <c r="K71" t="n">
        <v>0</v>
      </c>
      <c r="L71" t="n">
        <v>0</v>
      </c>
      <c r="M71" t="n">
        <v>0</v>
      </c>
      <c r="N71" t="n">
        <v>0</v>
      </c>
      <c r="O71" t="n">
        <v>0</v>
      </c>
      <c r="P71" t="n">
        <v>0</v>
      </c>
      <c r="Q71" t="n">
        <v>0</v>
      </c>
      <c r="R71" s="2" t="inlineStr"/>
    </row>
    <row r="72" ht="15" customHeight="1">
      <c r="A72" t="inlineStr">
        <is>
          <t>A 6839-2023</t>
        </is>
      </c>
      <c r="B72" s="1" t="n">
        <v>44967</v>
      </c>
      <c r="C72" s="1" t="n">
        <v>45715</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6834-2023</t>
        </is>
      </c>
      <c r="B73" s="1" t="n">
        <v>44967</v>
      </c>
      <c r="C73" s="1" t="n">
        <v>45715</v>
      </c>
      <c r="D73" t="inlineStr">
        <is>
          <t>UPPSALA LÄN</t>
        </is>
      </c>
      <c r="E73" t="inlineStr">
        <is>
          <t>ÄLVKARLEBY</t>
        </is>
      </c>
      <c r="F73" t="inlineStr">
        <is>
          <t>Bergvik skog väst AB</t>
        </is>
      </c>
      <c r="G73" t="n">
        <v>8.1</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45715</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14590-2023</t>
        </is>
      </c>
      <c r="B75" s="1" t="n">
        <v>45013</v>
      </c>
      <c r="C75" s="1" t="n">
        <v>45715</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21520-2023</t>
        </is>
      </c>
      <c r="B76" s="1" t="n">
        <v>45063</v>
      </c>
      <c r="C76" s="1" t="n">
        <v>45715</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26983-2023</t>
        </is>
      </c>
      <c r="B77" s="1" t="n">
        <v>45093</v>
      </c>
      <c r="C77" s="1" t="n">
        <v>45715</v>
      </c>
      <c r="D77" t="inlineStr">
        <is>
          <t>UPPSALA LÄN</t>
        </is>
      </c>
      <c r="E77" t="inlineStr">
        <is>
          <t>ÄLVKARLEBY</t>
        </is>
      </c>
      <c r="F77" t="inlineStr">
        <is>
          <t>Bergvik skog väst AB</t>
        </is>
      </c>
      <c r="G77" t="n">
        <v>4.5</v>
      </c>
      <c r="H77" t="n">
        <v>0</v>
      </c>
      <c r="I77" t="n">
        <v>0</v>
      </c>
      <c r="J77" t="n">
        <v>0</v>
      </c>
      <c r="K77" t="n">
        <v>0</v>
      </c>
      <c r="L77" t="n">
        <v>0</v>
      </c>
      <c r="M77" t="n">
        <v>0</v>
      </c>
      <c r="N77" t="n">
        <v>0</v>
      </c>
      <c r="O77" t="n">
        <v>0</v>
      </c>
      <c r="P77" t="n">
        <v>0</v>
      </c>
      <c r="Q77" t="n">
        <v>0</v>
      </c>
      <c r="R77" s="2" t="inlineStr"/>
    </row>
    <row r="78" ht="15" customHeight="1">
      <c r="A78" t="inlineStr">
        <is>
          <t>A 38306-2023</t>
        </is>
      </c>
      <c r="B78" s="1" t="n">
        <v>45161</v>
      </c>
      <c r="C78" s="1" t="n">
        <v>45715</v>
      </c>
      <c r="D78" t="inlineStr">
        <is>
          <t>UPPSALA LÄN</t>
        </is>
      </c>
      <c r="E78" t="inlineStr">
        <is>
          <t>ÄLVKARLEBY</t>
        </is>
      </c>
      <c r="F78" t="inlineStr">
        <is>
          <t>Bergvik skog väst AB</t>
        </is>
      </c>
      <c r="G78" t="n">
        <v>18.6</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45715</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38454-2023</t>
        </is>
      </c>
      <c r="B80" s="1" t="n">
        <v>45162</v>
      </c>
      <c r="C80" s="1" t="n">
        <v>45715</v>
      </c>
      <c r="D80" t="inlineStr">
        <is>
          <t>UPPSALA LÄN</t>
        </is>
      </c>
      <c r="E80" t="inlineStr">
        <is>
          <t>ÄLVKARLEBY</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38453-2023</t>
        </is>
      </c>
      <c r="B81" s="1" t="n">
        <v>45162</v>
      </c>
      <c r="C81" s="1" t="n">
        <v>45715</v>
      </c>
      <c r="D81" t="inlineStr">
        <is>
          <t>UPPSALA LÄN</t>
        </is>
      </c>
      <c r="E81" t="inlineStr">
        <is>
          <t>ÄLVKARLEBY</t>
        </is>
      </c>
      <c r="F81" t="inlineStr">
        <is>
          <t>Bergvik skog väst AB</t>
        </is>
      </c>
      <c r="G81" t="n">
        <v>3.7</v>
      </c>
      <c r="H81" t="n">
        <v>0</v>
      </c>
      <c r="I81" t="n">
        <v>0</v>
      </c>
      <c r="J81" t="n">
        <v>0</v>
      </c>
      <c r="K81" t="n">
        <v>0</v>
      </c>
      <c r="L81" t="n">
        <v>0</v>
      </c>
      <c r="M81" t="n">
        <v>0</v>
      </c>
      <c r="N81" t="n">
        <v>0</v>
      </c>
      <c r="O81" t="n">
        <v>0</v>
      </c>
      <c r="P81" t="n">
        <v>0</v>
      </c>
      <c r="Q81" t="n">
        <v>0</v>
      </c>
      <c r="R81" s="2" t="inlineStr"/>
    </row>
    <row r="82" ht="15" customHeight="1">
      <c r="A82" t="inlineStr">
        <is>
          <t>A 38461-2023</t>
        </is>
      </c>
      <c r="B82" s="1" t="n">
        <v>45162</v>
      </c>
      <c r="C82" s="1" t="n">
        <v>45715</v>
      </c>
      <c r="D82" t="inlineStr">
        <is>
          <t>UPPSALA LÄN</t>
        </is>
      </c>
      <c r="E82" t="inlineStr">
        <is>
          <t>ÄLVKARLEBY</t>
        </is>
      </c>
      <c r="F82" t="inlineStr">
        <is>
          <t>Bergvik skog väst AB</t>
        </is>
      </c>
      <c r="G82" t="n">
        <v>17.8</v>
      </c>
      <c r="H82" t="n">
        <v>0</v>
      </c>
      <c r="I82" t="n">
        <v>0</v>
      </c>
      <c r="J82" t="n">
        <v>0</v>
      </c>
      <c r="K82" t="n">
        <v>0</v>
      </c>
      <c r="L82" t="n">
        <v>0</v>
      </c>
      <c r="M82" t="n">
        <v>0</v>
      </c>
      <c r="N82" t="n">
        <v>0</v>
      </c>
      <c r="O82" t="n">
        <v>0</v>
      </c>
      <c r="P82" t="n">
        <v>0</v>
      </c>
      <c r="Q82" t="n">
        <v>0</v>
      </c>
      <c r="R82" s="2" t="inlineStr"/>
    </row>
    <row r="83" ht="15" customHeight="1">
      <c r="A83" t="inlineStr">
        <is>
          <t>A 41000-2023</t>
        </is>
      </c>
      <c r="B83" s="1" t="n">
        <v>45173</v>
      </c>
      <c r="C83" s="1" t="n">
        <v>45715</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41263-2023</t>
        </is>
      </c>
      <c r="B84" s="1" t="n">
        <v>45174</v>
      </c>
      <c r="C84" s="1" t="n">
        <v>45715</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45715</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45715</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ht="15" customHeight="1">
      <c r="A87" t="inlineStr">
        <is>
          <t>A 42600-2023</t>
        </is>
      </c>
      <c r="B87" s="1" t="n">
        <v>45181</v>
      </c>
      <c r="C87" s="1" t="n">
        <v>45715</v>
      </c>
      <c r="D87" t="inlineStr">
        <is>
          <t>UPPSALA LÄN</t>
        </is>
      </c>
      <c r="E87" t="inlineStr">
        <is>
          <t>ÄLVKARLEBY</t>
        </is>
      </c>
      <c r="G87" t="n">
        <v>1.7</v>
      </c>
      <c r="H87" t="n">
        <v>0</v>
      </c>
      <c r="I87" t="n">
        <v>0</v>
      </c>
      <c r="J87" t="n">
        <v>0</v>
      </c>
      <c r="K87" t="n">
        <v>0</v>
      </c>
      <c r="L87" t="n">
        <v>0</v>
      </c>
      <c r="M87" t="n">
        <v>0</v>
      </c>
      <c r="N87" t="n">
        <v>0</v>
      </c>
      <c r="O87" t="n">
        <v>0</v>
      </c>
      <c r="P87" t="n">
        <v>0</v>
      </c>
      <c r="Q87" t="n">
        <v>0</v>
      </c>
      <c r="R87" s="2" t="inlineStr"/>
      <c r="U87">
        <f>HYPERLINK("https://klasma.github.io/Logging_0319/knärot/A 42600-2023 karta knärot.png", "A 42600-2023")</f>
        <v/>
      </c>
      <c r="V87">
        <f>HYPERLINK("https://klasma.github.io/Logging_0319/klagomål/A 42600-2023 FSC-klagomål.docx", "A 42600-2023")</f>
        <v/>
      </c>
      <c r="W87">
        <f>HYPERLINK("https://klasma.github.io/Logging_0319/klagomålsmail/A 42600-2023 FSC-klagomål mail.docx", "A 42600-2023")</f>
        <v/>
      </c>
      <c r="X87">
        <f>HYPERLINK("https://klasma.github.io/Logging_0319/tillsyn/A 42600-2023 tillsynsbegäran.docx", "A 42600-2023")</f>
        <v/>
      </c>
      <c r="Y87">
        <f>HYPERLINK("https://klasma.github.io/Logging_0319/tillsynsmail/A 42600-2023 tillsynsbegäran mail.docx", "A 42600-2023")</f>
        <v/>
      </c>
    </row>
    <row r="88" ht="15" customHeight="1">
      <c r="A88" t="inlineStr">
        <is>
          <t>A 43285-2023</t>
        </is>
      </c>
      <c r="B88" s="1" t="n">
        <v>45183</v>
      </c>
      <c r="C88" s="1" t="n">
        <v>45715</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43288-2023</t>
        </is>
      </c>
      <c r="B89" s="1" t="n">
        <v>45183</v>
      </c>
      <c r="C89" s="1" t="n">
        <v>45715</v>
      </c>
      <c r="D89" t="inlineStr">
        <is>
          <t>UPPSALA LÄN</t>
        </is>
      </c>
      <c r="E89" t="inlineStr">
        <is>
          <t>ÄLVKARLEBY</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45527-2023</t>
        </is>
      </c>
      <c r="B90" s="1" t="n">
        <v>45194</v>
      </c>
      <c r="C90" s="1" t="n">
        <v>45715</v>
      </c>
      <c r="D90" t="inlineStr">
        <is>
          <t>UPPSALA LÄN</t>
        </is>
      </c>
      <c r="E90" t="inlineStr">
        <is>
          <t>ÄLVKARLEBY</t>
        </is>
      </c>
      <c r="F90" t="inlineStr">
        <is>
          <t>Bergvik skog väst AB</t>
        </is>
      </c>
      <c r="G90" t="n">
        <v>3.5</v>
      </c>
      <c r="H90" t="n">
        <v>0</v>
      </c>
      <c r="I90" t="n">
        <v>0</v>
      </c>
      <c r="J90" t="n">
        <v>0</v>
      </c>
      <c r="K90" t="n">
        <v>0</v>
      </c>
      <c r="L90" t="n">
        <v>0</v>
      </c>
      <c r="M90" t="n">
        <v>0</v>
      </c>
      <c r="N90" t="n">
        <v>0</v>
      </c>
      <c r="O90" t="n">
        <v>0</v>
      </c>
      <c r="P90" t="n">
        <v>0</v>
      </c>
      <c r="Q90" t="n">
        <v>0</v>
      </c>
      <c r="R90" s="2" t="inlineStr"/>
    </row>
    <row r="91" ht="15" customHeight="1">
      <c r="A91" t="inlineStr">
        <is>
          <t>A 45529-2023</t>
        </is>
      </c>
      <c r="B91" s="1" t="n">
        <v>45194</v>
      </c>
      <c r="C91" s="1" t="n">
        <v>45715</v>
      </c>
      <c r="D91" t="inlineStr">
        <is>
          <t>UPPSALA LÄN</t>
        </is>
      </c>
      <c r="E91" t="inlineStr">
        <is>
          <t>ÄLVKARLEBY</t>
        </is>
      </c>
      <c r="F91" t="inlineStr">
        <is>
          <t>Bergvik skog väst AB</t>
        </is>
      </c>
      <c r="G91" t="n">
        <v>2.6</v>
      </c>
      <c r="H91" t="n">
        <v>0</v>
      </c>
      <c r="I91" t="n">
        <v>0</v>
      </c>
      <c r="J91" t="n">
        <v>0</v>
      </c>
      <c r="K91" t="n">
        <v>0</v>
      </c>
      <c r="L91" t="n">
        <v>0</v>
      </c>
      <c r="M91" t="n">
        <v>0</v>
      </c>
      <c r="N91" t="n">
        <v>0</v>
      </c>
      <c r="O91" t="n">
        <v>0</v>
      </c>
      <c r="P91" t="n">
        <v>0</v>
      </c>
      <c r="Q91" t="n">
        <v>0</v>
      </c>
      <c r="R91" s="2" t="inlineStr"/>
    </row>
    <row r="92" ht="15" customHeight="1">
      <c r="A92" t="inlineStr">
        <is>
          <t>A 45528-2023</t>
        </is>
      </c>
      <c r="B92" s="1" t="n">
        <v>45194</v>
      </c>
      <c r="C92" s="1" t="n">
        <v>45715</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45871-2023</t>
        </is>
      </c>
      <c r="B93" s="1" t="n">
        <v>45195</v>
      </c>
      <c r="C93" s="1" t="n">
        <v>45715</v>
      </c>
      <c r="D93" t="inlineStr">
        <is>
          <t>UPPSALA LÄN</t>
        </is>
      </c>
      <c r="E93" t="inlineStr">
        <is>
          <t>ÄLVKARLEBY</t>
        </is>
      </c>
      <c r="G93" t="n">
        <v>3.7</v>
      </c>
      <c r="H93" t="n">
        <v>0</v>
      </c>
      <c r="I93" t="n">
        <v>0</v>
      </c>
      <c r="J93" t="n">
        <v>0</v>
      </c>
      <c r="K93" t="n">
        <v>0</v>
      </c>
      <c r="L93" t="n">
        <v>0</v>
      </c>
      <c r="M93" t="n">
        <v>0</v>
      </c>
      <c r="N93" t="n">
        <v>0</v>
      </c>
      <c r="O93" t="n">
        <v>0</v>
      </c>
      <c r="P93" t="n">
        <v>0</v>
      </c>
      <c r="Q93" t="n">
        <v>0</v>
      </c>
      <c r="R93" s="2" t="inlineStr"/>
    </row>
    <row r="94" ht="15" customHeight="1">
      <c r="A94" t="inlineStr">
        <is>
          <t>A 46113-2023</t>
        </is>
      </c>
      <c r="B94" s="1" t="n">
        <v>45196</v>
      </c>
      <c r="C94" s="1" t="n">
        <v>45715</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46106-2023</t>
        </is>
      </c>
      <c r="B95" s="1" t="n">
        <v>45196</v>
      </c>
      <c r="C95" s="1" t="n">
        <v>45715</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46429-2023</t>
        </is>
      </c>
      <c r="B96" s="1" t="n">
        <v>45197</v>
      </c>
      <c r="C96" s="1" t="n">
        <v>45715</v>
      </c>
      <c r="D96" t="inlineStr">
        <is>
          <t>UPPSALA LÄN</t>
        </is>
      </c>
      <c r="E96" t="inlineStr">
        <is>
          <t>ÄLVKARLEBY</t>
        </is>
      </c>
      <c r="G96" t="n">
        <v>1.7</v>
      </c>
      <c r="H96" t="n">
        <v>0</v>
      </c>
      <c r="I96" t="n">
        <v>0</v>
      </c>
      <c r="J96" t="n">
        <v>0</v>
      </c>
      <c r="K96" t="n">
        <v>0</v>
      </c>
      <c r="L96" t="n">
        <v>0</v>
      </c>
      <c r="M96" t="n">
        <v>0</v>
      </c>
      <c r="N96" t="n">
        <v>0</v>
      </c>
      <c r="O96" t="n">
        <v>0</v>
      </c>
      <c r="P96" t="n">
        <v>0</v>
      </c>
      <c r="Q96" t="n">
        <v>0</v>
      </c>
      <c r="R96" s="2" t="inlineStr"/>
    </row>
    <row r="97" ht="15" customHeight="1">
      <c r="A97" t="inlineStr">
        <is>
          <t>A 46436-2023</t>
        </is>
      </c>
      <c r="B97" s="1" t="n">
        <v>45197</v>
      </c>
      <c r="C97" s="1" t="n">
        <v>45715</v>
      </c>
      <c r="D97" t="inlineStr">
        <is>
          <t>UPPSALA LÄN</t>
        </is>
      </c>
      <c r="E97" t="inlineStr">
        <is>
          <t>ÄLVKARLEBY</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46477-2023</t>
        </is>
      </c>
      <c r="B98" s="1" t="n">
        <v>45197</v>
      </c>
      <c r="C98" s="1" t="n">
        <v>45715</v>
      </c>
      <c r="D98" t="inlineStr">
        <is>
          <t>UPPSALA LÄN</t>
        </is>
      </c>
      <c r="E98" t="inlineStr">
        <is>
          <t>ÄLVKARLEBY</t>
        </is>
      </c>
      <c r="G98" t="n">
        <v>3.6</v>
      </c>
      <c r="H98" t="n">
        <v>0</v>
      </c>
      <c r="I98" t="n">
        <v>0</v>
      </c>
      <c r="J98" t="n">
        <v>0</v>
      </c>
      <c r="K98" t="n">
        <v>0</v>
      </c>
      <c r="L98" t="n">
        <v>0</v>
      </c>
      <c r="M98" t="n">
        <v>0</v>
      </c>
      <c r="N98" t="n">
        <v>0</v>
      </c>
      <c r="O98" t="n">
        <v>0</v>
      </c>
      <c r="P98" t="n">
        <v>0</v>
      </c>
      <c r="Q98" t="n">
        <v>0</v>
      </c>
      <c r="R98" s="2" t="inlineStr"/>
    </row>
    <row r="99" ht="15" customHeight="1">
      <c r="A99" t="inlineStr">
        <is>
          <t>A 47548-2023</t>
        </is>
      </c>
      <c r="B99" s="1" t="n">
        <v>45203</v>
      </c>
      <c r="C99" s="1" t="n">
        <v>45715</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47570-2023</t>
        </is>
      </c>
      <c r="B100" s="1" t="n">
        <v>45203</v>
      </c>
      <c r="C100" s="1" t="n">
        <v>45715</v>
      </c>
      <c r="D100" t="inlineStr">
        <is>
          <t>UPPSALA LÄN</t>
        </is>
      </c>
      <c r="E100" t="inlineStr">
        <is>
          <t>ÄLVKARLEBY</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47554-2023</t>
        </is>
      </c>
      <c r="B101" s="1" t="n">
        <v>45203</v>
      </c>
      <c r="C101" s="1" t="n">
        <v>45715</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47559-2023</t>
        </is>
      </c>
      <c r="B102" s="1" t="n">
        <v>45203</v>
      </c>
      <c r="C102" s="1" t="n">
        <v>45715</v>
      </c>
      <c r="D102" t="inlineStr">
        <is>
          <t>UPPSALA LÄN</t>
        </is>
      </c>
      <c r="E102" t="inlineStr">
        <is>
          <t>ÄLVKARLEBY</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48614-2023</t>
        </is>
      </c>
      <c r="B103" s="1" t="n">
        <v>45208</v>
      </c>
      <c r="C103" s="1" t="n">
        <v>45715</v>
      </c>
      <c r="D103" t="inlineStr">
        <is>
          <t>UPPSALA LÄN</t>
        </is>
      </c>
      <c r="E103" t="inlineStr">
        <is>
          <t>ÄLVKARLEBY</t>
        </is>
      </c>
      <c r="F103" t="inlineStr">
        <is>
          <t>Bergvik skog öst AB</t>
        </is>
      </c>
      <c r="G103" t="n">
        <v>5.4</v>
      </c>
      <c r="H103" t="n">
        <v>0</v>
      </c>
      <c r="I103" t="n">
        <v>0</v>
      </c>
      <c r="J103" t="n">
        <v>0</v>
      </c>
      <c r="K103" t="n">
        <v>0</v>
      </c>
      <c r="L103" t="n">
        <v>0</v>
      </c>
      <c r="M103" t="n">
        <v>0</v>
      </c>
      <c r="N103" t="n">
        <v>0</v>
      </c>
      <c r="O103" t="n">
        <v>0</v>
      </c>
      <c r="P103" t="n">
        <v>0</v>
      </c>
      <c r="Q103" t="n">
        <v>0</v>
      </c>
      <c r="R103" s="2" t="inlineStr"/>
    </row>
    <row r="104" ht="15" customHeight="1">
      <c r="A104" t="inlineStr">
        <is>
          <t>A 48620-2023</t>
        </is>
      </c>
      <c r="B104" s="1" t="n">
        <v>45208</v>
      </c>
      <c r="C104" s="1" t="n">
        <v>45715</v>
      </c>
      <c r="D104" t="inlineStr">
        <is>
          <t>UPPSALA LÄN</t>
        </is>
      </c>
      <c r="E104" t="inlineStr">
        <is>
          <t>ÄLVKARLEBY</t>
        </is>
      </c>
      <c r="F104" t="inlineStr">
        <is>
          <t>Bergvik skog öst AB</t>
        </is>
      </c>
      <c r="G104" t="n">
        <v>2</v>
      </c>
      <c r="H104" t="n">
        <v>0</v>
      </c>
      <c r="I104" t="n">
        <v>0</v>
      </c>
      <c r="J104" t="n">
        <v>0</v>
      </c>
      <c r="K104" t="n">
        <v>0</v>
      </c>
      <c r="L104" t="n">
        <v>0</v>
      </c>
      <c r="M104" t="n">
        <v>0</v>
      </c>
      <c r="N104" t="n">
        <v>0</v>
      </c>
      <c r="O104" t="n">
        <v>0</v>
      </c>
      <c r="P104" t="n">
        <v>0</v>
      </c>
      <c r="Q104" t="n">
        <v>0</v>
      </c>
      <c r="R104" s="2" t="inlineStr"/>
    </row>
    <row r="105" ht="15" customHeight="1">
      <c r="A105" t="inlineStr">
        <is>
          <t>A 48674-2023</t>
        </is>
      </c>
      <c r="B105" s="1" t="n">
        <v>45208</v>
      </c>
      <c r="C105" s="1" t="n">
        <v>45715</v>
      </c>
      <c r="D105" t="inlineStr">
        <is>
          <t>UPPSALA LÄN</t>
        </is>
      </c>
      <c r="E105" t="inlineStr">
        <is>
          <t>ÄLVKARLEBY</t>
        </is>
      </c>
      <c r="F105" t="inlineStr">
        <is>
          <t>Bergvik skog öst AB</t>
        </is>
      </c>
      <c r="G105" t="n">
        <v>15.5</v>
      </c>
      <c r="H105" t="n">
        <v>0</v>
      </c>
      <c r="I105" t="n">
        <v>0</v>
      </c>
      <c r="J105" t="n">
        <v>0</v>
      </c>
      <c r="K105" t="n">
        <v>0</v>
      </c>
      <c r="L105" t="n">
        <v>0</v>
      </c>
      <c r="M105" t="n">
        <v>0</v>
      </c>
      <c r="N105" t="n">
        <v>0</v>
      </c>
      <c r="O105" t="n">
        <v>0</v>
      </c>
      <c r="P105" t="n">
        <v>0</v>
      </c>
      <c r="Q105" t="n">
        <v>0</v>
      </c>
      <c r="R105" s="2" t="inlineStr"/>
    </row>
    <row r="106" ht="15" customHeight="1">
      <c r="A106" t="inlineStr">
        <is>
          <t>A 49432-2023</t>
        </is>
      </c>
      <c r="B106" s="1" t="n">
        <v>45211</v>
      </c>
      <c r="C106" s="1" t="n">
        <v>45715</v>
      </c>
      <c r="D106" t="inlineStr">
        <is>
          <t>UPPSALA LÄN</t>
        </is>
      </c>
      <c r="E106" t="inlineStr">
        <is>
          <t>ÄLVKARLEBY</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50048-2023</t>
        </is>
      </c>
      <c r="B107" s="1" t="n">
        <v>45215</v>
      </c>
      <c r="C107" s="1" t="n">
        <v>45715</v>
      </c>
      <c r="D107" t="inlineStr">
        <is>
          <t>UPPSALA LÄN</t>
        </is>
      </c>
      <c r="E107" t="inlineStr">
        <is>
          <t>ÄLVKARLEBY</t>
        </is>
      </c>
      <c r="F107" t="inlineStr">
        <is>
          <t>Bergvik skog väst AB</t>
        </is>
      </c>
      <c r="G107" t="n">
        <v>5.8</v>
      </c>
      <c r="H107" t="n">
        <v>0</v>
      </c>
      <c r="I107" t="n">
        <v>0</v>
      </c>
      <c r="J107" t="n">
        <v>0</v>
      </c>
      <c r="K107" t="n">
        <v>0</v>
      </c>
      <c r="L107" t="n">
        <v>0</v>
      </c>
      <c r="M107" t="n">
        <v>0</v>
      </c>
      <c r="N107" t="n">
        <v>0</v>
      </c>
      <c r="O107" t="n">
        <v>0</v>
      </c>
      <c r="P107" t="n">
        <v>0</v>
      </c>
      <c r="Q107" t="n">
        <v>0</v>
      </c>
      <c r="R107" s="2" t="inlineStr"/>
    </row>
    <row r="108" ht="15" customHeight="1">
      <c r="A108" t="inlineStr">
        <is>
          <t>A 54858-2023</t>
        </is>
      </c>
      <c r="B108" s="1" t="n">
        <v>45236</v>
      </c>
      <c r="C108" s="1" t="n">
        <v>45715</v>
      </c>
      <c r="D108" t="inlineStr">
        <is>
          <t>UPPSALA LÄN</t>
        </is>
      </c>
      <c r="E108" t="inlineStr">
        <is>
          <t>ÄLVKARLEBY</t>
        </is>
      </c>
      <c r="F108" t="inlineStr">
        <is>
          <t>Bergvik skog öst AB</t>
        </is>
      </c>
      <c r="G108" t="n">
        <v>13.3</v>
      </c>
      <c r="H108" t="n">
        <v>0</v>
      </c>
      <c r="I108" t="n">
        <v>0</v>
      </c>
      <c r="J108" t="n">
        <v>0</v>
      </c>
      <c r="K108" t="n">
        <v>0</v>
      </c>
      <c r="L108" t="n">
        <v>0</v>
      </c>
      <c r="M108" t="n">
        <v>0</v>
      </c>
      <c r="N108" t="n">
        <v>0</v>
      </c>
      <c r="O108" t="n">
        <v>0</v>
      </c>
      <c r="P108" t="n">
        <v>0</v>
      </c>
      <c r="Q108" t="n">
        <v>0</v>
      </c>
      <c r="R108" s="2" t="inlineStr"/>
    </row>
    <row r="109" ht="15" customHeight="1">
      <c r="A109" t="inlineStr">
        <is>
          <t>A 59004-2023</t>
        </is>
      </c>
      <c r="B109" s="1" t="n">
        <v>45252</v>
      </c>
      <c r="C109" s="1" t="n">
        <v>45715</v>
      </c>
      <c r="D109" t="inlineStr">
        <is>
          <t>UPPSALA LÄN</t>
        </is>
      </c>
      <c r="E109" t="inlineStr">
        <is>
          <t>ÄLVKARLEBY</t>
        </is>
      </c>
      <c r="F109" t="inlineStr">
        <is>
          <t>Bergvik skog öst AB</t>
        </is>
      </c>
      <c r="G109" t="n">
        <v>1.7</v>
      </c>
      <c r="H109" t="n">
        <v>0</v>
      </c>
      <c r="I109" t="n">
        <v>0</v>
      </c>
      <c r="J109" t="n">
        <v>0</v>
      </c>
      <c r="K109" t="n">
        <v>0</v>
      </c>
      <c r="L109" t="n">
        <v>0</v>
      </c>
      <c r="M109" t="n">
        <v>0</v>
      </c>
      <c r="N109" t="n">
        <v>0</v>
      </c>
      <c r="O109" t="n">
        <v>0</v>
      </c>
      <c r="P109" t="n">
        <v>0</v>
      </c>
      <c r="Q109" t="n">
        <v>0</v>
      </c>
      <c r="R109" s="2" t="inlineStr"/>
    </row>
    <row r="110" ht="15" customHeight="1">
      <c r="A110" t="inlineStr">
        <is>
          <t>A 60151-2023</t>
        </is>
      </c>
      <c r="B110" s="1" t="n">
        <v>45258</v>
      </c>
      <c r="C110" s="1" t="n">
        <v>45715</v>
      </c>
      <c r="D110" t="inlineStr">
        <is>
          <t>UPPSALA LÄN</t>
        </is>
      </c>
      <c r="E110" t="inlineStr">
        <is>
          <t>ÄLVKARLEBY</t>
        </is>
      </c>
      <c r="F110" t="inlineStr">
        <is>
          <t>Bergvik skog väst AB</t>
        </is>
      </c>
      <c r="G110" t="n">
        <v>32.2</v>
      </c>
      <c r="H110" t="n">
        <v>0</v>
      </c>
      <c r="I110" t="n">
        <v>0</v>
      </c>
      <c r="J110" t="n">
        <v>0</v>
      </c>
      <c r="K110" t="n">
        <v>0</v>
      </c>
      <c r="L110" t="n">
        <v>0</v>
      </c>
      <c r="M110" t="n">
        <v>0</v>
      </c>
      <c r="N110" t="n">
        <v>0</v>
      </c>
      <c r="O110" t="n">
        <v>0</v>
      </c>
      <c r="P110" t="n">
        <v>0</v>
      </c>
      <c r="Q110" t="n">
        <v>0</v>
      </c>
      <c r="R110" s="2" t="inlineStr"/>
    </row>
    <row r="111" ht="15" customHeight="1">
      <c r="A111" t="inlineStr">
        <is>
          <t>A 60455-2023</t>
        </is>
      </c>
      <c r="B111" s="1" t="n">
        <v>45259</v>
      </c>
      <c r="C111" s="1" t="n">
        <v>45715</v>
      </c>
      <c r="D111" t="inlineStr">
        <is>
          <t>UPPSALA LÄN</t>
        </is>
      </c>
      <c r="E111" t="inlineStr">
        <is>
          <t>ÄLVKARLEBY</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895-2024</t>
        </is>
      </c>
      <c r="B112" s="1" t="n">
        <v>45301</v>
      </c>
      <c r="C112" s="1" t="n">
        <v>45715</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996-2024</t>
        </is>
      </c>
      <c r="B113" s="1" t="n">
        <v>45301</v>
      </c>
      <c r="C113" s="1" t="n">
        <v>45715</v>
      </c>
      <c r="D113" t="inlineStr">
        <is>
          <t>UPPSALA LÄN</t>
        </is>
      </c>
      <c r="E113" t="inlineStr">
        <is>
          <t>ÄLVKARLEBY</t>
        </is>
      </c>
      <c r="F113" t="inlineStr">
        <is>
          <t>Bergvik skog väst AB</t>
        </is>
      </c>
      <c r="G113" t="n">
        <v>5.6</v>
      </c>
      <c r="H113" t="n">
        <v>0</v>
      </c>
      <c r="I113" t="n">
        <v>0</v>
      </c>
      <c r="J113" t="n">
        <v>0</v>
      </c>
      <c r="K113" t="n">
        <v>0</v>
      </c>
      <c r="L113" t="n">
        <v>0</v>
      </c>
      <c r="M113" t="n">
        <v>0</v>
      </c>
      <c r="N113" t="n">
        <v>0</v>
      </c>
      <c r="O113" t="n">
        <v>0</v>
      </c>
      <c r="P113" t="n">
        <v>0</v>
      </c>
      <c r="Q113" t="n">
        <v>0</v>
      </c>
      <c r="R113" s="2" t="inlineStr"/>
    </row>
    <row r="114" ht="15" customHeight="1">
      <c r="A114" t="inlineStr">
        <is>
          <t>A 2183-2024</t>
        </is>
      </c>
      <c r="B114" s="1" t="n">
        <v>45309</v>
      </c>
      <c r="C114" s="1" t="n">
        <v>45715</v>
      </c>
      <c r="D114" t="inlineStr">
        <is>
          <t>UPPSALA LÄN</t>
        </is>
      </c>
      <c r="E114" t="inlineStr">
        <is>
          <t>ÄLVKARLEBY</t>
        </is>
      </c>
      <c r="G114" t="n">
        <v>0.5</v>
      </c>
      <c r="H114" t="n">
        <v>0</v>
      </c>
      <c r="I114" t="n">
        <v>0</v>
      </c>
      <c r="J114" t="n">
        <v>0</v>
      </c>
      <c r="K114" t="n">
        <v>0</v>
      </c>
      <c r="L114" t="n">
        <v>0</v>
      </c>
      <c r="M114" t="n">
        <v>0</v>
      </c>
      <c r="N114" t="n">
        <v>0</v>
      </c>
      <c r="O114" t="n">
        <v>0</v>
      </c>
      <c r="P114" t="n">
        <v>0</v>
      </c>
      <c r="Q114" t="n">
        <v>0</v>
      </c>
      <c r="R114" s="2" t="inlineStr"/>
    </row>
    <row r="115" ht="15" customHeight="1">
      <c r="A115" t="inlineStr">
        <is>
          <t>A 2184-2024</t>
        </is>
      </c>
      <c r="B115" s="1" t="n">
        <v>45309</v>
      </c>
      <c r="C115" s="1" t="n">
        <v>45715</v>
      </c>
      <c r="D115" t="inlineStr">
        <is>
          <t>UPPSALA LÄN</t>
        </is>
      </c>
      <c r="E115" t="inlineStr">
        <is>
          <t>ÄLVKARLEBY</t>
        </is>
      </c>
      <c r="G115" t="n">
        <v>0.6</v>
      </c>
      <c r="H115" t="n">
        <v>0</v>
      </c>
      <c r="I115" t="n">
        <v>0</v>
      </c>
      <c r="J115" t="n">
        <v>0</v>
      </c>
      <c r="K115" t="n">
        <v>0</v>
      </c>
      <c r="L115" t="n">
        <v>0</v>
      </c>
      <c r="M115" t="n">
        <v>0</v>
      </c>
      <c r="N115" t="n">
        <v>0</v>
      </c>
      <c r="O115" t="n">
        <v>0</v>
      </c>
      <c r="P115" t="n">
        <v>0</v>
      </c>
      <c r="Q115" t="n">
        <v>0</v>
      </c>
      <c r="R115" s="2" t="inlineStr"/>
    </row>
    <row r="116" ht="15" customHeight="1">
      <c r="A116" t="inlineStr">
        <is>
          <t>A 19304-2024</t>
        </is>
      </c>
      <c r="B116" s="1" t="n">
        <v>45428</v>
      </c>
      <c r="C116" s="1" t="n">
        <v>45715</v>
      </c>
      <c r="D116" t="inlineStr">
        <is>
          <t>UPPSALA LÄN</t>
        </is>
      </c>
      <c r="E116" t="inlineStr">
        <is>
          <t>ÄLVKARLEBY</t>
        </is>
      </c>
      <c r="G116" t="n">
        <v>0.2</v>
      </c>
      <c r="H116" t="n">
        <v>0</v>
      </c>
      <c r="I116" t="n">
        <v>0</v>
      </c>
      <c r="J116" t="n">
        <v>0</v>
      </c>
      <c r="K116" t="n">
        <v>0</v>
      </c>
      <c r="L116" t="n">
        <v>0</v>
      </c>
      <c r="M116" t="n">
        <v>0</v>
      </c>
      <c r="N116" t="n">
        <v>0</v>
      </c>
      <c r="O116" t="n">
        <v>0</v>
      </c>
      <c r="P116" t="n">
        <v>0</v>
      </c>
      <c r="Q116" t="n">
        <v>0</v>
      </c>
      <c r="R116" s="2" t="inlineStr"/>
    </row>
    <row r="117" ht="15" customHeight="1">
      <c r="A117" t="inlineStr">
        <is>
          <t>A 19303-2024</t>
        </is>
      </c>
      <c r="B117" s="1" t="n">
        <v>45428</v>
      </c>
      <c r="C117" s="1" t="n">
        <v>45715</v>
      </c>
      <c r="D117" t="inlineStr">
        <is>
          <t>UPPSALA LÄN</t>
        </is>
      </c>
      <c r="E117" t="inlineStr">
        <is>
          <t>ÄLVKARLEBY</t>
        </is>
      </c>
      <c r="G117" t="n">
        <v>0.4</v>
      </c>
      <c r="H117" t="n">
        <v>0</v>
      </c>
      <c r="I117" t="n">
        <v>0</v>
      </c>
      <c r="J117" t="n">
        <v>0</v>
      </c>
      <c r="K117" t="n">
        <v>0</v>
      </c>
      <c r="L117" t="n">
        <v>0</v>
      </c>
      <c r="M117" t="n">
        <v>0</v>
      </c>
      <c r="N117" t="n">
        <v>0</v>
      </c>
      <c r="O117" t="n">
        <v>0</v>
      </c>
      <c r="P117" t="n">
        <v>0</v>
      </c>
      <c r="Q117" t="n">
        <v>0</v>
      </c>
      <c r="R117" s="2" t="inlineStr"/>
    </row>
    <row r="118" ht="15" customHeight="1">
      <c r="A118" t="inlineStr">
        <is>
          <t>A 19298-2024</t>
        </is>
      </c>
      <c r="B118" s="1" t="n">
        <v>45428</v>
      </c>
      <c r="C118" s="1" t="n">
        <v>45715</v>
      </c>
      <c r="D118" t="inlineStr">
        <is>
          <t>UPPSALA LÄN</t>
        </is>
      </c>
      <c r="E118" t="inlineStr">
        <is>
          <t>ÄLVKARLEBY</t>
        </is>
      </c>
      <c r="G118" t="n">
        <v>1.2</v>
      </c>
      <c r="H118" t="n">
        <v>0</v>
      </c>
      <c r="I118" t="n">
        <v>0</v>
      </c>
      <c r="J118" t="n">
        <v>0</v>
      </c>
      <c r="K118" t="n">
        <v>0</v>
      </c>
      <c r="L118" t="n">
        <v>0</v>
      </c>
      <c r="M118" t="n">
        <v>0</v>
      </c>
      <c r="N118" t="n">
        <v>0</v>
      </c>
      <c r="O118" t="n">
        <v>0</v>
      </c>
      <c r="P118" t="n">
        <v>0</v>
      </c>
      <c r="Q118" t="n">
        <v>0</v>
      </c>
      <c r="R118" s="2" t="inlineStr"/>
    </row>
    <row r="119" ht="15" customHeight="1">
      <c r="A119" t="inlineStr">
        <is>
          <t>A 29899-2024</t>
        </is>
      </c>
      <c r="B119" s="1" t="n">
        <v>45487</v>
      </c>
      <c r="C119" s="1" t="n">
        <v>45715</v>
      </c>
      <c r="D119" t="inlineStr">
        <is>
          <t>UPPSALA LÄN</t>
        </is>
      </c>
      <c r="E119" t="inlineStr">
        <is>
          <t>ÄLVKARLEBY</t>
        </is>
      </c>
      <c r="F119" t="inlineStr">
        <is>
          <t>Bergvik skog väst AB</t>
        </is>
      </c>
      <c r="G119" t="n">
        <v>7.1</v>
      </c>
      <c r="H119" t="n">
        <v>0</v>
      </c>
      <c r="I119" t="n">
        <v>0</v>
      </c>
      <c r="J119" t="n">
        <v>0</v>
      </c>
      <c r="K119" t="n">
        <v>0</v>
      </c>
      <c r="L119" t="n">
        <v>0</v>
      </c>
      <c r="M119" t="n">
        <v>0</v>
      </c>
      <c r="N119" t="n">
        <v>0</v>
      </c>
      <c r="O119" t="n">
        <v>0</v>
      </c>
      <c r="P119" t="n">
        <v>0</v>
      </c>
      <c r="Q119" t="n">
        <v>0</v>
      </c>
      <c r="R119" s="2" t="inlineStr"/>
    </row>
    <row r="120" ht="15" customHeight="1">
      <c r="A120" t="inlineStr">
        <is>
          <t>A 33781-2024</t>
        </is>
      </c>
      <c r="B120" s="1" t="n">
        <v>45520</v>
      </c>
      <c r="C120" s="1" t="n">
        <v>45715</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34963-2024</t>
        </is>
      </c>
      <c r="B121" s="1" t="n">
        <v>45527</v>
      </c>
      <c r="C121" s="1" t="n">
        <v>45715</v>
      </c>
      <c r="D121" t="inlineStr">
        <is>
          <t>UPPSALA LÄN</t>
        </is>
      </c>
      <c r="E121" t="inlineStr">
        <is>
          <t>ÄLVKARLEBY</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35832-2024</t>
        </is>
      </c>
      <c r="B122" s="1" t="n">
        <v>45532</v>
      </c>
      <c r="C122" s="1" t="n">
        <v>45715</v>
      </c>
      <c r="D122" t="inlineStr">
        <is>
          <t>UPPSALA LÄN</t>
        </is>
      </c>
      <c r="E122" t="inlineStr">
        <is>
          <t>ÄLVKARLEBY</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38195-2024</t>
        </is>
      </c>
      <c r="B123" s="1" t="n">
        <v>45545</v>
      </c>
      <c r="C123" s="1" t="n">
        <v>45715</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38199-2024</t>
        </is>
      </c>
      <c r="B124" s="1" t="n">
        <v>45545</v>
      </c>
      <c r="C124" s="1" t="n">
        <v>45715</v>
      </c>
      <c r="D124" t="inlineStr">
        <is>
          <t>UPPSALA LÄN</t>
        </is>
      </c>
      <c r="E124" t="inlineStr">
        <is>
          <t>ÄLVKARLEBY</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38217-2024</t>
        </is>
      </c>
      <c r="B125" s="1" t="n">
        <v>45545</v>
      </c>
      <c r="C125" s="1" t="n">
        <v>45715</v>
      </c>
      <c r="D125" t="inlineStr">
        <is>
          <t>UPPSALA LÄN</t>
        </is>
      </c>
      <c r="E125" t="inlineStr">
        <is>
          <t>ÄLVKARLEBY</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41121-2024</t>
        </is>
      </c>
      <c r="B126" s="1" t="n">
        <v>45559</v>
      </c>
      <c r="C126" s="1" t="n">
        <v>45715</v>
      </c>
      <c r="D126" t="inlineStr">
        <is>
          <t>UPPSALA LÄN</t>
        </is>
      </c>
      <c r="E126" t="inlineStr">
        <is>
          <t>ÄLVKARLEBY</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41929-2024</t>
        </is>
      </c>
      <c r="B127" s="1" t="n">
        <v>45561</v>
      </c>
      <c r="C127" s="1" t="n">
        <v>45715</v>
      </c>
      <c r="D127" t="inlineStr">
        <is>
          <t>UPPSALA LÄN</t>
        </is>
      </c>
      <c r="E127" t="inlineStr">
        <is>
          <t>ÄLVKARLEBY</t>
        </is>
      </c>
      <c r="F127" t="inlineStr">
        <is>
          <t>Bergvik skog väst AB</t>
        </is>
      </c>
      <c r="G127" t="n">
        <v>4.9</v>
      </c>
      <c r="H127" t="n">
        <v>0</v>
      </c>
      <c r="I127" t="n">
        <v>0</v>
      </c>
      <c r="J127" t="n">
        <v>0</v>
      </c>
      <c r="K127" t="n">
        <v>0</v>
      </c>
      <c r="L127" t="n">
        <v>0</v>
      </c>
      <c r="M127" t="n">
        <v>0</v>
      </c>
      <c r="N127" t="n">
        <v>0</v>
      </c>
      <c r="O127" t="n">
        <v>0</v>
      </c>
      <c r="P127" t="n">
        <v>0</v>
      </c>
      <c r="Q127" t="n">
        <v>0</v>
      </c>
      <c r="R127" s="2" t="inlineStr"/>
    </row>
    <row r="128" ht="15" customHeight="1">
      <c r="A128" t="inlineStr">
        <is>
          <t>A 41979-2024</t>
        </is>
      </c>
      <c r="B128" s="1" t="n">
        <v>45561</v>
      </c>
      <c r="C128" s="1" t="n">
        <v>45715</v>
      </c>
      <c r="D128" t="inlineStr">
        <is>
          <t>UPPSALA LÄN</t>
        </is>
      </c>
      <c r="E128" t="inlineStr">
        <is>
          <t>ÄLVKARLEBY</t>
        </is>
      </c>
      <c r="F128" t="inlineStr">
        <is>
          <t>Bergvik skog väst AB</t>
        </is>
      </c>
      <c r="G128" t="n">
        <v>2.8</v>
      </c>
      <c r="H128" t="n">
        <v>0</v>
      </c>
      <c r="I128" t="n">
        <v>0</v>
      </c>
      <c r="J128" t="n">
        <v>0</v>
      </c>
      <c r="K128" t="n">
        <v>0</v>
      </c>
      <c r="L128" t="n">
        <v>0</v>
      </c>
      <c r="M128" t="n">
        <v>0</v>
      </c>
      <c r="N128" t="n">
        <v>0</v>
      </c>
      <c r="O128" t="n">
        <v>0</v>
      </c>
      <c r="P128" t="n">
        <v>0</v>
      </c>
      <c r="Q128" t="n">
        <v>0</v>
      </c>
      <c r="R128" s="2" t="inlineStr"/>
    </row>
    <row r="129" ht="15" customHeight="1">
      <c r="A129" t="inlineStr">
        <is>
          <t>A 41894-2024</t>
        </is>
      </c>
      <c r="B129" s="1" t="n">
        <v>45561</v>
      </c>
      <c r="C129" s="1" t="n">
        <v>45715</v>
      </c>
      <c r="D129" t="inlineStr">
        <is>
          <t>UPPSALA LÄN</t>
        </is>
      </c>
      <c r="E129" t="inlineStr">
        <is>
          <t>ÄLVKARLEBY</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41898-2024</t>
        </is>
      </c>
      <c r="B130" s="1" t="n">
        <v>45561</v>
      </c>
      <c r="C130" s="1" t="n">
        <v>45715</v>
      </c>
      <c r="D130" t="inlineStr">
        <is>
          <t>UPPSALA LÄN</t>
        </is>
      </c>
      <c r="E130" t="inlineStr">
        <is>
          <t>ÄLVKARLEBY</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45039-2024</t>
        </is>
      </c>
      <c r="B131" s="1" t="n">
        <v>45575</v>
      </c>
      <c r="C131" s="1" t="n">
        <v>45715</v>
      </c>
      <c r="D131" t="inlineStr">
        <is>
          <t>UPPSALA LÄN</t>
        </is>
      </c>
      <c r="E131" t="inlineStr">
        <is>
          <t>ÄLVKARLEBY</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45040-2024</t>
        </is>
      </c>
      <c r="B132" s="1" t="n">
        <v>45575</v>
      </c>
      <c r="C132" s="1" t="n">
        <v>45715</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45371-2024</t>
        </is>
      </c>
      <c r="B133" s="1" t="n">
        <v>45576</v>
      </c>
      <c r="C133" s="1" t="n">
        <v>45715</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45372-2024</t>
        </is>
      </c>
      <c r="B134" s="1" t="n">
        <v>45576</v>
      </c>
      <c r="C134" s="1" t="n">
        <v>45715</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47754-2024</t>
        </is>
      </c>
      <c r="B135" s="1" t="n">
        <v>45588</v>
      </c>
      <c r="C135" s="1" t="n">
        <v>45715</v>
      </c>
      <c r="D135" t="inlineStr">
        <is>
          <t>UPPSALA LÄN</t>
        </is>
      </c>
      <c r="E135" t="inlineStr">
        <is>
          <t>ÄLVKARLEBY</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47798-2024</t>
        </is>
      </c>
      <c r="B136" s="1" t="n">
        <v>45588</v>
      </c>
      <c r="C136" s="1" t="n">
        <v>45715</v>
      </c>
      <c r="D136" t="inlineStr">
        <is>
          <t>UPPSALA LÄN</t>
        </is>
      </c>
      <c r="E136" t="inlineStr">
        <is>
          <t>ÄLVKARLEBY</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47799-2024</t>
        </is>
      </c>
      <c r="B137" s="1" t="n">
        <v>45588</v>
      </c>
      <c r="C137" s="1" t="n">
        <v>45715</v>
      </c>
      <c r="D137" t="inlineStr">
        <is>
          <t>UPPSALA LÄN</t>
        </is>
      </c>
      <c r="E137" t="inlineStr">
        <is>
          <t>ÄLVKARLEBY</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47796-2024</t>
        </is>
      </c>
      <c r="B138" s="1" t="n">
        <v>45588</v>
      </c>
      <c r="C138" s="1" t="n">
        <v>45715</v>
      </c>
      <c r="D138" t="inlineStr">
        <is>
          <t>UPPSALA LÄN</t>
        </is>
      </c>
      <c r="E138" t="inlineStr">
        <is>
          <t>ÄLVKARLEBY</t>
        </is>
      </c>
      <c r="F138" t="inlineStr">
        <is>
          <t>Bergvik skog väst AB</t>
        </is>
      </c>
      <c r="G138" t="n">
        <v>4.1</v>
      </c>
      <c r="H138" t="n">
        <v>0</v>
      </c>
      <c r="I138" t="n">
        <v>0</v>
      </c>
      <c r="J138" t="n">
        <v>0</v>
      </c>
      <c r="K138" t="n">
        <v>0</v>
      </c>
      <c r="L138" t="n">
        <v>0</v>
      </c>
      <c r="M138" t="n">
        <v>0</v>
      </c>
      <c r="N138" t="n">
        <v>0</v>
      </c>
      <c r="O138" t="n">
        <v>0</v>
      </c>
      <c r="P138" t="n">
        <v>0</v>
      </c>
      <c r="Q138" t="n">
        <v>0</v>
      </c>
      <c r="R138" s="2" t="inlineStr"/>
    </row>
    <row r="139" ht="15" customHeight="1">
      <c r="A139" t="inlineStr">
        <is>
          <t>A 49628-2024</t>
        </is>
      </c>
      <c r="B139" s="1" t="n">
        <v>45596</v>
      </c>
      <c r="C139" s="1" t="n">
        <v>45715</v>
      </c>
      <c r="D139" t="inlineStr">
        <is>
          <t>UPPSALA LÄN</t>
        </is>
      </c>
      <c r="E139" t="inlineStr">
        <is>
          <t>ÄLVKARLEBY</t>
        </is>
      </c>
      <c r="F139" t="inlineStr">
        <is>
          <t>Bergvik skog väst AB</t>
        </is>
      </c>
      <c r="G139" t="n">
        <v>18.2</v>
      </c>
      <c r="H139" t="n">
        <v>0</v>
      </c>
      <c r="I139" t="n">
        <v>0</v>
      </c>
      <c r="J139" t="n">
        <v>0</v>
      </c>
      <c r="K139" t="n">
        <v>0</v>
      </c>
      <c r="L139" t="n">
        <v>0</v>
      </c>
      <c r="M139" t="n">
        <v>0</v>
      </c>
      <c r="N139" t="n">
        <v>0</v>
      </c>
      <c r="O139" t="n">
        <v>0</v>
      </c>
      <c r="P139" t="n">
        <v>0</v>
      </c>
      <c r="Q139" t="n">
        <v>0</v>
      </c>
      <c r="R139" s="2" t="inlineStr"/>
    </row>
    <row r="140" ht="15" customHeight="1">
      <c r="A140" t="inlineStr">
        <is>
          <t>A 51507-2024</t>
        </is>
      </c>
      <c r="B140" s="1" t="n">
        <v>45604</v>
      </c>
      <c r="C140" s="1" t="n">
        <v>45715</v>
      </c>
      <c r="D140" t="inlineStr">
        <is>
          <t>UPPSALA LÄN</t>
        </is>
      </c>
      <c r="E140" t="inlineStr">
        <is>
          <t>ÄLVKARLEBY</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51509-2024</t>
        </is>
      </c>
      <c r="B141" s="1" t="n">
        <v>45604</v>
      </c>
      <c r="C141" s="1" t="n">
        <v>45715</v>
      </c>
      <c r="D141" t="inlineStr">
        <is>
          <t>UPPSALA LÄN</t>
        </is>
      </c>
      <c r="E141" t="inlineStr">
        <is>
          <t>ÄLVKARLEBY</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54204-2024</t>
        </is>
      </c>
      <c r="B142" s="1" t="n">
        <v>45616</v>
      </c>
      <c r="C142" s="1" t="n">
        <v>45715</v>
      </c>
      <c r="D142" t="inlineStr">
        <is>
          <t>UPPSALA LÄN</t>
        </is>
      </c>
      <c r="E142" t="inlineStr">
        <is>
          <t>ÄLVKARLEBY</t>
        </is>
      </c>
      <c r="G142" t="n">
        <v>2</v>
      </c>
      <c r="H142" t="n">
        <v>0</v>
      </c>
      <c r="I142" t="n">
        <v>0</v>
      </c>
      <c r="J142" t="n">
        <v>0</v>
      </c>
      <c r="K142" t="n">
        <v>0</v>
      </c>
      <c r="L142" t="n">
        <v>0</v>
      </c>
      <c r="M142" t="n">
        <v>0</v>
      </c>
      <c r="N142" t="n">
        <v>0</v>
      </c>
      <c r="O142" t="n">
        <v>0</v>
      </c>
      <c r="P142" t="n">
        <v>0</v>
      </c>
      <c r="Q142" t="n">
        <v>0</v>
      </c>
      <c r="R142" s="2" t="inlineStr"/>
    </row>
    <row r="143" ht="15" customHeight="1">
      <c r="A143" t="inlineStr">
        <is>
          <t>A 55139-2024</t>
        </is>
      </c>
      <c r="B143" s="1" t="n">
        <v>45621</v>
      </c>
      <c r="C143" s="1" t="n">
        <v>45715</v>
      </c>
      <c r="D143" t="inlineStr">
        <is>
          <t>UPPSALA LÄN</t>
        </is>
      </c>
      <c r="E143" t="inlineStr">
        <is>
          <t>ÄLVKARLEBY</t>
        </is>
      </c>
      <c r="F143" t="inlineStr">
        <is>
          <t>Bergvik skog väst AB</t>
        </is>
      </c>
      <c r="G143" t="n">
        <v>10.4</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45715</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45715</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45715</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45715</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ht="15" customHeight="1">
      <c r="A148" t="inlineStr">
        <is>
          <t>A 3950-2025</t>
        </is>
      </c>
      <c r="B148" s="1" t="n">
        <v>45684</v>
      </c>
      <c r="C148" s="1" t="n">
        <v>45715</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row r="149" ht="15" customHeight="1">
      <c r="A149" t="inlineStr">
        <is>
          <t>A 8030-2025</t>
        </is>
      </c>
      <c r="B149" s="1" t="n">
        <v>45707</v>
      </c>
      <c r="C149" s="1" t="n">
        <v>45715</v>
      </c>
      <c r="D149" t="inlineStr">
        <is>
          <t>UPPSALA LÄN</t>
        </is>
      </c>
      <c r="E149" t="inlineStr">
        <is>
          <t>ÄLVKARLEBY</t>
        </is>
      </c>
      <c r="F149" t="inlineStr">
        <is>
          <t>Bergvik skog väst AB</t>
        </is>
      </c>
      <c r="G149" t="n">
        <v>3.6</v>
      </c>
      <c r="H149" t="n">
        <v>0</v>
      </c>
      <c r="I149" t="n">
        <v>0</v>
      </c>
      <c r="J149" t="n">
        <v>0</v>
      </c>
      <c r="K149" t="n">
        <v>0</v>
      </c>
      <c r="L149" t="n">
        <v>0</v>
      </c>
      <c r="M149" t="n">
        <v>0</v>
      </c>
      <c r="N149" t="n">
        <v>0</v>
      </c>
      <c r="O149" t="n">
        <v>0</v>
      </c>
      <c r="P149" t="n">
        <v>0</v>
      </c>
      <c r="Q149" t="n">
        <v>0</v>
      </c>
      <c r="R149" s="2" t="inlineStr"/>
    </row>
    <row r="150" ht="15" customHeight="1">
      <c r="A150" t="inlineStr">
        <is>
          <t>A 8031-2025</t>
        </is>
      </c>
      <c r="B150" s="1" t="n">
        <v>45707</v>
      </c>
      <c r="C150" s="1" t="n">
        <v>45715</v>
      </c>
      <c r="D150" t="inlineStr">
        <is>
          <t>UPPSALA LÄN</t>
        </is>
      </c>
      <c r="E150" t="inlineStr">
        <is>
          <t>ÄLVKARLEBY</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8966-2025</t>
        </is>
      </c>
      <c r="B151" s="1" t="n">
        <v>45713</v>
      </c>
      <c r="C151" s="1" t="n">
        <v>45715</v>
      </c>
      <c r="D151" t="inlineStr">
        <is>
          <t>UPPSALA LÄN</t>
        </is>
      </c>
      <c r="E151" t="inlineStr">
        <is>
          <t>ÄLVKARLEBY</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c r="A152" t="inlineStr">
        <is>
          <t>A 9311-2025</t>
        </is>
      </c>
      <c r="B152" s="1" t="n">
        <v>45714</v>
      </c>
      <c r="C152" s="1" t="n">
        <v>45715</v>
      </c>
      <c r="D152" t="inlineStr">
        <is>
          <t>UPPSALA LÄN</t>
        </is>
      </c>
      <c r="E152" t="inlineStr">
        <is>
          <t>ÄLVKARLEBY</t>
        </is>
      </c>
      <c r="F152" t="inlineStr">
        <is>
          <t>Bergvik skog väst AB</t>
        </is>
      </c>
      <c r="G152" t="n">
        <v>2.4</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2025-02-27T16:33:23Z</dcterms:created>
  <dcterms:modified xmlns:dcterms="http://purl.org/dc/terms/" xmlns:xsi="http://www.w3.org/2001/XMLSchema-instance" xsi:type="dcterms:W3CDTF">2025-02-27T16:33:23Z</dcterms:modified>
</cp:coreProperties>
</file>