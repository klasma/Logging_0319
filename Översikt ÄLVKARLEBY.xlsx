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46295</v>
      </c>
      <c r="F4" t="inlineStr">
        <is>
          <t>UPPSALA LÄN</t>
        </is>
      </c>
      <c r="G4" t="inlineStr">
        <is>
          <t>ÄLVKARLEBY</t>
        </is>
      </c>
      <c r="H4" t="inlineStr">
        <is>
          <t>Bergvik skog väst AB</t>
        </is>
      </c>
      <c r="I4" t="n">
        <v>2.9</v>
      </c>
      <c r="J4" t="n">
        <v>2</v>
      </c>
      <c r="K4" t="n">
        <v>8</v>
      </c>
      <c r="L4" t="n">
        <v>7</v>
      </c>
      <c r="M4" t="n">
        <v>4</v>
      </c>
      <c r="N4" t="n">
        <v>0</v>
      </c>
      <c r="O4" t="n">
        <v>0</v>
      </c>
      <c r="P4" t="n">
        <v>0</v>
      </c>
      <c r="Q4" t="n">
        <v>11</v>
      </c>
      <c r="R4" t="n">
        <v>4</v>
      </c>
      <c r="S4" t="n">
        <v>20</v>
      </c>
      <c r="T4" t="n">
        <v>30</v>
      </c>
      <c r="U4" t="n">
        <v>30</v>
      </c>
      <c r="V4"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46295</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46295</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46295</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46295</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46295</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46295</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46295</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46295</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46295</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46295</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46295</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46295</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46295</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46295</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62278-2025</t>
        </is>
      </c>
      <c r="B19" t="inlineStr">
        <is>
          <t>avverkningsanmälan</t>
        </is>
      </c>
      <c r="C19" t="inlineStr">
        <is>
          <t>Föryngringsavverkning</t>
        </is>
      </c>
      <c r="D19" s="1" t="n">
        <v>46006</v>
      </c>
      <c r="E19" s="1" t="n">
        <v>46295</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58480-2025</t>
        </is>
      </c>
      <c r="B20" t="inlineStr">
        <is>
          <t>avverkningsanmälan</t>
        </is>
      </c>
      <c r="C20" t="inlineStr">
        <is>
          <t>Föryngringsavverkning</t>
        </is>
      </c>
      <c r="D20" s="1" t="n">
        <v>45985</v>
      </c>
      <c r="E20" s="1" t="n">
        <v>46295</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46295</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60829-2025</t>
        </is>
      </c>
      <c r="B22" t="inlineStr">
        <is>
          <t>avverkningsanmälan</t>
        </is>
      </c>
      <c r="C22" t="inlineStr">
        <is>
          <t>Avverkning för att bevara och utveckla /försöksver</t>
        </is>
      </c>
      <c r="D22" s="1" t="n">
        <v>45999</v>
      </c>
      <c r="E22" s="1" t="n">
        <v>46295</v>
      </c>
      <c r="F22" t="inlineStr">
        <is>
          <t>UPPSALA LÄN</t>
        </is>
      </c>
      <c r="G22" t="inlineStr">
        <is>
          <t>ÄLVKARLEBY</t>
        </is>
      </c>
      <c r="H22" t="inlineStr">
        <is>
          <t>Bergvik skog väst AB</t>
        </is>
      </c>
      <c r="I22" t="n">
        <v>5.5</v>
      </c>
      <c r="J22" t="n">
        <v>1</v>
      </c>
      <c r="K22" t="n">
        <v>1</v>
      </c>
      <c r="L22" t="n">
        <v>3</v>
      </c>
      <c r="M22" t="n">
        <v>0</v>
      </c>
      <c r="N22" t="n">
        <v>0</v>
      </c>
      <c r="O22" t="n">
        <v>0</v>
      </c>
      <c r="P22" t="n">
        <v>0</v>
      </c>
      <c r="Q22" t="n">
        <v>3</v>
      </c>
      <c r="R22" t="n">
        <v>0</v>
      </c>
      <c r="S22" t="n">
        <v>4</v>
      </c>
      <c r="T22" t="n">
        <v>4</v>
      </c>
      <c r="U22" t="n">
        <v>3</v>
      </c>
      <c r="V22" s="2" t="inlineStr">
        <is>
          <t>Fjällig taggsvamp s.str.
Sparvuggla
Vårärt
Svavelriska</t>
        </is>
      </c>
      <c r="W22">
        <f>HYPERLINK("https://klasma.github.io/Logging_0319/artfynd/A 60829-2025 artfynd.xlsx", "A 60829-2025")</f>
        <v/>
      </c>
      <c r="X22">
        <f>HYPERLINK("https://klasma.github.io/Logging_0319/kartor/A 60829-2025 karta.png", "A 60829-2025")</f>
        <v/>
      </c>
      <c r="Y22">
        <f>HYPERLINK("https://klasma.github.io/Logging_0319/kartor_geotiff/A 60829-2025 georefererad karta.tif", "A 60829-2025")</f>
        <v/>
      </c>
      <c r="AA22">
        <f>HYPERLINK("https://klasma.github.io/Logging_0319/klagomål/A 60829-2025 FSC-klagomål.docx", "A 60829-2025")</f>
        <v/>
      </c>
      <c r="AB22">
        <f>HYPERLINK("https://klasma.github.io/Logging_0319/klagomålsmail/A 60829-2025 FSC-klagomål mail.docx", "A 60829-2025")</f>
        <v/>
      </c>
      <c r="AC22">
        <f>HYPERLINK("https://klasma.github.io/Logging_0319/tillsyn/A 60829-2025 tillsynsbegäran.docx", "A 60829-2025")</f>
        <v/>
      </c>
      <c r="AD22">
        <f>HYPERLINK("https://klasma.github.io/Logging_0319/tillsynsmail/A 60829-2025 tillsynsbegäran mail.docx", "A 60829-2025")</f>
        <v/>
      </c>
      <c r="AE22">
        <f>HYPERLINK("https://klasma.github.io/Logging_0319/fåglar/A 60829-2025 prioriterade fågelarter.docx", "A 60829-2025")</f>
        <v/>
      </c>
    </row>
    <row r="23" ht="15" customHeight="1">
      <c r="A23" t="inlineStr">
        <is>
          <t>A 40038-2026</t>
        </is>
      </c>
      <c r="B23" t="inlineStr">
        <is>
          <t>avverkningsanmälan</t>
        </is>
      </c>
      <c r="C23" t="inlineStr">
        <is>
          <t>Föryngringsavverkning</t>
        </is>
      </c>
      <c r="D23" s="1" t="n">
        <v>46293</v>
      </c>
      <c r="E23" s="1" t="n">
        <v>46295</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21700-2024</t>
        </is>
      </c>
      <c r="B24" t="inlineStr">
        <is>
          <t>avverkningsanmälan</t>
        </is>
      </c>
      <c r="C24" t="inlineStr">
        <is>
          <t>Föryngringsavverkning</t>
        </is>
      </c>
      <c r="D24" s="1" t="n">
        <v>45442</v>
      </c>
      <c r="E24" s="1" t="n">
        <v>46295</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46295</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46295</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46295</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4132-2026</t>
        </is>
      </c>
      <c r="B28" t="inlineStr">
        <is>
          <t>avverkningsanmälan</t>
        </is>
      </c>
      <c r="C28" t="inlineStr">
        <is>
          <t>Föryngringsavverkning</t>
        </is>
      </c>
      <c r="D28" s="1" t="n">
        <v>46044</v>
      </c>
      <c r="E28" s="1" t="n">
        <v>46295</v>
      </c>
      <c r="F28" t="inlineStr">
        <is>
          <t>UPPSALA LÄN</t>
        </is>
      </c>
      <c r="G28" t="inlineStr">
        <is>
          <t>ÄLVKARLEBY</t>
        </is>
      </c>
      <c r="H28" t="inlineStr">
        <is>
          <t>Bergvik skog öst AB</t>
        </is>
      </c>
      <c r="I28" t="n">
        <v>12.2</v>
      </c>
      <c r="J28" t="n">
        <v>2</v>
      </c>
      <c r="K28" t="n">
        <v>1</v>
      </c>
      <c r="L28" t="n">
        <v>0</v>
      </c>
      <c r="M28" t="n">
        <v>1</v>
      </c>
      <c r="N28" t="n">
        <v>0</v>
      </c>
      <c r="O28" t="n">
        <v>0</v>
      </c>
      <c r="P28" t="n">
        <v>0</v>
      </c>
      <c r="Q28" t="n">
        <v>1</v>
      </c>
      <c r="R28" t="n">
        <v>1</v>
      </c>
      <c r="S28" t="n">
        <v>2</v>
      </c>
      <c r="T28" t="n">
        <v>2</v>
      </c>
      <c r="U28" t="n">
        <v>0</v>
      </c>
      <c r="V28" s="2" t="inlineStr">
        <is>
          <t>Bredgentiana
Nästrot</t>
        </is>
      </c>
      <c r="W28">
        <f>HYPERLINK("https://klasma.github.io/Logging_0319/artfynd/A 4132-2026 artfynd.xlsx", "A 4132-2026")</f>
        <v/>
      </c>
      <c r="X28">
        <f>HYPERLINK("https://klasma.github.io/Logging_0319/kartor/A 4132-2026 karta.png", "A 4132-2026")</f>
        <v/>
      </c>
      <c r="Y28">
        <f>HYPERLINK("https://klasma.github.io/Logging_0319/kartor_geotiff/A 4132-2026 georefererad karta.tif", "A 4132-2026")</f>
        <v/>
      </c>
      <c r="AA28">
        <f>HYPERLINK("https://klasma.github.io/Logging_0319/klagomål/A 4132-2026 FSC-klagomål.docx", "A 4132-2026")</f>
        <v/>
      </c>
      <c r="AB28">
        <f>HYPERLINK("https://klasma.github.io/Logging_0319/klagomålsmail/A 4132-2026 FSC-klagomål mail.docx", "A 4132-2026")</f>
        <v/>
      </c>
      <c r="AC28">
        <f>HYPERLINK("https://klasma.github.io/Logging_0319/tillsyn/A 4132-2026 tillsynsbegäran.docx", "A 4132-2026")</f>
        <v/>
      </c>
      <c r="AD28">
        <f>HYPERLINK("https://klasma.github.io/Logging_0319/tillsynsmail/A 4132-2026 tillsynsbegäran mail.docx", "A 4132-2026")</f>
        <v/>
      </c>
    </row>
    <row r="29" ht="15" customHeight="1">
      <c r="A29" t="inlineStr">
        <is>
          <t>A 4133-2026</t>
        </is>
      </c>
      <c r="B29" t="inlineStr">
        <is>
          <t>avverkningsanmälan</t>
        </is>
      </c>
      <c r="C29" t="inlineStr">
        <is>
          <t>Föryngringsavverkning</t>
        </is>
      </c>
      <c r="D29" s="1" t="n">
        <v>46044</v>
      </c>
      <c r="E29" s="1" t="n">
        <v>46295</v>
      </c>
      <c r="F29" t="inlineStr">
        <is>
          <t>UPPSALA LÄN</t>
        </is>
      </c>
      <c r="G29" t="inlineStr">
        <is>
          <t>ÄLVKARLEBY</t>
        </is>
      </c>
      <c r="H29" t="inlineStr">
        <is>
          <t>Bergvik skog öst AB</t>
        </is>
      </c>
      <c r="I29" t="n">
        <v>4.1</v>
      </c>
      <c r="J29" t="n">
        <v>2</v>
      </c>
      <c r="K29" t="n">
        <v>1</v>
      </c>
      <c r="L29" t="n">
        <v>0</v>
      </c>
      <c r="M29" t="n">
        <v>0</v>
      </c>
      <c r="N29" t="n">
        <v>0</v>
      </c>
      <c r="O29" t="n">
        <v>0</v>
      </c>
      <c r="P29" t="n">
        <v>0</v>
      </c>
      <c r="Q29" t="n">
        <v>0</v>
      </c>
      <c r="R29" t="n">
        <v>0</v>
      </c>
      <c r="S29" t="n">
        <v>2</v>
      </c>
      <c r="T29" t="n">
        <v>2</v>
      </c>
      <c r="U29" t="n">
        <v>2</v>
      </c>
      <c r="V29" s="2" t="inlineStr">
        <is>
          <t>Tvåblad
Nattviol</t>
        </is>
      </c>
      <c r="W29">
        <f>HYPERLINK("https://klasma.github.io/Logging_0319/artfynd/A 4133-2026 artfynd.xlsx", "A 4133-2026")</f>
        <v/>
      </c>
      <c r="X29">
        <f>HYPERLINK("https://klasma.github.io/Logging_0319/kartor/A 4133-2026 karta.png", "A 4133-2026")</f>
        <v/>
      </c>
      <c r="Y29">
        <f>HYPERLINK("https://klasma.github.io/Logging_0319/kartor_geotiff/A 4133-2026 georefererad karta.tif", "A 4133-2026")</f>
        <v/>
      </c>
      <c r="AA29">
        <f>HYPERLINK("https://klasma.github.io/Logging_0319/klagomål/A 4133-2026 FSC-klagomål.docx", "A 4133-2026")</f>
        <v/>
      </c>
      <c r="AB29">
        <f>HYPERLINK("https://klasma.github.io/Logging_0319/klagomålsmail/A 4133-2026 FSC-klagomål mail.docx", "A 4133-2026")</f>
        <v/>
      </c>
      <c r="AC29">
        <f>HYPERLINK("https://klasma.github.io/Logging_0319/tillsyn/A 4133-2026 tillsynsbegäran.docx", "A 4133-2026")</f>
        <v/>
      </c>
      <c r="AD29">
        <f>HYPERLINK("https://klasma.github.io/Logging_0319/tillsynsmail/A 4133-2026 tillsynsbegäran mail.docx", "A 4133-2026")</f>
        <v/>
      </c>
    </row>
    <row r="30" ht="15" customHeight="1">
      <c r="A30" t="inlineStr">
        <is>
          <t>A 58485-2025</t>
        </is>
      </c>
      <c r="B30" t="inlineStr">
        <is>
          <t>avverkningsanmälan</t>
        </is>
      </c>
      <c r="C30" t="inlineStr">
        <is>
          <t>Föryngringsavverkning</t>
        </is>
      </c>
      <c r="D30" s="1" t="n">
        <v>45985</v>
      </c>
      <c r="E30" s="1" t="n">
        <v>46295</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S 780-2024</t>
        </is>
      </c>
      <c r="B31" t="inlineStr">
        <is>
          <t>samrådsanmälan</t>
        </is>
      </c>
      <c r="C31" t="inlineStr">
        <is>
          <t>Annan skogsbruksåtgärd</t>
        </is>
      </c>
      <c r="D31" s="1" t="n">
        <v>45369</v>
      </c>
      <c r="E31" s="1" t="n">
        <v>46295</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19303-2024</t>
        </is>
      </c>
      <c r="B32" t="inlineStr">
        <is>
          <t>avverkningsanmälan</t>
        </is>
      </c>
      <c r="C32" t="inlineStr">
        <is>
          <t>Föryngringsavverkning</t>
        </is>
      </c>
      <c r="D32" s="1" t="n">
        <v>45428</v>
      </c>
      <c r="E32" s="1" t="n">
        <v>46295</v>
      </c>
      <c r="F32" t="inlineStr">
        <is>
          <t>UPPSALA LÄN</t>
        </is>
      </c>
      <c r="G32" t="inlineStr">
        <is>
          <t>ÄLVKARLEBY</t>
        </is>
      </c>
      <c r="I32" t="n">
        <v>0.4</v>
      </c>
      <c r="J32" t="n">
        <v>1</v>
      </c>
      <c r="K32" t="n">
        <v>0</v>
      </c>
      <c r="L32" t="n">
        <v>0</v>
      </c>
      <c r="M32" t="n">
        <v>1</v>
      </c>
      <c r="N32" t="n">
        <v>0</v>
      </c>
      <c r="O32" t="n">
        <v>0</v>
      </c>
      <c r="P32" t="n">
        <v>0</v>
      </c>
      <c r="Q32" t="n">
        <v>1</v>
      </c>
      <c r="R32" t="n">
        <v>1</v>
      </c>
      <c r="S32" t="n">
        <v>1</v>
      </c>
      <c r="T32" t="n">
        <v>1</v>
      </c>
      <c r="U32" t="n">
        <v>1</v>
      </c>
      <c r="V32" s="2" t="inlineStr">
        <is>
          <t>Gölgroda</t>
        </is>
      </c>
      <c r="W32">
        <f>HYPERLINK("https://klasma.github.io/Logging_0319/artfynd/A 19303-2024 artfynd.xlsx", "A 19303-2024")</f>
        <v/>
      </c>
      <c r="X32">
        <f>HYPERLINK("https://klasma.github.io/Logging_0319/kartor/A 19303-2024 karta.png", "A 19303-2024")</f>
        <v/>
      </c>
      <c r="Y32">
        <f>HYPERLINK("https://klasma.github.io/Logging_0319/kartor_geotiff/A 19303-2024 georefererad karta.tif", "A 19303-2024")</f>
        <v/>
      </c>
      <c r="AA32">
        <f>HYPERLINK("https://klasma.github.io/Logging_0319/klagomål/A 19303-2024 FSC-klagomål.docx", "A 19303-2024")</f>
        <v/>
      </c>
      <c r="AB32">
        <f>HYPERLINK("https://klasma.github.io/Logging_0319/klagomålsmail/A 19303-2024 FSC-klagomål mail.docx", "A 19303-2024")</f>
        <v/>
      </c>
      <c r="AC32">
        <f>HYPERLINK("https://klasma.github.io/Logging_0319/tillsyn/A 19303-2024 tillsynsbegäran.docx", "A 19303-2024")</f>
        <v/>
      </c>
      <c r="AD32">
        <f>HYPERLINK("https://klasma.github.io/Logging_0319/tillsynsmail/A 19303-2024 tillsynsbegäran mail.docx", "A 19303-2024")</f>
        <v/>
      </c>
    </row>
    <row r="33" ht="15" customHeight="1">
      <c r="A33" t="inlineStr">
        <is>
          <t>A 1673-2026</t>
        </is>
      </c>
      <c r="B33" t="inlineStr">
        <is>
          <t>avverkningsanmälan</t>
        </is>
      </c>
      <c r="C33" t="inlineStr">
        <is>
          <t>Föryngringsavverkning</t>
        </is>
      </c>
      <c r="D33" s="1" t="n">
        <v>46034</v>
      </c>
      <c r="E33" s="1" t="n">
        <v>46295</v>
      </c>
      <c r="F33" t="inlineStr">
        <is>
          <t>UPPSALA LÄN</t>
        </is>
      </c>
      <c r="G33" t="inlineStr">
        <is>
          <t>ÄLVKARLEBY</t>
        </is>
      </c>
      <c r="H33" t="inlineStr">
        <is>
          <t>Bergvik skog väst AB</t>
        </is>
      </c>
      <c r="I33" t="n">
        <v>1.9</v>
      </c>
      <c r="J33" t="n">
        <v>0</v>
      </c>
      <c r="K33" t="n">
        <v>1</v>
      </c>
      <c r="L33" t="n">
        <v>0</v>
      </c>
      <c r="M33" t="n">
        <v>0</v>
      </c>
      <c r="N33" t="n">
        <v>0</v>
      </c>
      <c r="O33" t="n">
        <v>0</v>
      </c>
      <c r="P33" t="n">
        <v>0</v>
      </c>
      <c r="Q33" t="n">
        <v>0</v>
      </c>
      <c r="R33" t="n">
        <v>0</v>
      </c>
      <c r="S33" t="n">
        <v>1</v>
      </c>
      <c r="T33" t="n">
        <v>1</v>
      </c>
      <c r="U33" t="n">
        <v>0</v>
      </c>
      <c r="V33" s="2" t="inlineStr">
        <is>
          <t>Tibast</t>
        </is>
      </c>
      <c r="W33">
        <f>HYPERLINK("https://klasma.github.io/Logging_0319/artfynd/A 1673-2026 artfynd.xlsx", "A 1673-2026")</f>
        <v/>
      </c>
      <c r="X33">
        <f>HYPERLINK("https://klasma.github.io/Logging_0319/kartor/A 1673-2026 karta.png", "A 1673-2026")</f>
        <v/>
      </c>
      <c r="Y33">
        <f>HYPERLINK("https://klasma.github.io/Logging_0319/kartor_geotiff/A 1673-2026 georefererad karta.tif", "A 1673-2026")</f>
        <v/>
      </c>
      <c r="AA33">
        <f>HYPERLINK("https://klasma.github.io/Logging_0319/klagomål/A 1673-2026 FSC-klagomål.docx", "A 1673-2026")</f>
        <v/>
      </c>
      <c r="AB33">
        <f>HYPERLINK("https://klasma.github.io/Logging_0319/klagomålsmail/A 1673-2026 FSC-klagomål mail.docx", "A 1673-2026")</f>
        <v/>
      </c>
      <c r="AC33">
        <f>HYPERLINK("https://klasma.github.io/Logging_0319/tillsyn/A 1673-2026 tillsynsbegäran.docx", "A 1673-2026")</f>
        <v/>
      </c>
      <c r="AD33">
        <f>HYPERLINK("https://klasma.github.io/Logging_0319/tillsynsmail/A 1673-2026 tillsynsbegäran mail.docx", "A 1673-2026")</f>
        <v/>
      </c>
    </row>
    <row r="34" ht="15" customHeight="1">
      <c r="A34" t="inlineStr">
        <is>
          <t>A 4131-2026</t>
        </is>
      </c>
      <c r="B34" t="inlineStr">
        <is>
          <t>avverkningsanmälan</t>
        </is>
      </c>
      <c r="C34" t="inlineStr">
        <is>
          <t>Föryngringsavverkning</t>
        </is>
      </c>
      <c r="D34" s="1" t="n">
        <v>46044</v>
      </c>
      <c r="E34" s="1" t="n">
        <v>46295</v>
      </c>
      <c r="F34" t="inlineStr">
        <is>
          <t>UPPSALA LÄN</t>
        </is>
      </c>
      <c r="G34" t="inlineStr">
        <is>
          <t>ÄLVKARLEBY</t>
        </is>
      </c>
      <c r="H34" t="inlineStr">
        <is>
          <t>Bergvik skog öst AB</t>
        </is>
      </c>
      <c r="I34" t="n">
        <v>2.4</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4131-2026 artfynd.xlsx", "A 4131-2026")</f>
        <v/>
      </c>
      <c r="X34">
        <f>HYPERLINK("https://klasma.github.io/Logging_0319/kartor/A 4131-2026 karta.png", "A 4131-2026")</f>
        <v/>
      </c>
      <c r="Y34">
        <f>HYPERLINK("https://klasma.github.io/Logging_0319/kartor_geotiff/A 4131-2026 georefererad karta.tif", "A 4131-2026")</f>
        <v/>
      </c>
      <c r="AA34">
        <f>HYPERLINK("https://klasma.github.io/Logging_0319/klagomål/A 4131-2026 FSC-klagomål.docx", "A 4131-2026")</f>
        <v/>
      </c>
      <c r="AB34">
        <f>HYPERLINK("https://klasma.github.io/Logging_0319/klagomålsmail/A 4131-2026 FSC-klagomål mail.docx", "A 4131-2026")</f>
        <v/>
      </c>
      <c r="AC34">
        <f>HYPERLINK("https://klasma.github.io/Logging_0319/tillsyn/A 4131-2026 tillsynsbegäran.docx", "A 4131-2026")</f>
        <v/>
      </c>
      <c r="AD34">
        <f>HYPERLINK("https://klasma.github.io/Logging_0319/tillsynsmail/A 4131-2026 tillsynsbegäran mail.docx", "A 4131-2026")</f>
        <v/>
      </c>
    </row>
    <row r="35" ht="15" customHeight="1">
      <c r="A35" t="inlineStr">
        <is>
          <t>A 19300-2024</t>
        </is>
      </c>
      <c r="B35" t="inlineStr">
        <is>
          <t>avverkningsanmälan</t>
        </is>
      </c>
      <c r="C35" t="inlineStr">
        <is>
          <t>Föryngringsavverkning</t>
        </is>
      </c>
      <c r="D35" s="1" t="n">
        <v>45428</v>
      </c>
      <c r="E35" s="1" t="n">
        <v>46295</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51238-2025</t>
        </is>
      </c>
      <c r="B36" t="inlineStr">
        <is>
          <t>avverkningsanmälan</t>
        </is>
      </c>
      <c r="C36" t="inlineStr">
        <is>
          <t>Föryngringsavverkning</t>
        </is>
      </c>
      <c r="D36" s="1" t="n">
        <v>45947</v>
      </c>
      <c r="E36" s="1" t="n">
        <v>46295</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57734-2025</t>
        </is>
      </c>
      <c r="B37" t="inlineStr">
        <is>
          <t>avverkningsanmälan</t>
        </is>
      </c>
      <c r="C37" t="inlineStr">
        <is>
          <t>Föryngringsavverkning</t>
        </is>
      </c>
      <c r="D37" s="1" t="n">
        <v>45981</v>
      </c>
      <c r="E37" s="1" t="n">
        <v>46295</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7286-2023</t>
        </is>
      </c>
      <c r="B38" t="inlineStr">
        <is>
          <t>avverkningsanmälan</t>
        </is>
      </c>
      <c r="C38" t="inlineStr">
        <is>
          <t>Avverkning för annat ändamål</t>
        </is>
      </c>
      <c r="D38" s="1" t="n">
        <v>44970</v>
      </c>
      <c r="E38" s="1" t="n">
        <v>46295</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46295</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62938-2025</t>
        </is>
      </c>
      <c r="B40" t="inlineStr">
        <is>
          <t>avverkningsanmälan</t>
        </is>
      </c>
      <c r="C40" t="inlineStr">
        <is>
          <t>Föryngringsavverkning</t>
        </is>
      </c>
      <c r="D40" s="1" t="n">
        <v>46009</v>
      </c>
      <c r="E40" s="1" t="n">
        <v>46295</v>
      </c>
      <c r="F40" t="inlineStr">
        <is>
          <t>UPPSALA LÄN</t>
        </is>
      </c>
      <c r="G40" t="inlineStr">
        <is>
          <t>ÄLVKARLEBY</t>
        </is>
      </c>
      <c r="H40" t="inlineStr">
        <is>
          <t>Bergvik skog väst AB</t>
        </is>
      </c>
      <c r="I40" t="n">
        <v>10.2</v>
      </c>
      <c r="J40" t="n">
        <v>1</v>
      </c>
      <c r="K40" t="n">
        <v>1</v>
      </c>
      <c r="L40" t="n">
        <v>0</v>
      </c>
      <c r="M40" t="n">
        <v>0</v>
      </c>
      <c r="N40" t="n">
        <v>0</v>
      </c>
      <c r="O40" t="n">
        <v>0</v>
      </c>
      <c r="P40" t="n">
        <v>0</v>
      </c>
      <c r="Q40" t="n">
        <v>0</v>
      </c>
      <c r="R40" t="n">
        <v>0</v>
      </c>
      <c r="S40" t="n">
        <v>1</v>
      </c>
      <c r="T40" t="n">
        <v>1</v>
      </c>
      <c r="U40" t="n">
        <v>1</v>
      </c>
      <c r="V40" s="2" t="inlineStr">
        <is>
          <t>Tvåblad</t>
        </is>
      </c>
      <c r="W40">
        <f>HYPERLINK("https://klasma.github.io/Logging_0319/artfynd/A 62938-2025 artfynd.xlsx", "A 62938-2025")</f>
        <v/>
      </c>
      <c r="X40">
        <f>HYPERLINK("https://klasma.github.io/Logging_0319/kartor/A 62938-2025 karta.png", "A 62938-2025")</f>
        <v/>
      </c>
      <c r="Y40">
        <f>HYPERLINK("https://klasma.github.io/Logging_0319/kartor_geotiff/A 62938-2025 georefererad karta.tif", "A 62938-2025")</f>
        <v/>
      </c>
      <c r="AA40">
        <f>HYPERLINK("https://klasma.github.io/Logging_0319/klagomål/A 62938-2025 FSC-klagomål.docx", "A 62938-2025")</f>
        <v/>
      </c>
      <c r="AB40">
        <f>HYPERLINK("https://klasma.github.io/Logging_0319/klagomålsmail/A 62938-2025 FSC-klagomål mail.docx", "A 62938-2025")</f>
        <v/>
      </c>
      <c r="AC40">
        <f>HYPERLINK("https://klasma.github.io/Logging_0319/tillsyn/A 62938-2025 tillsynsbegäran.docx", "A 62938-2025")</f>
        <v/>
      </c>
      <c r="AD40">
        <f>HYPERLINK("https://klasma.github.io/Logging_0319/tillsynsmail/A 62938-2025 tillsynsbegäran mail.docx", "A 62938-2025")</f>
        <v/>
      </c>
    </row>
    <row r="41" ht="15" customHeight="1">
      <c r="A41" t="inlineStr">
        <is>
          <t>A 14127-2026</t>
        </is>
      </c>
      <c r="B41" t="inlineStr">
        <is>
          <t>avverkningsanmälan</t>
        </is>
      </c>
      <c r="C41" t="inlineStr">
        <is>
          <t>Föryngringsavverkning</t>
        </is>
      </c>
      <c r="D41" s="1" t="n">
        <v>46099</v>
      </c>
      <c r="E41" s="1" t="n">
        <v>46295</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10455-2022</t>
        </is>
      </c>
      <c r="B42" t="inlineStr">
        <is>
          <t>avverkningsanmälan</t>
        </is>
      </c>
      <c r="C42" t="inlineStr">
        <is>
          <t>Föryngringsavverkning</t>
        </is>
      </c>
      <c r="D42" s="1" t="n">
        <v>44623</v>
      </c>
      <c r="E42" s="1" t="n">
        <v>46295</v>
      </c>
      <c r="F42" t="inlineStr">
        <is>
          <t>UPPSALA LÄN</t>
        </is>
      </c>
      <c r="G42" t="inlineStr">
        <is>
          <t>ÄLVKARLEBY</t>
        </is>
      </c>
      <c r="H42" t="inlineStr">
        <is>
          <t>Bergvik skog öst AB</t>
        </is>
      </c>
      <c r="I42" t="n">
        <v>1.1</v>
      </c>
      <c r="J42" t="n">
        <v>0</v>
      </c>
      <c r="K42" t="n">
        <v>0</v>
      </c>
      <c r="L42" t="n">
        <v>1</v>
      </c>
      <c r="M42" t="n">
        <v>0</v>
      </c>
      <c r="N42" t="n">
        <v>0</v>
      </c>
      <c r="O42" t="n">
        <v>0</v>
      </c>
      <c r="P42" t="n">
        <v>0</v>
      </c>
      <c r="Q42" t="n">
        <v>1</v>
      </c>
      <c r="R42" t="n">
        <v>0</v>
      </c>
      <c r="S42" t="n">
        <v>1</v>
      </c>
      <c r="T42" t="n">
        <v>4</v>
      </c>
      <c r="U42" t="n">
        <v>1</v>
      </c>
      <c r="V42" s="2" t="inlineStr">
        <is>
          <t>Sandviol</t>
        </is>
      </c>
      <c r="W42">
        <f>HYPERLINK("https://klasma.github.io/Logging_0319/artfynd/A 10455-2022 artfynd.xlsx", "A 10455-2022")</f>
        <v/>
      </c>
      <c r="X42">
        <f>HYPERLINK("https://klasma.github.io/Logging_0319/kartor/A 10455-2022 karta.png", "A 10455-2022")</f>
        <v/>
      </c>
      <c r="Y42">
        <f>HYPERLINK("https://klasma.github.io/Logging_0319/kartor_geotiff/A 10455-2022 georefererad karta.tif", "A 10455-2022")</f>
        <v/>
      </c>
      <c r="AA42">
        <f>HYPERLINK("https://klasma.github.io/Logging_0319/klagomål/A 10455-2022 FSC-klagomål.docx", "A 10455-2022")</f>
        <v/>
      </c>
      <c r="AB42">
        <f>HYPERLINK("https://klasma.github.io/Logging_0319/klagomålsmail/A 10455-2022 FSC-klagomål mail.docx", "A 10455-2022")</f>
        <v/>
      </c>
      <c r="AC42">
        <f>HYPERLINK("https://klasma.github.io/Logging_0319/tillsyn/A 10455-2022 tillsynsbegäran.docx", "A 10455-2022")</f>
        <v/>
      </c>
      <c r="AD42">
        <f>HYPERLINK("https://klasma.github.io/Logging_0319/tillsynsmail/A 10455-2022 tillsynsbegäran mail.docx", "A 10455-2022")</f>
        <v/>
      </c>
    </row>
    <row r="43" ht="15" customHeight="1">
      <c r="A43" t="inlineStr">
        <is>
          <t>A 70017-2021</t>
        </is>
      </c>
      <c r="B43" t="inlineStr">
        <is>
          <t>avverkningsanmälan</t>
        </is>
      </c>
      <c r="C43" t="inlineStr">
        <is>
          <t>Föryngringsavverkning</t>
        </is>
      </c>
      <c r="D43" s="1" t="n">
        <v>44533</v>
      </c>
      <c r="E43" s="1" t="n">
        <v>46295</v>
      </c>
      <c r="F43" t="inlineStr">
        <is>
          <t>UPPSALA LÄN</t>
        </is>
      </c>
      <c r="G43" t="inlineStr">
        <is>
          <t>ÄLVKARLEBY</t>
        </is>
      </c>
      <c r="I43" t="n">
        <v>2.1</v>
      </c>
      <c r="J43" t="n">
        <v>1</v>
      </c>
      <c r="K43" t="n">
        <v>0</v>
      </c>
      <c r="L43" t="n">
        <v>0</v>
      </c>
      <c r="M43" t="n">
        <v>0</v>
      </c>
      <c r="N43" t="n">
        <v>0</v>
      </c>
      <c r="O43" t="n">
        <v>0</v>
      </c>
      <c r="P43" t="n">
        <v>0</v>
      </c>
      <c r="Q43" t="n">
        <v>0</v>
      </c>
      <c r="R43" t="n">
        <v>0</v>
      </c>
      <c r="S43" t="n">
        <v>1</v>
      </c>
      <c r="T43" t="n">
        <v>1</v>
      </c>
      <c r="U43" t="n">
        <v>1</v>
      </c>
      <c r="V43" s="2" t="inlineStr">
        <is>
          <t>Trana</t>
        </is>
      </c>
      <c r="W43">
        <f>HYPERLINK("https://klasma.github.io/Logging_0319/artfynd/A 70017-2021 artfynd.xlsx", "A 70017-2021")</f>
        <v/>
      </c>
      <c r="X43">
        <f>HYPERLINK("https://klasma.github.io/Logging_0319/kartor/A 70017-2021 karta.png", "A 70017-2021")</f>
        <v/>
      </c>
      <c r="Y43">
        <f>HYPERLINK("https://klasma.github.io/Logging_0319/kartor_geotiff/A 70017-2021 georefererad karta.tif", "A 70017-2021")</f>
        <v/>
      </c>
      <c r="AA43">
        <f>HYPERLINK("https://klasma.github.io/Logging_0319/klagomål/A 70017-2021 FSC-klagomål.docx", "A 70017-2021")</f>
        <v/>
      </c>
      <c r="AB43">
        <f>HYPERLINK("https://klasma.github.io/Logging_0319/klagomålsmail/A 70017-2021 FSC-klagomål mail.docx", "A 70017-2021")</f>
        <v/>
      </c>
      <c r="AC43">
        <f>HYPERLINK("https://klasma.github.io/Logging_0319/tillsyn/A 70017-2021 tillsynsbegäran.docx", "A 70017-2021")</f>
        <v/>
      </c>
      <c r="AD43">
        <f>HYPERLINK("https://klasma.github.io/Logging_0319/tillsynsmail/A 70017-2021 tillsynsbegäran mail.docx", "A 70017-2021")</f>
        <v/>
      </c>
      <c r="AE43">
        <f>HYPERLINK("https://klasma.github.io/Logging_0319/fåglar/A 70017-2021 prioriterade fågelarter.docx", "A 70017-2021")</f>
        <v/>
      </c>
    </row>
    <row r="44" ht="15" customHeight="1">
      <c r="A44" t="inlineStr">
        <is>
          <t>A 19304-2024</t>
        </is>
      </c>
      <c r="B44" t="inlineStr">
        <is>
          <t>avverkningsanmälan</t>
        </is>
      </c>
      <c r="C44" t="inlineStr">
        <is>
          <t>Föryngringsavverkning</t>
        </is>
      </c>
      <c r="D44" s="1" t="n">
        <v>45428</v>
      </c>
      <c r="E44" s="1" t="n">
        <v>46295</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43285-2023</t>
        </is>
      </c>
      <c r="B45" t="inlineStr">
        <is>
          <t>avverkningsanmälan</t>
        </is>
      </c>
      <c r="C45" t="inlineStr">
        <is>
          <t>Föryngringsavverkning</t>
        </is>
      </c>
      <c r="D45" s="1" t="n">
        <v>45183</v>
      </c>
      <c r="E45" s="1" t="n">
        <v>46295</v>
      </c>
      <c r="F45" t="inlineStr">
        <is>
          <t>UPPSALA LÄN</t>
        </is>
      </c>
      <c r="G45" t="inlineStr">
        <is>
          <t>ÄLVKARLEBY</t>
        </is>
      </c>
      <c r="H45" t="inlineStr">
        <is>
          <t>Bergvik skog väst AB</t>
        </is>
      </c>
      <c r="I45" t="n">
        <v>1.3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HYPERLINK("https://klasma.github.io/Logging_0319/artfynd/A 43285-2023 artfynd.xlsx", "A 43285-2023")</f>
        <v/>
      </c>
      <c r="X45">
        <f>HYPERLINK("https://klasma.github.io/Logging_0319/kartor/A 43285-2023 karta.png", "A 43285-2023")</f>
        <v/>
      </c>
      <c r="Y45">
        <f>HYPERLINK("https://klasma.github.io/Logging_0319/kartor_geotiff/A 43285-2023 georefererad karta.tif", "A 43285-2023")</f>
        <v/>
      </c>
      <c r="AA45">
        <f>HYPERLINK("https://klasma.github.io/Logging_0319/klagomål/A 43285-2023 FSC-klagomål.docx", "A 43285-2023")</f>
        <v/>
      </c>
      <c r="AB45">
        <f>HYPERLINK("https://klasma.github.io/Logging_0319/klagomålsmail/A 43285-2023 FSC-klagomål mail.docx", "A 43285-2023")</f>
        <v/>
      </c>
      <c r="AC45">
        <f>HYPERLINK("https://klasma.github.io/Logging_0319/tillsyn/A 43285-2023 tillsynsbegäran.docx", "A 43285-2023")</f>
        <v/>
      </c>
      <c r="AD45">
        <f>HYPERLINK("https://klasma.github.io/Logging_0319/tillsynsmail/A 43285-2023 tillsynsbegäran mail.docx", "A 43285-2023")</f>
        <v/>
      </c>
    </row>
    <row r="46" ht="15" customHeight="1">
      <c r="A46" t="inlineStr">
        <is>
          <t>A 3950-2025</t>
        </is>
      </c>
      <c r="B46" t="inlineStr">
        <is>
          <t>avverkningsanmälan</t>
        </is>
      </c>
      <c r="C46" t="inlineStr">
        <is>
          <t>Avverkning för annat ändamål</t>
        </is>
      </c>
      <c r="D46" s="1" t="n">
        <v>45684</v>
      </c>
      <c r="E46" s="1" t="n">
        <v>46295</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30233-2026</t>
        </is>
      </c>
      <c r="B47" t="inlineStr">
        <is>
          <t>avverkningsanmälan</t>
        </is>
      </c>
      <c r="C47" t="inlineStr">
        <is>
          <t>Föryngringsavverkning</t>
        </is>
      </c>
      <c r="D47" s="1" t="n">
        <v>46206</v>
      </c>
      <c r="E47" s="1" t="n">
        <v>46295</v>
      </c>
      <c r="F47" t="inlineStr">
        <is>
          <t>UPPSALA LÄN</t>
        </is>
      </c>
      <c r="G47" t="inlineStr">
        <is>
          <t>ÄLVKARLEBY</t>
        </is>
      </c>
      <c r="H47" t="inlineStr">
        <is>
          <t>Bergvik skog öst AB</t>
        </is>
      </c>
      <c r="I47" t="n">
        <v>6.8</v>
      </c>
      <c r="J47" t="n">
        <v>1</v>
      </c>
      <c r="K47" t="n">
        <v>1</v>
      </c>
      <c r="L47" t="n">
        <v>0</v>
      </c>
      <c r="M47" t="n">
        <v>0</v>
      </c>
      <c r="N47" t="n">
        <v>0</v>
      </c>
      <c r="O47" t="n">
        <v>0</v>
      </c>
      <c r="P47" t="n">
        <v>0</v>
      </c>
      <c r="Q47" t="n">
        <v>0</v>
      </c>
      <c r="R47" t="n">
        <v>0</v>
      </c>
      <c r="S47" t="n">
        <v>1</v>
      </c>
      <c r="T47" t="n">
        <v>1</v>
      </c>
      <c r="U47" t="n">
        <v>0</v>
      </c>
      <c r="V47" s="2" t="inlineStr">
        <is>
          <t>Nästrot</t>
        </is>
      </c>
      <c r="W47">
        <f>HYPERLINK("https://klasma.github.io/Logging_0319/artfynd/A 30233-2026 artfynd.xlsx", "A 30233-2026")</f>
        <v/>
      </c>
      <c r="X47">
        <f>HYPERLINK("https://klasma.github.io/Logging_0319/kartor/A 30233-2026 karta.png", "A 30233-2026")</f>
        <v/>
      </c>
      <c r="Y47">
        <f>HYPERLINK("https://klasma.github.io/Logging_0319/kartor_geotiff/A 30233-2026 georefererad karta.tif", "A 30233-2026")</f>
        <v/>
      </c>
      <c r="AA47">
        <f>HYPERLINK("https://klasma.github.io/Logging_0319/klagomål/A 30233-2026 FSC-klagomål.docx", "A 30233-2026")</f>
        <v/>
      </c>
      <c r="AB47">
        <f>HYPERLINK("https://klasma.github.io/Logging_0319/klagomålsmail/A 30233-2026 FSC-klagomål mail.docx", "A 30233-2026")</f>
        <v/>
      </c>
      <c r="AC47">
        <f>HYPERLINK("https://klasma.github.io/Logging_0319/tillsyn/A 30233-2026 tillsynsbegäran.docx", "A 30233-2026")</f>
        <v/>
      </c>
      <c r="AD47">
        <f>HYPERLINK("https://klasma.github.io/Logging_0319/tillsynsmail/A 30233-2026 tillsynsbegäran mail.docx", "A 30233-2026")</f>
        <v/>
      </c>
    </row>
    <row r="48" ht="15" customHeight="1">
      <c r="A48" t="inlineStr">
        <is>
          <t>A 30236-2026</t>
        </is>
      </c>
      <c r="B48" t="inlineStr">
        <is>
          <t>avverkningsanmälan</t>
        </is>
      </c>
      <c r="C48" t="inlineStr">
        <is>
          <t>Föryngringsavverkning</t>
        </is>
      </c>
      <c r="D48" s="1" t="n">
        <v>46206</v>
      </c>
      <c r="E48" s="1" t="n">
        <v>46295</v>
      </c>
      <c r="F48" t="inlineStr">
        <is>
          <t>UPPSALA LÄN</t>
        </is>
      </c>
      <c r="G48" t="inlineStr">
        <is>
          <t>ÄLVKARLEBY</t>
        </is>
      </c>
      <c r="H48" t="inlineStr">
        <is>
          <t>Bergvik skog öst AB</t>
        </is>
      </c>
      <c r="I48" t="n">
        <v>4.8</v>
      </c>
      <c r="J48" t="n">
        <v>1</v>
      </c>
      <c r="K48" t="n">
        <v>1</v>
      </c>
      <c r="L48" t="n">
        <v>0</v>
      </c>
      <c r="M48" t="n">
        <v>0</v>
      </c>
      <c r="N48" t="n">
        <v>0</v>
      </c>
      <c r="O48" t="n">
        <v>0</v>
      </c>
      <c r="P48" t="n">
        <v>0</v>
      </c>
      <c r="Q48" t="n">
        <v>0</v>
      </c>
      <c r="R48" t="n">
        <v>0</v>
      </c>
      <c r="S48" t="n">
        <v>1</v>
      </c>
      <c r="T48" t="n">
        <v>1</v>
      </c>
      <c r="U48" t="n">
        <v>0</v>
      </c>
      <c r="V48" s="2" t="inlineStr">
        <is>
          <t>Nästrot</t>
        </is>
      </c>
      <c r="W48">
        <f>HYPERLINK("https://klasma.github.io/Logging_0319/artfynd/A 30236-2026 artfynd.xlsx", "A 30236-2026")</f>
        <v/>
      </c>
      <c r="X48">
        <f>HYPERLINK("https://klasma.github.io/Logging_0319/kartor/A 30236-2026 karta.png", "A 30236-2026")</f>
        <v/>
      </c>
      <c r="Y48">
        <f>HYPERLINK("https://klasma.github.io/Logging_0319/kartor_geotiff/A 30236-2026 georefererad karta.tif", "A 30236-2026")</f>
        <v/>
      </c>
      <c r="AA48">
        <f>HYPERLINK("https://klasma.github.io/Logging_0319/klagomål/A 30236-2026 FSC-klagomål.docx", "A 30236-2026")</f>
        <v/>
      </c>
      <c r="AB48">
        <f>HYPERLINK("https://klasma.github.io/Logging_0319/klagomålsmail/A 30236-2026 FSC-klagomål mail.docx", "A 30236-2026")</f>
        <v/>
      </c>
      <c r="AC48">
        <f>HYPERLINK("https://klasma.github.io/Logging_0319/tillsyn/A 30236-2026 tillsynsbegäran.docx", "A 30236-2026")</f>
        <v/>
      </c>
      <c r="AD48">
        <f>HYPERLINK("https://klasma.github.io/Logging_0319/tillsynsmail/A 30236-2026 tillsynsbegäran mail.docx", "A 30236-2026")</f>
        <v/>
      </c>
    </row>
    <row r="49" ht="15" customHeight="1">
      <c r="A49" t="inlineStr">
        <is>
          <t>A 36217-2022</t>
        </is>
      </c>
      <c r="B49" t="inlineStr">
        <is>
          <t>avverkningsanmälan</t>
        </is>
      </c>
      <c r="C49" t="inlineStr">
        <is>
          <t>Avverkning för annat ändamål</t>
        </is>
      </c>
      <c r="D49" s="1" t="n">
        <v>44803</v>
      </c>
      <c r="E49" s="1" t="n">
        <v>46295</v>
      </c>
      <c r="F49" t="inlineStr">
        <is>
          <t>UPPSALA LÄN</t>
        </is>
      </c>
      <c r="G49" t="inlineStr">
        <is>
          <t>ÄLVKARLEBY</t>
        </is>
      </c>
      <c r="H49" t="inlineStr">
        <is>
          <t>Bergvik skog väst AB</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36282-2022</t>
        </is>
      </c>
      <c r="B50" t="inlineStr">
        <is>
          <t>avverkningsanmälan</t>
        </is>
      </c>
      <c r="C50" t="inlineStr">
        <is>
          <t>Avverkning för annat ändamål</t>
        </is>
      </c>
      <c r="D50" s="1" t="n">
        <v>44803</v>
      </c>
      <c r="E50" s="1" t="n">
        <v>46295</v>
      </c>
      <c r="F50" t="inlineStr">
        <is>
          <t>UPPSALA LÄN</t>
        </is>
      </c>
      <c r="G50" t="inlineStr">
        <is>
          <t>ÄLVKARLEBY</t>
        </is>
      </c>
      <c r="I50" t="n">
        <v>0.1</v>
      </c>
      <c r="J50" t="n">
        <v>0</v>
      </c>
      <c r="K50" t="n">
        <v>0</v>
      </c>
      <c r="L50" t="n">
        <v>0</v>
      </c>
      <c r="M50" t="n">
        <v>0</v>
      </c>
      <c r="N50" t="n">
        <v>0</v>
      </c>
      <c r="O50" t="n">
        <v>0</v>
      </c>
      <c r="P50" t="n">
        <v>0</v>
      </c>
      <c r="Q50" t="n">
        <v>0</v>
      </c>
      <c r="R50" t="n">
        <v>0</v>
      </c>
      <c r="S50" t="n">
        <v>0</v>
      </c>
      <c r="T50" t="n">
        <v>0</v>
      </c>
      <c r="U50" t="n">
        <v>0</v>
      </c>
      <c r="V50" s="2" t="inlineStr"/>
    </row>
    <row r="51" ht="15" customHeight="1">
      <c r="A51" t="inlineStr">
        <is>
          <t>A 36216-2022</t>
        </is>
      </c>
      <c r="B51" t="inlineStr">
        <is>
          <t>avverkningsanmälan</t>
        </is>
      </c>
      <c r="C51" t="inlineStr">
        <is>
          <t>Avverkning för annat ändamål</t>
        </is>
      </c>
      <c r="D51" s="1" t="n">
        <v>44803</v>
      </c>
      <c r="E51" s="1" t="n">
        <v>46295</v>
      </c>
      <c r="F51" t="inlineStr">
        <is>
          <t>UPPSALA LÄN</t>
        </is>
      </c>
      <c r="G51" t="inlineStr">
        <is>
          <t>ÄLVKARLEBY</t>
        </is>
      </c>
      <c r="H51" t="inlineStr">
        <is>
          <t>Bergvik skog väst AB</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61839-2025</t>
        </is>
      </c>
      <c r="B52" t="inlineStr">
        <is>
          <t>avverkningsanmälan</t>
        </is>
      </c>
      <c r="C52" t="inlineStr">
        <is>
          <t>Föryngringsavverkning</t>
        </is>
      </c>
      <c r="D52" s="1" t="n">
        <v>46003</v>
      </c>
      <c r="E52" s="1" t="n">
        <v>46295</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2184-2024</t>
        </is>
      </c>
      <c r="B53" t="inlineStr">
        <is>
          <t>avverkningsanmälan</t>
        </is>
      </c>
      <c r="C53" t="inlineStr">
        <is>
          <t>Föryngringsavverkning</t>
        </is>
      </c>
      <c r="D53" s="1" t="n">
        <v>45309</v>
      </c>
      <c r="E53" s="1" t="n">
        <v>46295</v>
      </c>
      <c r="F53" t="inlineStr">
        <is>
          <t>UPPSALA LÄN</t>
        </is>
      </c>
      <c r="G53" t="inlineStr">
        <is>
          <t>ÄLVKARLEBY</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25330-2025</t>
        </is>
      </c>
      <c r="B54" t="inlineStr">
        <is>
          <t>avverkningsanmälan</t>
        </is>
      </c>
      <c r="C54" t="inlineStr">
        <is>
          <t>Föryngringsavverkning</t>
        </is>
      </c>
      <c r="D54" s="1" t="n">
        <v>45800</v>
      </c>
      <c r="E54" s="1" t="n">
        <v>46295</v>
      </c>
      <c r="F54" t="inlineStr">
        <is>
          <t>UPPSALA LÄN</t>
        </is>
      </c>
      <c r="G54" t="inlineStr">
        <is>
          <t>ÄLVKARLEBY</t>
        </is>
      </c>
      <c r="H54" t="inlineStr">
        <is>
          <t>Bergvik skog väst AB</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38226-2023</t>
        </is>
      </c>
      <c r="B55" t="inlineStr">
        <is>
          <t>avverkningsanmälan</t>
        </is>
      </c>
      <c r="C55" t="inlineStr">
        <is>
          <t>Föryngringsavverkning</t>
        </is>
      </c>
      <c r="D55" s="1" t="n">
        <v>45161</v>
      </c>
      <c r="E55" s="1" t="n">
        <v>46295</v>
      </c>
      <c r="F55" t="inlineStr">
        <is>
          <t>UPPSALA LÄN</t>
        </is>
      </c>
      <c r="G55" t="inlineStr">
        <is>
          <t>ÄLVKARLEBY</t>
        </is>
      </c>
      <c r="H55" t="inlineStr">
        <is>
          <t>Bergvik skog väst AB</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46295</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45372-2024</t>
        </is>
      </c>
      <c r="B57" t="inlineStr">
        <is>
          <t>avverkningsanmälan</t>
        </is>
      </c>
      <c r="C57" t="inlineStr">
        <is>
          <t>Föryngringsavverkning</t>
        </is>
      </c>
      <c r="D57" s="1" t="n">
        <v>45576</v>
      </c>
      <c r="E57" s="1" t="n">
        <v>46295</v>
      </c>
      <c r="F57" t="inlineStr">
        <is>
          <t>UPPSALA LÄN</t>
        </is>
      </c>
      <c r="G57" t="inlineStr">
        <is>
          <t>ÄLVKARLEBY</t>
        </is>
      </c>
      <c r="H57" t="inlineStr">
        <is>
          <t>Bergvik skog väst AB</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46295</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4134-2026</t>
        </is>
      </c>
      <c r="B59" t="inlineStr">
        <is>
          <t>avverkningsanmälan</t>
        </is>
      </c>
      <c r="C59" t="inlineStr">
        <is>
          <t>Föryngringsavverkning</t>
        </is>
      </c>
      <c r="D59" s="1" t="n">
        <v>46044</v>
      </c>
      <c r="E59" s="1" t="n">
        <v>46295</v>
      </c>
      <c r="F59" t="inlineStr">
        <is>
          <t>UPPSALA LÄN</t>
        </is>
      </c>
      <c r="G59" t="inlineStr">
        <is>
          <t>ÄLVKARLEBY</t>
        </is>
      </c>
      <c r="H59" t="inlineStr">
        <is>
          <t>Bergvik skog öst AB</t>
        </is>
      </c>
      <c r="I59" t="n">
        <v>5.1</v>
      </c>
      <c r="J59" t="n">
        <v>0</v>
      </c>
      <c r="K59" t="n">
        <v>0</v>
      </c>
      <c r="L59" t="n">
        <v>0</v>
      </c>
      <c r="M59" t="n">
        <v>0</v>
      </c>
      <c r="N59" t="n">
        <v>0</v>
      </c>
      <c r="O59" t="n">
        <v>0</v>
      </c>
      <c r="P59" t="n">
        <v>0</v>
      </c>
      <c r="Q59" t="n">
        <v>0</v>
      </c>
      <c r="R59" t="n">
        <v>0</v>
      </c>
      <c r="S59" t="n">
        <v>0</v>
      </c>
      <c r="T59" t="n">
        <v>0</v>
      </c>
      <c r="U59" t="n">
        <v>0</v>
      </c>
      <c r="V59" s="2" t="inlineStr"/>
    </row>
    <row r="60" ht="15" customHeight="1">
      <c r="A60" t="inlineStr">
        <is>
          <t>A 32187-2025</t>
        </is>
      </c>
      <c r="B60" t="inlineStr">
        <is>
          <t>avverkningsanmälan</t>
        </is>
      </c>
      <c r="C60" t="inlineStr">
        <is>
          <t>Föryngringsavverkning</t>
        </is>
      </c>
      <c r="D60" s="1" t="n">
        <v>45835</v>
      </c>
      <c r="E60" s="1" t="n">
        <v>46295</v>
      </c>
      <c r="F60" t="inlineStr">
        <is>
          <t>UPPSALA LÄN</t>
        </is>
      </c>
      <c r="G60" t="inlineStr">
        <is>
          <t>ÄLVKARLEBY</t>
        </is>
      </c>
      <c r="H60" t="inlineStr">
        <is>
          <t>Bergvik skog väst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16990-2022</t>
        </is>
      </c>
      <c r="B61" t="inlineStr">
        <is>
          <t>avverkningsanmälan</t>
        </is>
      </c>
      <c r="C61" t="inlineStr">
        <is>
          <t>Föryngringsavverkning</t>
        </is>
      </c>
      <c r="D61" s="1" t="n">
        <v>44676</v>
      </c>
      <c r="E61" s="1" t="n">
        <v>46295</v>
      </c>
      <c r="F61" t="inlineStr">
        <is>
          <t>UPPSALA LÄN</t>
        </is>
      </c>
      <c r="G61" t="inlineStr">
        <is>
          <t>ÄLVKARLEBY</t>
        </is>
      </c>
      <c r="H61" t="inlineStr">
        <is>
          <t>Bergvik skog väst AB</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50398-2025</t>
        </is>
      </c>
      <c r="B62" t="inlineStr">
        <is>
          <t>avverkningsanmälan</t>
        </is>
      </c>
      <c r="C62" t="inlineStr">
        <is>
          <t>Avverkning för att bevara och utveckla /försöksver</t>
        </is>
      </c>
      <c r="D62" s="1" t="n">
        <v>45944</v>
      </c>
      <c r="E62" s="1" t="n">
        <v>46295</v>
      </c>
      <c r="F62" t="inlineStr">
        <is>
          <t>UPPSALA LÄN</t>
        </is>
      </c>
      <c r="G62" t="inlineStr">
        <is>
          <t>ÄLVKARLEBY</t>
        </is>
      </c>
      <c r="H62" t="inlineStr">
        <is>
          <t>Bergvik skog väst AB</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50371-2025</t>
        </is>
      </c>
      <c r="B63" t="inlineStr">
        <is>
          <t>avverkningsanmälan</t>
        </is>
      </c>
      <c r="C63" t="inlineStr">
        <is>
          <t>Föryngringsavverkning</t>
        </is>
      </c>
      <c r="D63" s="1" t="n">
        <v>45944</v>
      </c>
      <c r="E63" s="1" t="n">
        <v>46295</v>
      </c>
      <c r="F63" t="inlineStr">
        <is>
          <t>UPPSALA LÄN</t>
        </is>
      </c>
      <c r="G63" t="inlineStr">
        <is>
          <t>ÄLVKARLEBY</t>
        </is>
      </c>
      <c r="H63" t="inlineStr">
        <is>
          <t>Bergvik skog väst AB</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51237-2025</t>
        </is>
      </c>
      <c r="B64" t="inlineStr">
        <is>
          <t>avverkningsanmälan</t>
        </is>
      </c>
      <c r="C64" t="inlineStr">
        <is>
          <t>Föryngringsavverkning</t>
        </is>
      </c>
      <c r="D64" s="1" t="n">
        <v>45947</v>
      </c>
      <c r="E64" s="1" t="n">
        <v>46295</v>
      </c>
      <c r="F64" t="inlineStr">
        <is>
          <t>UPPSALA LÄN</t>
        </is>
      </c>
      <c r="G64" t="inlineStr">
        <is>
          <t>ÄLVKARLEBY</t>
        </is>
      </c>
      <c r="H64" t="inlineStr">
        <is>
          <t>Bergvik skog väst AB</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46295</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46295</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46295</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46295</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46295</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9394-2026</t>
        </is>
      </c>
      <c r="B70" t="inlineStr">
        <is>
          <t>avverkningsanmälan</t>
        </is>
      </c>
      <c r="C70" t="inlineStr">
        <is>
          <t>Föryngringsavverkning</t>
        </is>
      </c>
      <c r="D70" s="1" t="n">
        <v>46071</v>
      </c>
      <c r="E70" s="1" t="n">
        <v>46295</v>
      </c>
      <c r="F70" t="inlineStr">
        <is>
          <t>UPPSALA LÄN</t>
        </is>
      </c>
      <c r="G70" t="inlineStr">
        <is>
          <t>ÄLVKARLEBY</t>
        </is>
      </c>
      <c r="H70" t="inlineStr">
        <is>
          <t>Bergvik skog väst AB</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58168-2025</t>
        </is>
      </c>
      <c r="B71" t="inlineStr">
        <is>
          <t>avverkningsanmälan</t>
        </is>
      </c>
      <c r="C71" t="inlineStr">
        <is>
          <t>Föryngringsavverkning</t>
        </is>
      </c>
      <c r="D71" s="1" t="n">
        <v>45982</v>
      </c>
      <c r="E71" s="1" t="n">
        <v>46295</v>
      </c>
      <c r="F71" t="inlineStr">
        <is>
          <t>UPPSALA LÄN</t>
        </is>
      </c>
      <c r="G71" t="inlineStr">
        <is>
          <t>ÄLVKARLEBY</t>
        </is>
      </c>
      <c r="H71" t="inlineStr">
        <is>
          <t>Bergvik skog väst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11467-2026</t>
        </is>
      </c>
      <c r="B72" t="inlineStr">
        <is>
          <t>avverkningsanmälan</t>
        </is>
      </c>
      <c r="C72" t="inlineStr">
        <is>
          <t>Föryngringsavverkning</t>
        </is>
      </c>
      <c r="D72" s="1" t="n">
        <v>46083</v>
      </c>
      <c r="E72" s="1" t="n">
        <v>46295</v>
      </c>
      <c r="F72" t="inlineStr">
        <is>
          <t>UPPSALA LÄN</t>
        </is>
      </c>
      <c r="G72" t="inlineStr">
        <is>
          <t>ÄLVKARLEBY</t>
        </is>
      </c>
      <c r="H72" t="inlineStr">
        <is>
          <t>Bergvik skog väst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46295</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26815-2022</t>
        </is>
      </c>
      <c r="B74" t="inlineStr">
        <is>
          <t>avverkningsanmälan</t>
        </is>
      </c>
      <c r="C74" t="inlineStr">
        <is>
          <t>Föryngringsavverkning</t>
        </is>
      </c>
      <c r="D74" s="1" t="n">
        <v>44740</v>
      </c>
      <c r="E74" s="1" t="n">
        <v>46295</v>
      </c>
      <c r="F74" t="inlineStr">
        <is>
          <t>UPPSALA LÄN</t>
        </is>
      </c>
      <c r="G74" t="inlineStr">
        <is>
          <t>ÄLVKARLEBY</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46295</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11848-2026</t>
        </is>
      </c>
      <c r="B76" t="inlineStr">
        <is>
          <t>avverkningsanmälan</t>
        </is>
      </c>
      <c r="C76" t="inlineStr">
        <is>
          <t>Föryngringsavverkning</t>
        </is>
      </c>
      <c r="D76" s="1" t="n">
        <v>46085</v>
      </c>
      <c r="E76" s="1" t="n">
        <v>46295</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46295</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46295</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46295</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46295</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46295</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41272-2023</t>
        </is>
      </c>
      <c r="B82" t="inlineStr">
        <is>
          <t>avverkningsanmälan</t>
        </is>
      </c>
      <c r="C82" t="inlineStr">
        <is>
          <t>Föryngringsavverkning</t>
        </is>
      </c>
      <c r="D82" s="1" t="n">
        <v>45174</v>
      </c>
      <c r="E82" s="1" t="n">
        <v>46295</v>
      </c>
      <c r="F82" t="inlineStr">
        <is>
          <t>UPPSALA LÄN</t>
        </is>
      </c>
      <c r="G82" t="inlineStr">
        <is>
          <t>ÄLVKARLEBY</t>
        </is>
      </c>
      <c r="H82" t="inlineStr">
        <is>
          <t>Bergvik skog väst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2183-2024</t>
        </is>
      </c>
      <c r="B83" t="inlineStr">
        <is>
          <t>avverkningsanmälan</t>
        </is>
      </c>
      <c r="C83" t="inlineStr">
        <is>
          <t>Föryngringsavverkning</t>
        </is>
      </c>
      <c r="D83" s="1" t="n">
        <v>45309</v>
      </c>
      <c r="E83" s="1" t="n">
        <v>46295</v>
      </c>
      <c r="F83" t="inlineStr">
        <is>
          <t>UPPSALA LÄN</t>
        </is>
      </c>
      <c r="G83" t="inlineStr">
        <is>
          <t>ÄLVKARLEBY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46295</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46113-2023</t>
        </is>
      </c>
      <c r="B85" t="inlineStr">
        <is>
          <t>avverkningsanmälan</t>
        </is>
      </c>
      <c r="C85" t="inlineStr">
        <is>
          <t>Föryngringsavverkning</t>
        </is>
      </c>
      <c r="D85" s="1" t="n">
        <v>45196</v>
      </c>
      <c r="E85" s="1" t="n">
        <v>46295</v>
      </c>
      <c r="F85" t="inlineStr">
        <is>
          <t>UPPSALA LÄN</t>
        </is>
      </c>
      <c r="G85" t="inlineStr">
        <is>
          <t>ÄLVKARLEBY</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46295</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30234-2026</t>
        </is>
      </c>
      <c r="B87" t="inlineStr">
        <is>
          <t>avverkningsanmälan</t>
        </is>
      </c>
      <c r="C87" t="inlineStr">
        <is>
          <t>Föryngringsavverkning</t>
        </is>
      </c>
      <c r="D87" s="1" t="n">
        <v>46206</v>
      </c>
      <c r="E87" s="1" t="n">
        <v>46295</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46295</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46295</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46295</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14590-2023</t>
        </is>
      </c>
      <c r="B91" t="inlineStr">
        <is>
          <t>avverkningsanmälan</t>
        </is>
      </c>
      <c r="C91" t="inlineStr">
        <is>
          <t>Föryngringsavverkning</t>
        </is>
      </c>
      <c r="D91" s="1" t="n">
        <v>45013</v>
      </c>
      <c r="E91" s="1" t="n">
        <v>46295</v>
      </c>
      <c r="F91" t="inlineStr">
        <is>
          <t>UPPSALA LÄN</t>
        </is>
      </c>
      <c r="G91" t="inlineStr">
        <is>
          <t>ÄLVKARLEBY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38636-2026</t>
        </is>
      </c>
      <c r="B92" t="inlineStr">
        <is>
          <t>avverkningsanmälan</t>
        </is>
      </c>
      <c r="C92" t="inlineStr">
        <is>
          <t>Föryngringsavverkning</t>
        </is>
      </c>
      <c r="D92" s="1" t="n">
        <v>46283</v>
      </c>
      <c r="E92" s="1" t="n">
        <v>46295</v>
      </c>
      <c r="F92" t="inlineStr">
        <is>
          <t>UPPSALA LÄN</t>
        </is>
      </c>
      <c r="G92" t="inlineStr">
        <is>
          <t>ÄLVKARLEBY</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38617-2026</t>
        </is>
      </c>
      <c r="B93" t="inlineStr">
        <is>
          <t>avverkningsanmälan</t>
        </is>
      </c>
      <c r="C93" t="inlineStr">
        <is>
          <t>Föryngringsavverkning</t>
        </is>
      </c>
      <c r="D93" s="1" t="n">
        <v>46283</v>
      </c>
      <c r="E93" s="1" t="n">
        <v>46295</v>
      </c>
      <c r="F93" t="inlineStr">
        <is>
          <t>UPPSALA LÄN</t>
        </is>
      </c>
      <c r="G93" t="inlineStr">
        <is>
          <t>ÄLVKARLEBY</t>
        </is>
      </c>
      <c r="H93" t="inlineStr">
        <is>
          <t>Bergvik skog väst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9533-2025</t>
        </is>
      </c>
      <c r="B94" t="inlineStr">
        <is>
          <t>avverkningsanmälan</t>
        </is>
      </c>
      <c r="C94" t="inlineStr">
        <is>
          <t>Föryngringsavverkning</t>
        </is>
      </c>
      <c r="D94" s="1" t="n">
        <v>45715</v>
      </c>
      <c r="E94" s="1" t="n">
        <v>46295</v>
      </c>
      <c r="F94" t="inlineStr">
        <is>
          <t>UPPSALA LÄN</t>
        </is>
      </c>
      <c r="G94" t="inlineStr">
        <is>
          <t>ÄLVKARLEBY</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46295</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c r="A96" t="inlineStr">
        <is>
          <t>A 40057-2026</t>
        </is>
      </c>
      <c r="B96" t="inlineStr">
        <is>
          <t>avverkningsanmälan</t>
        </is>
      </c>
      <c r="C96" t="inlineStr">
        <is>
          <t>Föryngringsavverkning</t>
        </is>
      </c>
      <c r="D96" s="1" t="n">
        <v>46293</v>
      </c>
      <c r="E96" s="1" t="n">
        <v>46295</v>
      </c>
      <c r="F96" t="inlineStr">
        <is>
          <t>UPPSALA LÄN</t>
        </is>
      </c>
      <c r="G96" t="inlineStr">
        <is>
          <t>ÄLVKARLEBY</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2026-09-30T02:01:12Z</dcterms:created>
  <dcterms:modified xmlns:dcterms="http://purl.org/dc/terms/" xmlns:xsi="http://www.w3.org/2001/XMLSchema-instance" xsi:type="dcterms:W3CDTF">2026-09-30T02:01:12Z</dcterms:modified>
</cp:coreProperties>
</file>