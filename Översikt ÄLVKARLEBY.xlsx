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46309</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46309</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46309</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46309</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46309</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46309</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46309</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46309</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46309</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46309</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46309</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46309</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46309</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46309</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46309</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46309</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46309</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61693-2025</t>
        </is>
      </c>
      <c r="B24" t="inlineStr">
        <is>
          <t>avverkningsanmälan</t>
        </is>
      </c>
      <c r="C24" t="inlineStr">
        <is>
          <t>Föryngringsavverkning</t>
        </is>
      </c>
      <c r="D24" s="1" t="n">
        <v>46002</v>
      </c>
      <c r="E24" s="1" t="n">
        <v>46309</v>
      </c>
      <c r="F24" t="inlineStr">
        <is>
          <t>UPPSALA LÄN</t>
        </is>
      </c>
      <c r="G24" t="inlineStr">
        <is>
          <t>ÄLVKARLEBY</t>
        </is>
      </c>
      <c r="H24" t="inlineStr">
        <is>
          <t>Bergvik skog öst AB</t>
        </is>
      </c>
      <c r="I24" t="n">
        <v>9.199999999999999</v>
      </c>
      <c r="J24" t="n">
        <v>0</v>
      </c>
      <c r="K24" t="n">
        <v>1</v>
      </c>
      <c r="L24" t="n">
        <v>2</v>
      </c>
      <c r="M24" t="n">
        <v>0</v>
      </c>
      <c r="N24" t="n">
        <v>0</v>
      </c>
      <c r="O24" t="n">
        <v>0</v>
      </c>
      <c r="P24" t="n">
        <v>0</v>
      </c>
      <c r="Q24" t="n">
        <v>2</v>
      </c>
      <c r="R24" t="n">
        <v>0</v>
      </c>
      <c r="S24" t="n">
        <v>3</v>
      </c>
      <c r="T24" t="n">
        <v>4</v>
      </c>
      <c r="U24" t="n">
        <v>4</v>
      </c>
      <c r="V24" s="2" t="inlineStr">
        <is>
          <t>Sårläka
Vedtrappmossa
Brandticka</t>
        </is>
      </c>
      <c r="W24">
        <f>HYPERLINK("https://klasma.github.io/Logging_0319/artfynd/A 61693-2025 artfynd.xlsx", "A 61693-2025")</f>
        <v/>
      </c>
      <c r="X24">
        <f>HYPERLINK("https://klasma.github.io/Logging_0319/kartor/A 61693-2025 karta.png", "A 61693-2025")</f>
        <v/>
      </c>
      <c r="Y24">
        <f>HYPERLINK("https://klasma.github.io/Logging_0319/kartor_geotiff/A 61693-2025 georefererad karta.tif", "A 61693-2025")</f>
        <v/>
      </c>
      <c r="AA24">
        <f>HYPERLINK("https://klasma.github.io/Logging_0319/klagomål/A 61693-2025 FSC-klagomål.docx", "A 61693-2025")</f>
        <v/>
      </c>
      <c r="AB24">
        <f>HYPERLINK("https://klasma.github.io/Logging_0319/klagomålsmail/A 61693-2025 FSC-klagomål mail.docx", "A 61693-2025")</f>
        <v/>
      </c>
      <c r="AC24">
        <f>HYPERLINK("https://klasma.github.io/Logging_0319/tillsyn/A 61693-2025 tillsynsbegäran.docx", "A 61693-2025")</f>
        <v/>
      </c>
      <c r="AD24">
        <f>HYPERLINK("https://klasma.github.io/Logging_0319/tillsynsmail/A 61693-2025 tillsynsbegäran mail.docx", "A 61693-2025")</f>
        <v/>
      </c>
    </row>
    <row r="25" ht="15" customHeight="1">
      <c r="A25" t="inlineStr">
        <is>
          <t>A 61685-2025</t>
        </is>
      </c>
      <c r="B25" t="inlineStr">
        <is>
          <t>avverkningsanmälan</t>
        </is>
      </c>
      <c r="C25" t="inlineStr">
        <is>
          <t>Föryngringsavverkning</t>
        </is>
      </c>
      <c r="D25" s="1" t="n">
        <v>46002</v>
      </c>
      <c r="E25" s="1" t="n">
        <v>46309</v>
      </c>
      <c r="F25" t="inlineStr">
        <is>
          <t>UPPSALA LÄN</t>
        </is>
      </c>
      <c r="G25" t="inlineStr">
        <is>
          <t>ÄLVKARLEBY</t>
        </is>
      </c>
      <c r="H25" t="inlineStr">
        <is>
          <t>Bergvik skog öst AB</t>
        </is>
      </c>
      <c r="I25" t="n">
        <v>1</v>
      </c>
      <c r="J25" t="n">
        <v>2</v>
      </c>
      <c r="K25" t="n">
        <v>1</v>
      </c>
      <c r="L25" t="n">
        <v>1</v>
      </c>
      <c r="M25" t="n">
        <v>0</v>
      </c>
      <c r="N25" t="n">
        <v>0</v>
      </c>
      <c r="O25" t="n">
        <v>0</v>
      </c>
      <c r="P25" t="n">
        <v>0</v>
      </c>
      <c r="Q25" t="n">
        <v>1</v>
      </c>
      <c r="R25" t="n">
        <v>0</v>
      </c>
      <c r="S25" t="n">
        <v>3</v>
      </c>
      <c r="T25" t="n">
        <v>3</v>
      </c>
      <c r="U25" t="n">
        <v>0</v>
      </c>
      <c r="V25" s="2" t="inlineStr">
        <is>
          <t>Klasefibbla
Tvåblad
Kärrknipprot</t>
        </is>
      </c>
      <c r="W25">
        <f>HYPERLINK("https://klasma.github.io/Logging_0319/artfynd/A 61685-2025 artfynd.xlsx", "A 61685-2025")</f>
        <v/>
      </c>
      <c r="X25">
        <f>HYPERLINK("https://klasma.github.io/Logging_0319/kartor/A 61685-2025 karta.png", "A 61685-2025")</f>
        <v/>
      </c>
      <c r="Y25">
        <f>HYPERLINK("https://klasma.github.io/Logging_0319/kartor_geotiff/A 61685-2025 georefererad karta.tif", "A 61685-2025")</f>
        <v/>
      </c>
      <c r="AA25">
        <f>HYPERLINK("https://klasma.github.io/Logging_0319/klagomål/A 61685-2025 FSC-klagomål.docx", "A 61685-2025")</f>
        <v/>
      </c>
      <c r="AB25">
        <f>HYPERLINK("https://klasma.github.io/Logging_0319/klagomålsmail/A 61685-2025 FSC-klagomål mail.docx", "A 61685-2025")</f>
        <v/>
      </c>
      <c r="AC25">
        <f>HYPERLINK("https://klasma.github.io/Logging_0319/tillsyn/A 61685-2025 tillsynsbegäran.docx", "A 61685-2025")</f>
        <v/>
      </c>
      <c r="AD25">
        <f>HYPERLINK("https://klasma.github.io/Logging_0319/tillsynsmail/A 61685-2025 tillsynsbegäran mail.docx", "A 61685-2025")</f>
        <v/>
      </c>
    </row>
    <row r="26" ht="15" customHeight="1">
      <c r="A26" t="inlineStr">
        <is>
          <t>A 21700-2024</t>
        </is>
      </c>
      <c r="B26" t="inlineStr">
        <is>
          <t>avverkningsanmälan</t>
        </is>
      </c>
      <c r="C26" t="inlineStr">
        <is>
          <t>Föryngringsavverkning</t>
        </is>
      </c>
      <c r="D26" s="1" t="n">
        <v>45442</v>
      </c>
      <c r="E26" s="1" t="n">
        <v>46309</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15739-2025</t>
        </is>
      </c>
      <c r="B27" t="inlineStr">
        <is>
          <t>avverkningsanmälan</t>
        </is>
      </c>
      <c r="C27" t="inlineStr">
        <is>
          <t>Föryngringsavverkning</t>
        </is>
      </c>
      <c r="D27" s="1" t="n">
        <v>45748</v>
      </c>
      <c r="E27" s="1" t="n">
        <v>46309</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46309</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46309</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46309</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46309</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19303-2024</t>
        </is>
      </c>
      <c r="B32" t="inlineStr">
        <is>
          <t>avverkningsanmälan</t>
        </is>
      </c>
      <c r="C32" t="inlineStr">
        <is>
          <t>Föryngringsavverkning</t>
        </is>
      </c>
      <c r="D32" s="1" t="n">
        <v>45428</v>
      </c>
      <c r="E32" s="1" t="n">
        <v>46309</v>
      </c>
      <c r="F32" t="inlineStr">
        <is>
          <t>UPPSALA LÄN</t>
        </is>
      </c>
      <c r="G32" t="inlineStr">
        <is>
          <t>ÄLVKARLEBY</t>
        </is>
      </c>
      <c r="I32" t="n">
        <v>0.4</v>
      </c>
      <c r="J32" t="n">
        <v>1</v>
      </c>
      <c r="K32" t="n">
        <v>0</v>
      </c>
      <c r="L32" t="n">
        <v>0</v>
      </c>
      <c r="M32" t="n">
        <v>1</v>
      </c>
      <c r="N32" t="n">
        <v>0</v>
      </c>
      <c r="O32" t="n">
        <v>0</v>
      </c>
      <c r="P32" t="n">
        <v>0</v>
      </c>
      <c r="Q32" t="n">
        <v>1</v>
      </c>
      <c r="R32" t="n">
        <v>1</v>
      </c>
      <c r="S32" t="n">
        <v>1</v>
      </c>
      <c r="T32" t="n">
        <v>1</v>
      </c>
      <c r="U32" t="n">
        <v>1</v>
      </c>
      <c r="V32" s="2" t="inlineStr">
        <is>
          <t>Gölgroda</t>
        </is>
      </c>
      <c r="W32">
        <f>HYPERLINK("https://klasma.github.io/Logging_0319/artfynd/A 19303-2024 artfynd.xlsx", "A 19303-2024")</f>
        <v/>
      </c>
      <c r="X32">
        <f>HYPERLINK("https://klasma.github.io/Logging_0319/kartor/A 19303-2024 karta.png", "A 19303-2024")</f>
        <v/>
      </c>
      <c r="Y32">
        <f>HYPERLINK("https://klasma.github.io/Logging_0319/kartor_geotiff/A 19303-2024 georefererad karta.tif", "A 19303-2024")</f>
        <v/>
      </c>
      <c r="AA32">
        <f>HYPERLINK("https://klasma.github.io/Logging_0319/klagomål/A 19303-2024 FSC-klagomål.docx", "A 19303-2024")</f>
        <v/>
      </c>
      <c r="AB32">
        <f>HYPERLINK("https://klasma.github.io/Logging_0319/klagomålsmail/A 19303-2024 FSC-klagomål mail.docx", "A 19303-2024")</f>
        <v/>
      </c>
      <c r="AC32">
        <f>HYPERLINK("https://klasma.github.io/Logging_0319/tillsyn/A 19303-2024 tillsynsbegäran.docx", "A 19303-2024")</f>
        <v/>
      </c>
      <c r="AD32">
        <f>HYPERLINK("https://klasma.github.io/Logging_0319/tillsynsmail/A 19303-2024 tillsynsbegäran mail.docx", "A 19303-2024")</f>
        <v/>
      </c>
    </row>
    <row r="33" ht="15" customHeight="1">
      <c r="A33" t="inlineStr">
        <is>
          <t>A 1673-2026</t>
        </is>
      </c>
      <c r="B33" t="inlineStr">
        <is>
          <t>avverkningsanmälan</t>
        </is>
      </c>
      <c r="C33" t="inlineStr">
        <is>
          <t>Föryngringsavverkning</t>
        </is>
      </c>
      <c r="D33" s="1" t="n">
        <v>46034</v>
      </c>
      <c r="E33" s="1" t="n">
        <v>46309</v>
      </c>
      <c r="F33" t="inlineStr">
        <is>
          <t>UPPSALA LÄN</t>
        </is>
      </c>
      <c r="G33" t="inlineStr">
        <is>
          <t>ÄLVKARLEBY</t>
        </is>
      </c>
      <c r="H33" t="inlineStr">
        <is>
          <t>Bergvik skog väst AB</t>
        </is>
      </c>
      <c r="I33" t="n">
        <v>1.9</v>
      </c>
      <c r="J33" t="n">
        <v>0</v>
      </c>
      <c r="K33" t="n">
        <v>1</v>
      </c>
      <c r="L33" t="n">
        <v>0</v>
      </c>
      <c r="M33" t="n">
        <v>0</v>
      </c>
      <c r="N33" t="n">
        <v>0</v>
      </c>
      <c r="O33" t="n">
        <v>0</v>
      </c>
      <c r="P33" t="n">
        <v>0</v>
      </c>
      <c r="Q33" t="n">
        <v>0</v>
      </c>
      <c r="R33" t="n">
        <v>0</v>
      </c>
      <c r="S33" t="n">
        <v>1</v>
      </c>
      <c r="T33" t="n">
        <v>1</v>
      </c>
      <c r="U33" t="n">
        <v>0</v>
      </c>
      <c r="V33" s="2" t="inlineStr">
        <is>
          <t>Tibast</t>
        </is>
      </c>
      <c r="W33">
        <f>HYPERLINK("https://klasma.github.io/Logging_0319/artfynd/A 1673-2026 artfynd.xlsx", "A 1673-2026")</f>
        <v/>
      </c>
      <c r="X33">
        <f>HYPERLINK("https://klasma.github.io/Logging_0319/kartor/A 1673-2026 karta.png", "A 1673-2026")</f>
        <v/>
      </c>
      <c r="Y33">
        <f>HYPERLINK("https://klasma.github.io/Logging_0319/kartor_geotiff/A 1673-2026 georefererad karta.tif", "A 1673-2026")</f>
        <v/>
      </c>
      <c r="AA33">
        <f>HYPERLINK("https://klasma.github.io/Logging_0319/klagomål/A 1673-2026 FSC-klagomål.docx", "A 1673-2026")</f>
        <v/>
      </c>
      <c r="AB33">
        <f>HYPERLINK("https://klasma.github.io/Logging_0319/klagomålsmail/A 1673-2026 FSC-klagomål mail.docx", "A 1673-2026")</f>
        <v/>
      </c>
      <c r="AC33">
        <f>HYPERLINK("https://klasma.github.io/Logging_0319/tillsyn/A 1673-2026 tillsynsbegäran.docx", "A 1673-2026")</f>
        <v/>
      </c>
      <c r="AD33">
        <f>HYPERLINK("https://klasma.github.io/Logging_0319/tillsynsmail/A 1673-2026 tillsynsbegäran mail.docx", "A 1673-2026")</f>
        <v/>
      </c>
    </row>
    <row r="34" ht="15" customHeight="1">
      <c r="A34" t="inlineStr">
        <is>
          <t>A 51238-2025</t>
        </is>
      </c>
      <c r="B34" t="inlineStr">
        <is>
          <t>avverkningsanmälan</t>
        </is>
      </c>
      <c r="C34" t="inlineStr">
        <is>
          <t>Föryngringsavverkning</t>
        </is>
      </c>
      <c r="D34" s="1" t="n">
        <v>45947</v>
      </c>
      <c r="E34" s="1" t="n">
        <v>46309</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19300-2024</t>
        </is>
      </c>
      <c r="B35" t="inlineStr">
        <is>
          <t>avverkningsanmälan</t>
        </is>
      </c>
      <c r="C35" t="inlineStr">
        <is>
          <t>Föryngringsavverkning</t>
        </is>
      </c>
      <c r="D35" s="1" t="n">
        <v>45428</v>
      </c>
      <c r="E35" s="1" t="n">
        <v>46309</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57734-2025</t>
        </is>
      </c>
      <c r="B36" t="inlineStr">
        <is>
          <t>avverkningsanmälan</t>
        </is>
      </c>
      <c r="C36" t="inlineStr">
        <is>
          <t>Föryngringsavverkning</t>
        </is>
      </c>
      <c r="D36" s="1" t="n">
        <v>45981</v>
      </c>
      <c r="E36" s="1" t="n">
        <v>46309</v>
      </c>
      <c r="F36" t="inlineStr">
        <is>
          <t>UPPSALA LÄN</t>
        </is>
      </c>
      <c r="G36" t="inlineStr">
        <is>
          <t>ÄLVKARLEBY</t>
        </is>
      </c>
      <c r="H36" t="inlineStr">
        <is>
          <t>Bergvik skog väst AB</t>
        </is>
      </c>
      <c r="I36" t="n">
        <v>1.3</v>
      </c>
      <c r="J36" t="n">
        <v>1</v>
      </c>
      <c r="K36" t="n">
        <v>0</v>
      </c>
      <c r="L36" t="n">
        <v>0</v>
      </c>
      <c r="M36" t="n">
        <v>1</v>
      </c>
      <c r="N36" t="n">
        <v>0</v>
      </c>
      <c r="O36" t="n">
        <v>0</v>
      </c>
      <c r="P36" t="n">
        <v>0</v>
      </c>
      <c r="Q36" t="n">
        <v>1</v>
      </c>
      <c r="R36" t="n">
        <v>1</v>
      </c>
      <c r="S36" t="n">
        <v>1</v>
      </c>
      <c r="T36" t="n">
        <v>1</v>
      </c>
      <c r="U36" t="n">
        <v>0</v>
      </c>
      <c r="V36" s="2" t="inlineStr">
        <is>
          <t>Gölgroda</t>
        </is>
      </c>
      <c r="W36">
        <f>HYPERLINK("https://klasma.github.io/Logging_0319/artfynd/A 57734-2025 artfynd.xlsx", "A 57734-2025")</f>
        <v/>
      </c>
      <c r="X36">
        <f>HYPERLINK("https://klasma.github.io/Logging_0319/kartor/A 57734-2025 karta.png", "A 57734-2025")</f>
        <v/>
      </c>
      <c r="Y36">
        <f>HYPERLINK("https://klasma.github.io/Logging_0319/kartor_geotiff/A 57734-2025 georefererad karta.tif", "A 57734-2025")</f>
        <v/>
      </c>
      <c r="AA36">
        <f>HYPERLINK("https://klasma.github.io/Logging_0319/klagomål/A 57734-2025 FSC-klagomål.docx", "A 57734-2025")</f>
        <v/>
      </c>
      <c r="AB36">
        <f>HYPERLINK("https://klasma.github.io/Logging_0319/klagomålsmail/A 57734-2025 FSC-klagomål mail.docx", "A 57734-2025")</f>
        <v/>
      </c>
      <c r="AC36">
        <f>HYPERLINK("https://klasma.github.io/Logging_0319/tillsyn/A 57734-2025 tillsynsbegäran.docx", "A 57734-2025")</f>
        <v/>
      </c>
      <c r="AD36">
        <f>HYPERLINK("https://klasma.github.io/Logging_0319/tillsynsmail/A 57734-2025 tillsynsbegäran mail.docx", "A 57734-2025")</f>
        <v/>
      </c>
    </row>
    <row r="37" ht="15" customHeight="1">
      <c r="A37" t="inlineStr">
        <is>
          <t>A 63004-2025</t>
        </is>
      </c>
      <c r="B37" t="inlineStr">
        <is>
          <t>avverkningsanmälan</t>
        </is>
      </c>
      <c r="C37" t="inlineStr">
        <is>
          <t>Föryngringsavverkning</t>
        </is>
      </c>
      <c r="D37" s="1" t="n">
        <v>46009</v>
      </c>
      <c r="E37" s="1" t="n">
        <v>46309</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7286-2023</t>
        </is>
      </c>
      <c r="B38" t="inlineStr">
        <is>
          <t>avverkningsanmälan</t>
        </is>
      </c>
      <c r="C38" t="inlineStr">
        <is>
          <t>Avverkning för annat ändamål</t>
        </is>
      </c>
      <c r="D38" s="1" t="n">
        <v>44970</v>
      </c>
      <c r="E38" s="1" t="n">
        <v>46309</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14127-2026</t>
        </is>
      </c>
      <c r="B39" t="inlineStr">
        <is>
          <t>avverkningsanmälan</t>
        </is>
      </c>
      <c r="C39" t="inlineStr">
        <is>
          <t>Föryngringsavverkning</t>
        </is>
      </c>
      <c r="D39" s="1" t="n">
        <v>46099</v>
      </c>
      <c r="E39" s="1" t="n">
        <v>46309</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10455-2022</t>
        </is>
      </c>
      <c r="B40" t="inlineStr">
        <is>
          <t>avverkningsanmälan</t>
        </is>
      </c>
      <c r="C40" t="inlineStr">
        <is>
          <t>Föryngringsavverkning</t>
        </is>
      </c>
      <c r="D40" s="1" t="n">
        <v>44623</v>
      </c>
      <c r="E40" s="1" t="n">
        <v>46309</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70017-2021</t>
        </is>
      </c>
      <c r="B41" t="inlineStr">
        <is>
          <t>avverkningsanmälan</t>
        </is>
      </c>
      <c r="C41" t="inlineStr">
        <is>
          <t>Föryngringsavverkning</t>
        </is>
      </c>
      <c r="D41" s="1" t="n">
        <v>44533</v>
      </c>
      <c r="E41" s="1" t="n">
        <v>46309</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19304-2024</t>
        </is>
      </c>
      <c r="B42" t="inlineStr">
        <is>
          <t>avverkningsanmälan</t>
        </is>
      </c>
      <c r="C42" t="inlineStr">
        <is>
          <t>Föryngringsavverkning</t>
        </is>
      </c>
      <c r="D42" s="1" t="n">
        <v>45428</v>
      </c>
      <c r="E42" s="1" t="n">
        <v>46309</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46309</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46309</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42379-2026</t>
        </is>
      </c>
      <c r="B45" t="inlineStr">
        <is>
          <t>avverkningsanmälan</t>
        </is>
      </c>
      <c r="C45" t="inlineStr">
        <is>
          <t>Avverkning för att bevara och utveckla /försöksver</t>
        </is>
      </c>
      <c r="D45" s="1" t="n">
        <v>46307</v>
      </c>
      <c r="E45" s="1" t="n">
        <v>46309</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46309</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46309</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36216-2022</t>
        </is>
      </c>
      <c r="B48" t="inlineStr">
        <is>
          <t>avverkningsanmälan</t>
        </is>
      </c>
      <c r="C48" t="inlineStr">
        <is>
          <t>Avverkning för annat ändamål</t>
        </is>
      </c>
      <c r="D48" s="1" t="n">
        <v>44803</v>
      </c>
      <c r="E48" s="1" t="n">
        <v>46309</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61839-2025</t>
        </is>
      </c>
      <c r="B49" t="inlineStr">
        <is>
          <t>avverkningsanmälan</t>
        </is>
      </c>
      <c r="C49" t="inlineStr">
        <is>
          <t>Föryngringsavverkning</t>
        </is>
      </c>
      <c r="D49" s="1" t="n">
        <v>46003</v>
      </c>
      <c r="E49" s="1" t="n">
        <v>46309</v>
      </c>
      <c r="F49" t="inlineStr">
        <is>
          <t>UPPSALA LÄN</t>
        </is>
      </c>
      <c r="G49" t="inlineStr">
        <is>
          <t>ÄLVKARLEBY</t>
        </is>
      </c>
      <c r="H49" t="inlineStr">
        <is>
          <t>Bergvik skog väst AB</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25330-2025</t>
        </is>
      </c>
      <c r="B50" t="inlineStr">
        <is>
          <t>avverkningsanmälan</t>
        </is>
      </c>
      <c r="C50" t="inlineStr">
        <is>
          <t>Föryngringsavverkning</t>
        </is>
      </c>
      <c r="D50" s="1" t="n">
        <v>45800</v>
      </c>
      <c r="E50" s="1" t="n">
        <v>46309</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46309</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38226-2023</t>
        </is>
      </c>
      <c r="B52" t="inlineStr">
        <is>
          <t>avverkningsanmälan</t>
        </is>
      </c>
      <c r="C52" t="inlineStr">
        <is>
          <t>Föryngringsavverkning</t>
        </is>
      </c>
      <c r="D52" s="1" t="n">
        <v>45161</v>
      </c>
      <c r="E52" s="1" t="n">
        <v>46309</v>
      </c>
      <c r="F52" t="inlineStr">
        <is>
          <t>UPPSALA LÄN</t>
        </is>
      </c>
      <c r="G52" t="inlineStr">
        <is>
          <t>ÄLVKARLEBY</t>
        </is>
      </c>
      <c r="H52" t="inlineStr">
        <is>
          <t>Bergvik skog väst AB</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46510-2025</t>
        </is>
      </c>
      <c r="B53" t="inlineStr">
        <is>
          <t>avverkningsanmälan</t>
        </is>
      </c>
      <c r="C53" t="inlineStr">
        <is>
          <t>Föryngringsavverkning</t>
        </is>
      </c>
      <c r="D53" s="1" t="n">
        <v>45925</v>
      </c>
      <c r="E53" s="1" t="n">
        <v>46309</v>
      </c>
      <c r="F53" t="inlineStr">
        <is>
          <t>UPPSALA LÄN</t>
        </is>
      </c>
      <c r="G53" t="inlineStr">
        <is>
          <t>ÄLVKARLEBY</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46309</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46309</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50398-2025</t>
        </is>
      </c>
      <c r="B56" t="inlineStr">
        <is>
          <t>avverkningsanmälan</t>
        </is>
      </c>
      <c r="C56" t="inlineStr">
        <is>
          <t>Avverkning för att bevara och utveckla /försöksver</t>
        </is>
      </c>
      <c r="D56" s="1" t="n">
        <v>45944</v>
      </c>
      <c r="E56" s="1" t="n">
        <v>46309</v>
      </c>
      <c r="F56" t="inlineStr">
        <is>
          <t>UPPSALA LÄN</t>
        </is>
      </c>
      <c r="G56" t="inlineStr">
        <is>
          <t>ÄLVKARLEBY</t>
        </is>
      </c>
      <c r="H56" t="inlineStr">
        <is>
          <t>Bergvik skog väst AB</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50371-2025</t>
        </is>
      </c>
      <c r="B57" t="inlineStr">
        <is>
          <t>avverkningsanmälan</t>
        </is>
      </c>
      <c r="C57" t="inlineStr">
        <is>
          <t>Föryngringsavverkning</t>
        </is>
      </c>
      <c r="D57" s="1" t="n">
        <v>45944</v>
      </c>
      <c r="E57" s="1" t="n">
        <v>46309</v>
      </c>
      <c r="F57" t="inlineStr">
        <is>
          <t>UPPSALA LÄN</t>
        </is>
      </c>
      <c r="G57" t="inlineStr">
        <is>
          <t>ÄLVKARLEBY</t>
        </is>
      </c>
      <c r="H57" t="inlineStr">
        <is>
          <t>Bergvik skog väst AB</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51237-2025</t>
        </is>
      </c>
      <c r="B58" t="inlineStr">
        <is>
          <t>avverkningsanmälan</t>
        </is>
      </c>
      <c r="C58" t="inlineStr">
        <is>
          <t>Föryngringsavverkning</t>
        </is>
      </c>
      <c r="D58" s="1" t="n">
        <v>45947</v>
      </c>
      <c r="E58" s="1" t="n">
        <v>46309</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16990-2022</t>
        </is>
      </c>
      <c r="B59" t="inlineStr">
        <is>
          <t>avverkningsanmälan</t>
        </is>
      </c>
      <c r="C59" t="inlineStr">
        <is>
          <t>Föryngringsavverkning</t>
        </is>
      </c>
      <c r="D59" s="1" t="n">
        <v>44676</v>
      </c>
      <c r="E59" s="1" t="n">
        <v>46309</v>
      </c>
      <c r="F59" t="inlineStr">
        <is>
          <t>UPPSALA LÄN</t>
        </is>
      </c>
      <c r="G59" t="inlineStr">
        <is>
          <t>ÄLVKARLEBY</t>
        </is>
      </c>
      <c r="H59" t="inlineStr">
        <is>
          <t>Bergvik skog väst AB</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46309</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46309</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53173-2025</t>
        </is>
      </c>
      <c r="B62" t="inlineStr">
        <is>
          <t>avverkningsanmälan</t>
        </is>
      </c>
      <c r="C62" t="inlineStr">
        <is>
          <t>Föryngringsavverkning</t>
        </is>
      </c>
      <c r="D62" s="1" t="n">
        <v>45958</v>
      </c>
      <c r="E62" s="1" t="n">
        <v>46309</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46309</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56861-2025</t>
        </is>
      </c>
      <c r="B64" t="inlineStr">
        <is>
          <t>avverkningsanmälan</t>
        </is>
      </c>
      <c r="C64" t="inlineStr">
        <is>
          <t>Avverkning för att bevara och utveckla /försöksver</t>
        </is>
      </c>
      <c r="D64" s="1" t="n">
        <v>45978</v>
      </c>
      <c r="E64" s="1" t="n">
        <v>46309</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58168-2025</t>
        </is>
      </c>
      <c r="B65" t="inlineStr">
        <is>
          <t>avverkningsanmälan</t>
        </is>
      </c>
      <c r="C65" t="inlineStr">
        <is>
          <t>Föryngringsavverkning</t>
        </is>
      </c>
      <c r="D65" s="1" t="n">
        <v>45982</v>
      </c>
      <c r="E65" s="1" t="n">
        <v>46309</v>
      </c>
      <c r="F65" t="inlineStr">
        <is>
          <t>UPPSALA LÄN</t>
        </is>
      </c>
      <c r="G65" t="inlineStr">
        <is>
          <t>ÄLVKARLEBY</t>
        </is>
      </c>
      <c r="H65" t="inlineStr">
        <is>
          <t>Bergvik skog väst AB</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60256-2025</t>
        </is>
      </c>
      <c r="B66" t="inlineStr">
        <is>
          <t>avverkningsanmälan</t>
        </is>
      </c>
      <c r="C66" t="inlineStr">
        <is>
          <t>Föryngringsavverkning</t>
        </is>
      </c>
      <c r="D66" s="1" t="n">
        <v>45994</v>
      </c>
      <c r="E66" s="1" t="n">
        <v>46309</v>
      </c>
      <c r="F66" t="inlineStr">
        <is>
          <t>UPPSALA LÄN</t>
        </is>
      </c>
      <c r="G66" t="inlineStr">
        <is>
          <t>ÄLVKARLEBY</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60842-2025</t>
        </is>
      </c>
      <c r="B67" t="inlineStr">
        <is>
          <t>avverkningsanmälan</t>
        </is>
      </c>
      <c r="C67" t="inlineStr">
        <is>
          <t>Avverkning för att bevara och utveckla /försöksver</t>
        </is>
      </c>
      <c r="D67" s="1" t="n">
        <v>45999</v>
      </c>
      <c r="E67" s="1" t="n">
        <v>46309</v>
      </c>
      <c r="F67" t="inlineStr">
        <is>
          <t>UPPSALA LÄN</t>
        </is>
      </c>
      <c r="G67" t="inlineStr">
        <is>
          <t>ÄLVKARLEBY</t>
        </is>
      </c>
      <c r="H67" t="inlineStr">
        <is>
          <t>Bergvik skog väst AB</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9394-2026</t>
        </is>
      </c>
      <c r="B68" t="inlineStr">
        <is>
          <t>avverkningsanmälan</t>
        </is>
      </c>
      <c r="C68" t="inlineStr">
        <is>
          <t>Föryngringsavverkning</t>
        </is>
      </c>
      <c r="D68" s="1" t="n">
        <v>46071</v>
      </c>
      <c r="E68" s="1" t="n">
        <v>46309</v>
      </c>
      <c r="F68" t="inlineStr">
        <is>
          <t>UPPSALA LÄN</t>
        </is>
      </c>
      <c r="G68" t="inlineStr">
        <is>
          <t>ÄLVKARLEBY</t>
        </is>
      </c>
      <c r="H68" t="inlineStr">
        <is>
          <t>Bergvik skog väst AB</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61694-2025</t>
        </is>
      </c>
      <c r="B69" t="inlineStr">
        <is>
          <t>avverkningsanmälan</t>
        </is>
      </c>
      <c r="C69" t="inlineStr">
        <is>
          <t>Föryngringsavverkning</t>
        </is>
      </c>
      <c r="D69" s="1" t="n">
        <v>46002</v>
      </c>
      <c r="E69" s="1" t="n">
        <v>46309</v>
      </c>
      <c r="F69" t="inlineStr">
        <is>
          <t>UPPSALA LÄN</t>
        </is>
      </c>
      <c r="G69" t="inlineStr">
        <is>
          <t>ÄLVKARLEBY</t>
        </is>
      </c>
      <c r="H69" t="inlineStr">
        <is>
          <t>Bergvik skog öst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61691-2025</t>
        </is>
      </c>
      <c r="B70" t="inlineStr">
        <is>
          <t>avverkningsanmälan</t>
        </is>
      </c>
      <c r="C70" t="inlineStr">
        <is>
          <t>Föryngringsavverkning</t>
        </is>
      </c>
      <c r="D70" s="1" t="n">
        <v>46002</v>
      </c>
      <c r="E70" s="1" t="n">
        <v>46309</v>
      </c>
      <c r="F70" t="inlineStr">
        <is>
          <t>UPPSALA LÄN</t>
        </is>
      </c>
      <c r="G70" t="inlineStr">
        <is>
          <t>ÄLVKARLEBY</t>
        </is>
      </c>
      <c r="H70" t="inlineStr">
        <is>
          <t>Bergvik skog öst AB</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11467-2026</t>
        </is>
      </c>
      <c r="B71" t="inlineStr">
        <is>
          <t>avverkningsanmälan</t>
        </is>
      </c>
      <c r="C71" t="inlineStr">
        <is>
          <t>Föryngringsavverkning</t>
        </is>
      </c>
      <c r="D71" s="1" t="n">
        <v>46083</v>
      </c>
      <c r="E71" s="1" t="n">
        <v>46309</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63365-2025</t>
        </is>
      </c>
      <c r="B72" t="inlineStr">
        <is>
          <t>avverkningsanmälan</t>
        </is>
      </c>
      <c r="C72" t="inlineStr">
        <is>
          <t>Föryngringsavverkning</t>
        </is>
      </c>
      <c r="D72" s="1" t="n">
        <v>46010</v>
      </c>
      <c r="E72" s="1" t="n">
        <v>46309</v>
      </c>
      <c r="F72" t="inlineStr">
        <is>
          <t>UPPSALA LÄN</t>
        </is>
      </c>
      <c r="G72" t="inlineStr">
        <is>
          <t>ÄLVKARLEBY</t>
        </is>
      </c>
      <c r="H72" t="inlineStr">
        <is>
          <t>Bergvik skog väst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11848-2026</t>
        </is>
      </c>
      <c r="B73" t="inlineStr">
        <is>
          <t>avverkningsanmälan</t>
        </is>
      </c>
      <c r="C73" t="inlineStr">
        <is>
          <t>Föryngringsavverkning</t>
        </is>
      </c>
      <c r="D73" s="1" t="n">
        <v>46085</v>
      </c>
      <c r="E73" s="1" t="n">
        <v>46309</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26815-2022</t>
        </is>
      </c>
      <c r="B74" t="inlineStr">
        <is>
          <t>avverkningsanmälan</t>
        </is>
      </c>
      <c r="C74" t="inlineStr">
        <is>
          <t>Föryngringsavverkning</t>
        </is>
      </c>
      <c r="D74" s="1" t="n">
        <v>44740</v>
      </c>
      <c r="E74" s="1" t="n">
        <v>46309</v>
      </c>
      <c r="F74" t="inlineStr">
        <is>
          <t>UPPSALA LÄN</t>
        </is>
      </c>
      <c r="G74" t="inlineStr">
        <is>
          <t>ÄLVKARLEBY</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14091-2026</t>
        </is>
      </c>
      <c r="B75" t="inlineStr">
        <is>
          <t>avverkningsanmälan</t>
        </is>
      </c>
      <c r="C75" t="inlineStr">
        <is>
          <t>Föryngringsavverkning</t>
        </is>
      </c>
      <c r="D75" s="1" t="n">
        <v>46099</v>
      </c>
      <c r="E75" s="1" t="n">
        <v>46309</v>
      </c>
      <c r="F75" t="inlineStr">
        <is>
          <t>UPPSALA LÄN</t>
        </is>
      </c>
      <c r="G75" t="inlineStr">
        <is>
          <t>ÄLVKARLEBY</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17851-2026</t>
        </is>
      </c>
      <c r="B76" t="inlineStr">
        <is>
          <t>avverkningsanmälan</t>
        </is>
      </c>
      <c r="C76" t="inlineStr">
        <is>
          <t>Föryngringsavverkning</t>
        </is>
      </c>
      <c r="D76" s="1" t="n">
        <v>46122</v>
      </c>
      <c r="E76" s="1" t="n">
        <v>46309</v>
      </c>
      <c r="F76" t="inlineStr">
        <is>
          <t>UPPSALA LÄN</t>
        </is>
      </c>
      <c r="G76" t="inlineStr">
        <is>
          <t>ÄLVKARLEBY</t>
        </is>
      </c>
      <c r="H76" t="inlineStr">
        <is>
          <t>Bergvik skog öst AB</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28670-2025</t>
        </is>
      </c>
      <c r="B77" t="inlineStr">
        <is>
          <t>avverkningsanmälan</t>
        </is>
      </c>
      <c r="C77" t="inlineStr">
        <is>
          <t>Föryngringsavverkning</t>
        </is>
      </c>
      <c r="D77" s="1" t="n">
        <v>45819</v>
      </c>
      <c r="E77" s="1" t="n">
        <v>46309</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41272-2023</t>
        </is>
      </c>
      <c r="B78" t="inlineStr">
        <is>
          <t>avverkningsanmälan</t>
        </is>
      </c>
      <c r="C78" t="inlineStr">
        <is>
          <t>Föryngringsavverkning</t>
        </is>
      </c>
      <c r="D78" s="1" t="n">
        <v>45174</v>
      </c>
      <c r="E78" s="1" t="n">
        <v>46309</v>
      </c>
      <c r="F78" t="inlineStr">
        <is>
          <t>UPPSALA LÄN</t>
        </is>
      </c>
      <c r="G78" t="inlineStr">
        <is>
          <t>ÄLVKARLEBY</t>
        </is>
      </c>
      <c r="H78" t="inlineStr">
        <is>
          <t>Bergvik skog väst AB</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2183-2024</t>
        </is>
      </c>
      <c r="B79" t="inlineStr">
        <is>
          <t>avverkningsanmälan</t>
        </is>
      </c>
      <c r="C79" t="inlineStr">
        <is>
          <t>Föryngringsavverkning</t>
        </is>
      </c>
      <c r="D79" s="1" t="n">
        <v>45309</v>
      </c>
      <c r="E79" s="1" t="n">
        <v>46309</v>
      </c>
      <c r="F79" t="inlineStr">
        <is>
          <t>UPPSALA LÄN</t>
        </is>
      </c>
      <c r="G79" t="inlineStr">
        <is>
          <t>ÄLVKARLEBY</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46113-2023</t>
        </is>
      </c>
      <c r="B80" t="inlineStr">
        <is>
          <t>avverkningsanmälan</t>
        </is>
      </c>
      <c r="C80" t="inlineStr">
        <is>
          <t>Föryngringsavverkning</t>
        </is>
      </c>
      <c r="D80" s="1" t="n">
        <v>45196</v>
      </c>
      <c r="E80" s="1" t="n">
        <v>46309</v>
      </c>
      <c r="F80" t="inlineStr">
        <is>
          <t>UPPSALA LÄN</t>
        </is>
      </c>
      <c r="G80" t="inlineStr">
        <is>
          <t>ÄLVKARLEBY</t>
        </is>
      </c>
      <c r="H80" t="inlineStr">
        <is>
          <t>Bergvik skog väst AB</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30234-2026</t>
        </is>
      </c>
      <c r="B81" t="inlineStr">
        <is>
          <t>avverkningsanmälan</t>
        </is>
      </c>
      <c r="C81" t="inlineStr">
        <is>
          <t>Föryngringsavverkning</t>
        </is>
      </c>
      <c r="D81" s="1" t="n">
        <v>46206</v>
      </c>
      <c r="E81" s="1" t="n">
        <v>46309</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41276-2023</t>
        </is>
      </c>
      <c r="B82" t="inlineStr">
        <is>
          <t>avverkningsanmälan</t>
        </is>
      </c>
      <c r="C82" t="inlineStr">
        <is>
          <t>Föryngringsavverkning</t>
        </is>
      </c>
      <c r="D82" s="1" t="n">
        <v>45174</v>
      </c>
      <c r="E82" s="1" t="n">
        <v>46309</v>
      </c>
      <c r="F82" t="inlineStr">
        <is>
          <t>UPPSALA LÄN</t>
        </is>
      </c>
      <c r="G82" t="inlineStr">
        <is>
          <t>ÄLVKARLEBY</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41929-2024</t>
        </is>
      </c>
      <c r="B83" t="inlineStr">
        <is>
          <t>avverkningsanmälan</t>
        </is>
      </c>
      <c r="C83" t="inlineStr">
        <is>
          <t>Föryngringsavverkning</t>
        </is>
      </c>
      <c r="D83" s="1" t="n">
        <v>45561</v>
      </c>
      <c r="E83" s="1" t="n">
        <v>46309</v>
      </c>
      <c r="F83" t="inlineStr">
        <is>
          <t>UPPSALA LÄN</t>
        </is>
      </c>
      <c r="G83" t="inlineStr">
        <is>
          <t>ÄLVKARLEBY</t>
        </is>
      </c>
      <c r="H83" t="inlineStr">
        <is>
          <t>Bergvik skog väst AB</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38636-2026</t>
        </is>
      </c>
      <c r="B84" t="inlineStr">
        <is>
          <t>avverkningsanmälan</t>
        </is>
      </c>
      <c r="C84" t="inlineStr">
        <is>
          <t>Föryngringsavverkning</t>
        </is>
      </c>
      <c r="D84" s="1" t="n">
        <v>46283</v>
      </c>
      <c r="E84" s="1" t="n">
        <v>46309</v>
      </c>
      <c r="F84" t="inlineStr">
        <is>
          <t>UPPSALA LÄN</t>
        </is>
      </c>
      <c r="G84" t="inlineStr">
        <is>
          <t>ÄLVKARLEBY</t>
        </is>
      </c>
      <c r="H84" t="inlineStr">
        <is>
          <t>Bergvik skog väst AB</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14590-2023</t>
        </is>
      </c>
      <c r="B85" t="inlineStr">
        <is>
          <t>avverkningsanmälan</t>
        </is>
      </c>
      <c r="C85" t="inlineStr">
        <is>
          <t>Föryngringsavverkning</t>
        </is>
      </c>
      <c r="D85" s="1" t="n">
        <v>45013</v>
      </c>
      <c r="E85" s="1" t="n">
        <v>46309</v>
      </c>
      <c r="F85" t="inlineStr">
        <is>
          <t>UPPSALA LÄN</t>
        </is>
      </c>
      <c r="G85" t="inlineStr">
        <is>
          <t>ÄLVKARLEBY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40057-2026</t>
        </is>
      </c>
      <c r="B86" t="inlineStr">
        <is>
          <t>avverkningsanmälan</t>
        </is>
      </c>
      <c r="C86" t="inlineStr">
        <is>
          <t>Föryngringsavverkning</t>
        </is>
      </c>
      <c r="D86" s="1" t="n">
        <v>46293</v>
      </c>
      <c r="E86" s="1" t="n">
        <v>46309</v>
      </c>
      <c r="F86" t="inlineStr">
        <is>
          <t>UPPSALA LÄN</t>
        </is>
      </c>
      <c r="G86" t="inlineStr">
        <is>
          <t>ÄLVKARLEBY</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9533-2025</t>
        </is>
      </c>
      <c r="B87" t="inlineStr">
        <is>
          <t>avverkningsanmälan</t>
        </is>
      </c>
      <c r="C87" t="inlineStr">
        <is>
          <t>Föryngringsavverkning</t>
        </is>
      </c>
      <c r="D87" s="1" t="n">
        <v>45715</v>
      </c>
      <c r="E87" s="1" t="n">
        <v>46309</v>
      </c>
      <c r="F87" t="inlineStr">
        <is>
          <t>UPPSALA LÄN</t>
        </is>
      </c>
      <c r="G87" t="inlineStr">
        <is>
          <t>ÄLVKARLEBY</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38617-2026</t>
        </is>
      </c>
      <c r="B88" t="inlineStr">
        <is>
          <t>avverkningsanmälan</t>
        </is>
      </c>
      <c r="C88" t="inlineStr">
        <is>
          <t>Föryngringsavverkning</t>
        </is>
      </c>
      <c r="D88" s="1" t="n">
        <v>46283</v>
      </c>
      <c r="E88" s="1" t="n">
        <v>46309</v>
      </c>
      <c r="F88" t="inlineStr">
        <is>
          <t>UPPSALA LÄN</t>
        </is>
      </c>
      <c r="G88" t="inlineStr">
        <is>
          <t>ÄLVKARLEBY</t>
        </is>
      </c>
      <c r="H88" t="inlineStr">
        <is>
          <t>Bergvik skog väst AB</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45033-2025</t>
        </is>
      </c>
      <c r="B89" t="inlineStr">
        <is>
          <t>avverkningsanmälan</t>
        </is>
      </c>
      <c r="C89" t="inlineStr">
        <is>
          <t>Föryngringsavverkning</t>
        </is>
      </c>
      <c r="D89" s="1" t="n">
        <v>45918</v>
      </c>
      <c r="E89" s="1" t="n">
        <v>46309</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34575-2026</t>
        </is>
      </c>
      <c r="B90" t="inlineStr">
        <is>
          <t>avverkningsanmälan</t>
        </is>
      </c>
      <c r="C90" t="inlineStr">
        <is>
          <t>Föryngringsavverkning</t>
        </is>
      </c>
      <c r="D90" s="1" t="n">
        <v>46255</v>
      </c>
      <c r="E90" s="1" t="n">
        <v>46309</v>
      </c>
      <c r="F90" t="inlineStr">
        <is>
          <t>UPPSALA LÄN</t>
        </is>
      </c>
      <c r="G90" t="inlineStr">
        <is>
          <t>ÄLVKARLEBY</t>
        </is>
      </c>
      <c r="H90" t="inlineStr">
        <is>
          <t>Bergvik skog öst AB</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33485-2026</t>
        </is>
      </c>
      <c r="B91" t="inlineStr">
        <is>
          <t>avverkningsanmälan</t>
        </is>
      </c>
      <c r="C91" t="inlineStr">
        <is>
          <t>Föryngringsavverkning</t>
        </is>
      </c>
      <c r="D91" s="1" t="n">
        <v>46247</v>
      </c>
      <c r="E91" s="1" t="n">
        <v>46309</v>
      </c>
      <c r="F91" t="inlineStr">
        <is>
          <t>UPPSALA LÄN</t>
        </is>
      </c>
      <c r="G91" t="inlineStr">
        <is>
          <t>ÄLVKARLEBY</t>
        </is>
      </c>
      <c r="H91" t="inlineStr">
        <is>
          <t>Bergvik skog öst AB</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35356-2026</t>
        </is>
      </c>
      <c r="B92" t="inlineStr">
        <is>
          <t>avverkningsanmälan</t>
        </is>
      </c>
      <c r="C92" t="inlineStr">
        <is>
          <t>Föryngringsavverkning</t>
        </is>
      </c>
      <c r="D92" s="1" t="n">
        <v>46261</v>
      </c>
      <c r="E92" s="1" t="n">
        <v>46309</v>
      </c>
      <c r="F92" t="inlineStr">
        <is>
          <t>UPPSALA LÄN</t>
        </is>
      </c>
      <c r="G92" t="inlineStr">
        <is>
          <t>ÄLVKARLEBY</t>
        </is>
      </c>
      <c r="H92" t="inlineStr">
        <is>
          <t>Bergvik skog öst AB</t>
        </is>
      </c>
      <c r="I92" t="n">
        <v>2.1</v>
      </c>
      <c r="J92" t="n">
        <v>0</v>
      </c>
      <c r="K92" t="n">
        <v>0</v>
      </c>
      <c r="L92" t="n">
        <v>0</v>
      </c>
      <c r="M92" t="n">
        <v>0</v>
      </c>
      <c r="N92" t="n">
        <v>0</v>
      </c>
      <c r="O92" t="n">
        <v>0</v>
      </c>
      <c r="P92" t="n">
        <v>0</v>
      </c>
      <c r="Q92" t="n">
        <v>0</v>
      </c>
      <c r="R92" t="n">
        <v>0</v>
      </c>
      <c r="S92" t="n">
        <v>0</v>
      </c>
      <c r="T92" t="n">
        <v>0</v>
      </c>
      <c r="U92" t="n">
        <v>0</v>
      </c>
      <c r="V92" s="2" t="inlineStr"/>
    </row>
    <row r="93">
      <c r="A93" t="inlineStr">
        <is>
          <t>A 4134-2026</t>
        </is>
      </c>
      <c r="B93" t="inlineStr">
        <is>
          <t>avverkningsanmälan</t>
        </is>
      </c>
      <c r="C93" t="inlineStr">
        <is>
          <t>Föryngringsavverkning</t>
        </is>
      </c>
      <c r="D93" s="1" t="n">
        <v>46044</v>
      </c>
      <c r="E93" s="1" t="n">
        <v>46309</v>
      </c>
      <c r="F93" t="inlineStr">
        <is>
          <t>UPPSALA LÄN</t>
        </is>
      </c>
      <c r="G93" t="inlineStr">
        <is>
          <t>ÄLVKARLEBY</t>
        </is>
      </c>
      <c r="H93" t="inlineStr">
        <is>
          <t>Bergvik skog öst AB</t>
        </is>
      </c>
      <c r="I93" t="n">
        <v>5.1</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2026-10-14T02:05:04Z</dcterms:created>
  <dcterms:modified xmlns:dcterms="http://purl.org/dc/terms/" xmlns:xsi="http://www.w3.org/2001/XMLSchema-instance" xsi:type="dcterms:W3CDTF">2026-10-14T02:05:04Z</dcterms:modified>
</cp:coreProperties>
</file>