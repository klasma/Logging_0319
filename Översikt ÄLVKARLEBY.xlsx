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45895</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45895</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45895</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45895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45895</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45895</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45895</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45895</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45895</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45895</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55555-2024</t>
        </is>
      </c>
      <c r="B13" s="1" t="n">
        <v>45622.51762731482</v>
      </c>
      <c r="C13" s="1" t="n">
        <v>45895</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30484-2025</t>
        </is>
      </c>
      <c r="B14" s="1" t="n">
        <v>45828.75157407407</v>
      </c>
      <c r="C14" s="1" t="n">
        <v>45895</v>
      </c>
      <c r="D14" t="inlineStr">
        <is>
          <t>UPPSALA LÄN</t>
        </is>
      </c>
      <c r="E14" t="inlineStr">
        <is>
          <t>ÄLVKARLEBY</t>
        </is>
      </c>
      <c r="F14" t="inlineStr">
        <is>
          <t>Bergvik skog väst AB</t>
        </is>
      </c>
      <c r="G14" t="n">
        <v>1.6</v>
      </c>
      <c r="H14" t="n">
        <v>1</v>
      </c>
      <c r="I14" t="n">
        <v>1</v>
      </c>
      <c r="J14" t="n">
        <v>1</v>
      </c>
      <c r="K14" t="n">
        <v>0</v>
      </c>
      <c r="L14" t="n">
        <v>0</v>
      </c>
      <c r="M14" t="n">
        <v>0</v>
      </c>
      <c r="N14" t="n">
        <v>0</v>
      </c>
      <c r="O14" t="n">
        <v>1</v>
      </c>
      <c r="P14" t="n">
        <v>0</v>
      </c>
      <c r="Q14" t="n">
        <v>3</v>
      </c>
      <c r="R14" s="2" t="inlineStr">
        <is>
          <t>Slåtterfibbla
Svart trolldruva
Gullviva</t>
        </is>
      </c>
      <c r="S14">
        <f>HYPERLINK("https://klasma.github.io/Logging_0319/artfynd/A 30484-2025 artfynd.xlsx", "A 30484-2025")</f>
        <v/>
      </c>
      <c r="T14">
        <f>HYPERLINK("https://klasma.github.io/Logging_0319/kartor/A 30484-2025 karta.png", "A 30484-2025")</f>
        <v/>
      </c>
      <c r="V14">
        <f>HYPERLINK("https://klasma.github.io/Logging_0319/klagomål/A 30484-2025 FSC-klagomål.docx", "A 30484-2025")</f>
        <v/>
      </c>
      <c r="W14">
        <f>HYPERLINK("https://klasma.github.io/Logging_0319/klagomålsmail/A 30484-2025 FSC-klagomål mail.docx", "A 30484-2025")</f>
        <v/>
      </c>
      <c r="X14">
        <f>HYPERLINK("https://klasma.github.io/Logging_0319/tillsyn/A 30484-2025 tillsynsbegäran.docx", "A 30484-2025")</f>
        <v/>
      </c>
      <c r="Y14">
        <f>HYPERLINK("https://klasma.github.io/Logging_0319/tillsynsmail/A 30484-2025 tillsynsbegäran mail.docx", "A 30484-2025")</f>
        <v/>
      </c>
    </row>
    <row r="15" ht="15" customHeight="1">
      <c r="A15" t="inlineStr">
        <is>
          <t>A 34798-2024</t>
        </is>
      </c>
      <c r="B15" s="1" t="n">
        <v>45526</v>
      </c>
      <c r="C15" s="1" t="n">
        <v>45895</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45895</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21007-2025</t>
        </is>
      </c>
      <c r="B17" s="1" t="n">
        <v>45777</v>
      </c>
      <c r="C17" s="1" t="n">
        <v>45895</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45895</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45895</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45895</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66277-2020</t>
        </is>
      </c>
      <c r="B21" s="1" t="n">
        <v>44176</v>
      </c>
      <c r="C21" s="1" t="n">
        <v>45895</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45895</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9521-2025</t>
        </is>
      </c>
      <c r="B23" s="1" t="n">
        <v>45715.56259259259</v>
      </c>
      <c r="C23" s="1" t="n">
        <v>45895</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21700-2024</t>
        </is>
      </c>
      <c r="B24" s="1" t="n">
        <v>45442</v>
      </c>
      <c r="C24" s="1" t="n">
        <v>45895</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45895</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39902-2025</t>
        </is>
      </c>
      <c r="B26" s="1" t="n">
        <v>45891.63597222222</v>
      </c>
      <c r="C26" s="1" t="n">
        <v>45895</v>
      </c>
      <c r="D26" t="inlineStr">
        <is>
          <t>UPPSALA LÄN</t>
        </is>
      </c>
      <c r="E26" t="inlineStr">
        <is>
          <t>ÄLVKARLEBY</t>
        </is>
      </c>
      <c r="F26" t="inlineStr">
        <is>
          <t>Bergvik skog väst AB</t>
        </is>
      </c>
      <c r="G26" t="n">
        <v>11.2</v>
      </c>
      <c r="H26" t="n">
        <v>0</v>
      </c>
      <c r="I26" t="n">
        <v>1</v>
      </c>
      <c r="J26" t="n">
        <v>0</v>
      </c>
      <c r="K26" t="n">
        <v>0</v>
      </c>
      <c r="L26" t="n">
        <v>0</v>
      </c>
      <c r="M26" t="n">
        <v>0</v>
      </c>
      <c r="N26" t="n">
        <v>0</v>
      </c>
      <c r="O26" t="n">
        <v>0</v>
      </c>
      <c r="P26" t="n">
        <v>0</v>
      </c>
      <c r="Q26" t="n">
        <v>1</v>
      </c>
      <c r="R26" s="2" t="inlineStr">
        <is>
          <t>Anisspindling</t>
        </is>
      </c>
      <c r="S26">
        <f>HYPERLINK("https://klasma.github.io/Logging_0319/artfynd/A 39902-2025 artfynd.xlsx", "A 39902-2025")</f>
        <v/>
      </c>
      <c r="T26">
        <f>HYPERLINK("https://klasma.github.io/Logging_0319/kartor/A 39902-2025 karta.png", "A 39902-2025")</f>
        <v/>
      </c>
      <c r="V26">
        <f>HYPERLINK("https://klasma.github.io/Logging_0319/klagomål/A 39902-2025 FSC-klagomål.docx", "A 39902-2025")</f>
        <v/>
      </c>
      <c r="W26">
        <f>HYPERLINK("https://klasma.github.io/Logging_0319/klagomålsmail/A 39902-2025 FSC-klagomål mail.docx", "A 39902-2025")</f>
        <v/>
      </c>
      <c r="X26">
        <f>HYPERLINK("https://klasma.github.io/Logging_0319/tillsyn/A 39902-2025 tillsynsbegäran.docx", "A 39902-2025")</f>
        <v/>
      </c>
      <c r="Y26">
        <f>HYPERLINK("https://klasma.github.io/Logging_0319/tillsynsmail/A 39902-2025 tillsynsbegäran mail.docx", "A 39902-2025")</f>
        <v/>
      </c>
    </row>
    <row r="27" ht="15" customHeight="1">
      <c r="A27" t="inlineStr">
        <is>
          <t>A 50416-2020</t>
        </is>
      </c>
      <c r="B27" s="1" t="n">
        <v>44110</v>
      </c>
      <c r="C27" s="1" t="n">
        <v>45895</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45895</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45895</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45895</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45895</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9533-2025</t>
        </is>
      </c>
      <c r="B32" s="1" t="n">
        <v>45715.57082175926</v>
      </c>
      <c r="C32" s="1" t="n">
        <v>45895</v>
      </c>
      <c r="D32" t="inlineStr">
        <is>
          <t>UPPSALA LÄN</t>
        </is>
      </c>
      <c r="E32" t="inlineStr">
        <is>
          <t>ÄLVKARLEBY</t>
        </is>
      </c>
      <c r="G32" t="n">
        <v>2.1</v>
      </c>
      <c r="H32" t="n">
        <v>0</v>
      </c>
      <c r="I32" t="n">
        <v>0</v>
      </c>
      <c r="J32" t="n">
        <v>0</v>
      </c>
      <c r="K32" t="n">
        <v>0</v>
      </c>
      <c r="L32" t="n">
        <v>0</v>
      </c>
      <c r="M32" t="n">
        <v>0</v>
      </c>
      <c r="N32" t="n">
        <v>0</v>
      </c>
      <c r="O32" t="n">
        <v>0</v>
      </c>
      <c r="P32" t="n">
        <v>0</v>
      </c>
      <c r="Q32" t="n">
        <v>0</v>
      </c>
      <c r="R32" s="2" t="inlineStr"/>
    </row>
    <row r="33" ht="15" customHeight="1">
      <c r="A33" t="inlineStr">
        <is>
          <t>A 19697-2025</t>
        </is>
      </c>
      <c r="B33" s="1" t="n">
        <v>45771</v>
      </c>
      <c r="C33" s="1" t="n">
        <v>45895</v>
      </c>
      <c r="D33" t="inlineStr">
        <is>
          <t>UPPSALA LÄN</t>
        </is>
      </c>
      <c r="E33" t="inlineStr">
        <is>
          <t>ÄLVKARLEBY</t>
        </is>
      </c>
      <c r="F33" t="inlineStr">
        <is>
          <t>Bergvik skog väst AB</t>
        </is>
      </c>
      <c r="G33" t="n">
        <v>3.3</v>
      </c>
      <c r="H33" t="n">
        <v>0</v>
      </c>
      <c r="I33" t="n">
        <v>0</v>
      </c>
      <c r="J33" t="n">
        <v>0</v>
      </c>
      <c r="K33" t="n">
        <v>0</v>
      </c>
      <c r="L33" t="n">
        <v>0</v>
      </c>
      <c r="M33" t="n">
        <v>0</v>
      </c>
      <c r="N33" t="n">
        <v>0</v>
      </c>
      <c r="O33" t="n">
        <v>0</v>
      </c>
      <c r="P33" t="n">
        <v>0</v>
      </c>
      <c r="Q33" t="n">
        <v>0</v>
      </c>
      <c r="R33" s="2" t="inlineStr"/>
    </row>
    <row r="34" ht="15" customHeight="1">
      <c r="A34" t="inlineStr">
        <is>
          <t>A 21012-2025</t>
        </is>
      </c>
      <c r="B34" s="1" t="n">
        <v>45777</v>
      </c>
      <c r="C34" s="1" t="n">
        <v>45895</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41272-2023</t>
        </is>
      </c>
      <c r="B35" s="1" t="n">
        <v>45174</v>
      </c>
      <c r="C35" s="1" t="n">
        <v>45895</v>
      </c>
      <c r="D35" t="inlineStr">
        <is>
          <t>UPPSALA LÄN</t>
        </is>
      </c>
      <c r="E35" t="inlineStr">
        <is>
          <t>ÄLVKARLEBY</t>
        </is>
      </c>
      <c r="F35" t="inlineStr">
        <is>
          <t>Bergvik skog väst AB</t>
        </is>
      </c>
      <c r="G35" t="n">
        <v>0.9</v>
      </c>
      <c r="H35" t="n">
        <v>0</v>
      </c>
      <c r="I35" t="n">
        <v>0</v>
      </c>
      <c r="J35" t="n">
        <v>0</v>
      </c>
      <c r="K35" t="n">
        <v>0</v>
      </c>
      <c r="L35" t="n">
        <v>0</v>
      </c>
      <c r="M35" t="n">
        <v>0</v>
      </c>
      <c r="N35" t="n">
        <v>0</v>
      </c>
      <c r="O35" t="n">
        <v>0</v>
      </c>
      <c r="P35" t="n">
        <v>0</v>
      </c>
      <c r="Q35" t="n">
        <v>0</v>
      </c>
      <c r="R35" s="2" t="inlineStr"/>
    </row>
    <row r="36" ht="15" customHeight="1">
      <c r="A36" t="inlineStr">
        <is>
          <t>A 22223-2025</t>
        </is>
      </c>
      <c r="B36" s="1" t="n">
        <v>45785</v>
      </c>
      <c r="C36" s="1" t="n">
        <v>45895</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45895</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2184-2024</t>
        </is>
      </c>
      <c r="B38" s="1" t="n">
        <v>45309</v>
      </c>
      <c r="C38" s="1" t="n">
        <v>45895</v>
      </c>
      <c r="D38" t="inlineStr">
        <is>
          <t>UPPSALA LÄN</t>
        </is>
      </c>
      <c r="E38" t="inlineStr">
        <is>
          <t>ÄLVKARLEBY</t>
        </is>
      </c>
      <c r="G38" t="n">
        <v>0.6</v>
      </c>
      <c r="H38" t="n">
        <v>0</v>
      </c>
      <c r="I38" t="n">
        <v>0</v>
      </c>
      <c r="J38" t="n">
        <v>0</v>
      </c>
      <c r="K38" t="n">
        <v>0</v>
      </c>
      <c r="L38" t="n">
        <v>0</v>
      </c>
      <c r="M38" t="n">
        <v>0</v>
      </c>
      <c r="N38" t="n">
        <v>0</v>
      </c>
      <c r="O38" t="n">
        <v>0</v>
      </c>
      <c r="P38" t="n">
        <v>0</v>
      </c>
      <c r="Q38" t="n">
        <v>0</v>
      </c>
      <c r="R38" s="2" t="inlineStr"/>
    </row>
    <row r="39" ht="15" customHeight="1">
      <c r="A39" t="inlineStr">
        <is>
          <t>A 19304-2024</t>
        </is>
      </c>
      <c r="B39" s="1" t="n">
        <v>45428</v>
      </c>
      <c r="C39" s="1" t="n">
        <v>45895</v>
      </c>
      <c r="D39" t="inlineStr">
        <is>
          <t>UPPSALA LÄN</t>
        </is>
      </c>
      <c r="E39" t="inlineStr">
        <is>
          <t>ÄLVKARLEBY</t>
        </is>
      </c>
      <c r="G39" t="n">
        <v>0.2</v>
      </c>
      <c r="H39" t="n">
        <v>0</v>
      </c>
      <c r="I39" t="n">
        <v>0</v>
      </c>
      <c r="J39" t="n">
        <v>0</v>
      </c>
      <c r="K39" t="n">
        <v>0</v>
      </c>
      <c r="L39" t="n">
        <v>0</v>
      </c>
      <c r="M39" t="n">
        <v>0</v>
      </c>
      <c r="N39" t="n">
        <v>0</v>
      </c>
      <c r="O39" t="n">
        <v>0</v>
      </c>
      <c r="P39" t="n">
        <v>0</v>
      </c>
      <c r="Q39" t="n">
        <v>0</v>
      </c>
      <c r="R39" s="2" t="inlineStr"/>
    </row>
    <row r="40" ht="15" customHeight="1">
      <c r="A40" t="inlineStr">
        <is>
          <t>A 19303-2024</t>
        </is>
      </c>
      <c r="B40" s="1" t="n">
        <v>45428.70386574074</v>
      </c>
      <c r="C40" s="1" t="n">
        <v>45895</v>
      </c>
      <c r="D40" t="inlineStr">
        <is>
          <t>UPPSALA LÄN</t>
        </is>
      </c>
      <c r="E40" t="inlineStr">
        <is>
          <t>ÄLVKARLEBY</t>
        </is>
      </c>
      <c r="G40" t="n">
        <v>0.4</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45895</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24593-2025</t>
        </is>
      </c>
      <c r="B42" s="1" t="n">
        <v>45798</v>
      </c>
      <c r="C42" s="1" t="n">
        <v>45895</v>
      </c>
      <c r="D42" t="inlineStr">
        <is>
          <t>UPPSALA LÄN</t>
        </is>
      </c>
      <c r="E42" t="inlineStr">
        <is>
          <t>ÄLVKARLEBY</t>
        </is>
      </c>
      <c r="F42" t="inlineStr">
        <is>
          <t>Bergvik skog väst AB</t>
        </is>
      </c>
      <c r="G42" t="n">
        <v>0.6</v>
      </c>
      <c r="H42" t="n">
        <v>0</v>
      </c>
      <c r="I42" t="n">
        <v>0</v>
      </c>
      <c r="J42" t="n">
        <v>0</v>
      </c>
      <c r="K42" t="n">
        <v>0</v>
      </c>
      <c r="L42" t="n">
        <v>0</v>
      </c>
      <c r="M42" t="n">
        <v>0</v>
      </c>
      <c r="N42" t="n">
        <v>0</v>
      </c>
      <c r="O42" t="n">
        <v>0</v>
      </c>
      <c r="P42" t="n">
        <v>0</v>
      </c>
      <c r="Q42" t="n">
        <v>0</v>
      </c>
      <c r="R42" s="2" t="inlineStr"/>
    </row>
    <row r="43" ht="15" customHeight="1">
      <c r="A43" t="inlineStr">
        <is>
          <t>A 24591-2025</t>
        </is>
      </c>
      <c r="B43" s="1" t="n">
        <v>45798.53666666667</v>
      </c>
      <c r="C43" s="1" t="n">
        <v>45895</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24592-2025</t>
        </is>
      </c>
      <c r="B44" s="1" t="n">
        <v>45798.54337962963</v>
      </c>
      <c r="C44" s="1" t="n">
        <v>45895</v>
      </c>
      <c r="D44" t="inlineStr">
        <is>
          <t>UPPSALA LÄN</t>
        </is>
      </c>
      <c r="E44" t="inlineStr">
        <is>
          <t>ÄLVKARLEBY</t>
        </is>
      </c>
      <c r="F44" t="inlineStr">
        <is>
          <t>Bergvik skog väst AB</t>
        </is>
      </c>
      <c r="G44" t="n">
        <v>2.5</v>
      </c>
      <c r="H44" t="n">
        <v>0</v>
      </c>
      <c r="I44" t="n">
        <v>0</v>
      </c>
      <c r="J44" t="n">
        <v>0</v>
      </c>
      <c r="K44" t="n">
        <v>0</v>
      </c>
      <c r="L44" t="n">
        <v>0</v>
      </c>
      <c r="M44" t="n">
        <v>0</v>
      </c>
      <c r="N44" t="n">
        <v>0</v>
      </c>
      <c r="O44" t="n">
        <v>0</v>
      </c>
      <c r="P44" t="n">
        <v>0</v>
      </c>
      <c r="Q44" t="n">
        <v>0</v>
      </c>
      <c r="R44" s="2" t="inlineStr"/>
    </row>
    <row r="45" ht="15" customHeight="1">
      <c r="A45" t="inlineStr">
        <is>
          <t>A 25330-2025</t>
        </is>
      </c>
      <c r="B45" s="1" t="n">
        <v>45800.59114583334</v>
      </c>
      <c r="C45" s="1" t="n">
        <v>45895</v>
      </c>
      <c r="D45" t="inlineStr">
        <is>
          <t>UPPSALA LÄN</t>
        </is>
      </c>
      <c r="E45" t="inlineStr">
        <is>
          <t>ÄLVKARLEBY</t>
        </is>
      </c>
      <c r="F45" t="inlineStr">
        <is>
          <t>Bergvik skog väst AB</t>
        </is>
      </c>
      <c r="G45" t="n">
        <v>5</v>
      </c>
      <c r="H45" t="n">
        <v>0</v>
      </c>
      <c r="I45" t="n">
        <v>0</v>
      </c>
      <c r="J45" t="n">
        <v>0</v>
      </c>
      <c r="K45" t="n">
        <v>0</v>
      </c>
      <c r="L45" t="n">
        <v>0</v>
      </c>
      <c r="M45" t="n">
        <v>0</v>
      </c>
      <c r="N45" t="n">
        <v>0</v>
      </c>
      <c r="O45" t="n">
        <v>0</v>
      </c>
      <c r="P45" t="n">
        <v>0</v>
      </c>
      <c r="Q45" t="n">
        <v>0</v>
      </c>
      <c r="R45" s="2" t="inlineStr"/>
    </row>
    <row r="46" ht="15" customHeight="1">
      <c r="A46" t="inlineStr">
        <is>
          <t>A 25264-2025</t>
        </is>
      </c>
      <c r="B46" s="1" t="n">
        <v>45800.5334375</v>
      </c>
      <c r="C46" s="1" t="n">
        <v>45895</v>
      </c>
      <c r="D46" t="inlineStr">
        <is>
          <t>UPPSALA LÄN</t>
        </is>
      </c>
      <c r="E46" t="inlineStr">
        <is>
          <t>ÄLVKARLEBY</t>
        </is>
      </c>
      <c r="F46" t="inlineStr">
        <is>
          <t>Bergvik skog väst AB</t>
        </is>
      </c>
      <c r="G46" t="n">
        <v>3.4</v>
      </c>
      <c r="H46" t="n">
        <v>0</v>
      </c>
      <c r="I46" t="n">
        <v>0</v>
      </c>
      <c r="J46" t="n">
        <v>0</v>
      </c>
      <c r="K46" t="n">
        <v>0</v>
      </c>
      <c r="L46" t="n">
        <v>0</v>
      </c>
      <c r="M46" t="n">
        <v>0</v>
      </c>
      <c r="N46" t="n">
        <v>0</v>
      </c>
      <c r="O46" t="n">
        <v>0</v>
      </c>
      <c r="P46" t="n">
        <v>0</v>
      </c>
      <c r="Q46" t="n">
        <v>0</v>
      </c>
      <c r="R46" s="2" t="inlineStr"/>
    </row>
    <row r="47" ht="15" customHeight="1">
      <c r="A47" t="inlineStr">
        <is>
          <t>A 11553-2021</t>
        </is>
      </c>
      <c r="B47" s="1" t="n">
        <v>44264.48725694444</v>
      </c>
      <c r="C47" s="1" t="n">
        <v>45895</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45372-2024</t>
        </is>
      </c>
      <c r="B48" s="1" t="n">
        <v>45576.51116898148</v>
      </c>
      <c r="C48" s="1" t="n">
        <v>45895</v>
      </c>
      <c r="D48" t="inlineStr">
        <is>
          <t>UPPSALA LÄN</t>
        </is>
      </c>
      <c r="E48" t="inlineStr">
        <is>
          <t>ÄLVKARLEBY</t>
        </is>
      </c>
      <c r="F48" t="inlineStr">
        <is>
          <t>Bergvik skog väst AB</t>
        </is>
      </c>
      <c r="G48" t="n">
        <v>3.4</v>
      </c>
      <c r="H48" t="n">
        <v>0</v>
      </c>
      <c r="I48" t="n">
        <v>0</v>
      </c>
      <c r="J48" t="n">
        <v>0</v>
      </c>
      <c r="K48" t="n">
        <v>0</v>
      </c>
      <c r="L48" t="n">
        <v>0</v>
      </c>
      <c r="M48" t="n">
        <v>0</v>
      </c>
      <c r="N48" t="n">
        <v>0</v>
      </c>
      <c r="O48" t="n">
        <v>0</v>
      </c>
      <c r="P48" t="n">
        <v>0</v>
      </c>
      <c r="Q48" t="n">
        <v>0</v>
      </c>
      <c r="R48" s="2" t="inlineStr"/>
    </row>
    <row r="49" ht="15" customHeight="1">
      <c r="A49" t="inlineStr">
        <is>
          <t>A 43285-2023</t>
        </is>
      </c>
      <c r="B49" s="1" t="n">
        <v>45183.5630787037</v>
      </c>
      <c r="C49" s="1" t="n">
        <v>45895</v>
      </c>
      <c r="D49" t="inlineStr">
        <is>
          <t>UPPSALA LÄN</t>
        </is>
      </c>
      <c r="E49" t="inlineStr">
        <is>
          <t>ÄLVKARLEBY</t>
        </is>
      </c>
      <c r="F49" t="inlineStr">
        <is>
          <t>Bergvik skog väst AB</t>
        </is>
      </c>
      <c r="G49" t="n">
        <v>1.3</v>
      </c>
      <c r="H49" t="n">
        <v>0</v>
      </c>
      <c r="I49" t="n">
        <v>0</v>
      </c>
      <c r="J49" t="n">
        <v>0</v>
      </c>
      <c r="K49" t="n">
        <v>0</v>
      </c>
      <c r="L49" t="n">
        <v>0</v>
      </c>
      <c r="M49" t="n">
        <v>0</v>
      </c>
      <c r="N49" t="n">
        <v>0</v>
      </c>
      <c r="O49" t="n">
        <v>0</v>
      </c>
      <c r="P49" t="n">
        <v>0</v>
      </c>
      <c r="Q49" t="n">
        <v>0</v>
      </c>
      <c r="R49" s="2" t="inlineStr"/>
    </row>
    <row r="50" ht="15" customHeight="1">
      <c r="A50" t="inlineStr">
        <is>
          <t>A 16990-2022</t>
        </is>
      </c>
      <c r="B50" s="1" t="n">
        <v>44676.6122337963</v>
      </c>
      <c r="C50" s="1" t="n">
        <v>45895</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3950-2025</t>
        </is>
      </c>
      <c r="B51" s="1" t="n">
        <v>45684</v>
      </c>
      <c r="C51" s="1" t="n">
        <v>45895</v>
      </c>
      <c r="D51" t="inlineStr">
        <is>
          <t>UPPSALA LÄN</t>
        </is>
      </c>
      <c r="E51" t="inlineStr">
        <is>
          <t>ÄLVKARLEBY</t>
        </is>
      </c>
      <c r="G51" t="n">
        <v>3.1</v>
      </c>
      <c r="H51" t="n">
        <v>0</v>
      </c>
      <c r="I51" t="n">
        <v>0</v>
      </c>
      <c r="J51" t="n">
        <v>0</v>
      </c>
      <c r="K51" t="n">
        <v>0</v>
      </c>
      <c r="L51" t="n">
        <v>0</v>
      </c>
      <c r="M51" t="n">
        <v>0</v>
      </c>
      <c r="N51" t="n">
        <v>0</v>
      </c>
      <c r="O51" t="n">
        <v>0</v>
      </c>
      <c r="P51" t="n">
        <v>0</v>
      </c>
      <c r="Q51" t="n">
        <v>0</v>
      </c>
      <c r="R51" s="2" t="inlineStr"/>
    </row>
    <row r="52" ht="15" customHeight="1">
      <c r="A52" t="inlineStr">
        <is>
          <t>A 26664-2025</t>
        </is>
      </c>
      <c r="B52" s="1" t="n">
        <v>45810</v>
      </c>
      <c r="C52" s="1" t="n">
        <v>45895</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15739-2025</t>
        </is>
      </c>
      <c r="B53" s="1" t="n">
        <v>45748.54612268518</v>
      </c>
      <c r="C53" s="1" t="n">
        <v>45895</v>
      </c>
      <c r="D53" t="inlineStr">
        <is>
          <t>UPPSALA LÄN</t>
        </is>
      </c>
      <c r="E53" t="inlineStr">
        <is>
          <t>ÄLVKARLEBY</t>
        </is>
      </c>
      <c r="F53" t="inlineStr">
        <is>
          <t>Kyrkan</t>
        </is>
      </c>
      <c r="G53" t="n">
        <v>2.4</v>
      </c>
      <c r="H53" t="n">
        <v>0</v>
      </c>
      <c r="I53" t="n">
        <v>0</v>
      </c>
      <c r="J53" t="n">
        <v>0</v>
      </c>
      <c r="K53" t="n">
        <v>0</v>
      </c>
      <c r="L53" t="n">
        <v>0</v>
      </c>
      <c r="M53" t="n">
        <v>0</v>
      </c>
      <c r="N53" t="n">
        <v>0</v>
      </c>
      <c r="O53" t="n">
        <v>0</v>
      </c>
      <c r="P53" t="n">
        <v>0</v>
      </c>
      <c r="Q53" t="n">
        <v>0</v>
      </c>
      <c r="R53" s="2" t="inlineStr"/>
    </row>
    <row r="54" ht="15" customHeight="1">
      <c r="A54" t="inlineStr">
        <is>
          <t>A 26670-2025</t>
        </is>
      </c>
      <c r="B54" s="1" t="n">
        <v>45810.41489583333</v>
      </c>
      <c r="C54" s="1" t="n">
        <v>45895</v>
      </c>
      <c r="D54" t="inlineStr">
        <is>
          <t>UPPSALA LÄN</t>
        </is>
      </c>
      <c r="E54" t="inlineStr">
        <is>
          <t>ÄLVKARLEBY</t>
        </is>
      </c>
      <c r="F54" t="inlineStr">
        <is>
          <t>Bergvik skog väst AB</t>
        </is>
      </c>
      <c r="G54" t="n">
        <v>1.1</v>
      </c>
      <c r="H54" t="n">
        <v>0</v>
      </c>
      <c r="I54" t="n">
        <v>0</v>
      </c>
      <c r="J54" t="n">
        <v>0</v>
      </c>
      <c r="K54" t="n">
        <v>0</v>
      </c>
      <c r="L54" t="n">
        <v>0</v>
      </c>
      <c r="M54" t="n">
        <v>0</v>
      </c>
      <c r="N54" t="n">
        <v>0</v>
      </c>
      <c r="O54" t="n">
        <v>0</v>
      </c>
      <c r="P54" t="n">
        <v>0</v>
      </c>
      <c r="Q54" t="n">
        <v>0</v>
      </c>
      <c r="R54" s="2" t="inlineStr"/>
    </row>
    <row r="55" ht="15" customHeight="1">
      <c r="A55" t="inlineStr">
        <is>
          <t>A 26668-2025</t>
        </is>
      </c>
      <c r="B55" s="1" t="n">
        <v>45810.41017361111</v>
      </c>
      <c r="C55" s="1" t="n">
        <v>45895</v>
      </c>
      <c r="D55" t="inlineStr">
        <is>
          <t>UPPSALA LÄN</t>
        </is>
      </c>
      <c r="E55" t="inlineStr">
        <is>
          <t>ÄLVKARLEBY</t>
        </is>
      </c>
      <c r="F55" t="inlineStr">
        <is>
          <t>Bergvik skog väst AB</t>
        </is>
      </c>
      <c r="G55" t="n">
        <v>2.6</v>
      </c>
      <c r="H55" t="n">
        <v>0</v>
      </c>
      <c r="I55" t="n">
        <v>0</v>
      </c>
      <c r="J55" t="n">
        <v>0</v>
      </c>
      <c r="K55" t="n">
        <v>0</v>
      </c>
      <c r="L55" t="n">
        <v>0</v>
      </c>
      <c r="M55" t="n">
        <v>0</v>
      </c>
      <c r="N55" t="n">
        <v>0</v>
      </c>
      <c r="O55" t="n">
        <v>0</v>
      </c>
      <c r="P55" t="n">
        <v>0</v>
      </c>
      <c r="Q55" t="n">
        <v>0</v>
      </c>
      <c r="R55" s="2" t="inlineStr"/>
    </row>
    <row r="56" ht="15" customHeight="1">
      <c r="A56" t="inlineStr">
        <is>
          <t>A 8030-2025</t>
        </is>
      </c>
      <c r="B56" s="1" t="n">
        <v>45707.59064814815</v>
      </c>
      <c r="C56" s="1" t="n">
        <v>45895</v>
      </c>
      <c r="D56" t="inlineStr">
        <is>
          <t>UPPSALA LÄN</t>
        </is>
      </c>
      <c r="E56" t="inlineStr">
        <is>
          <t>ÄLVKARLEBY</t>
        </is>
      </c>
      <c r="F56" t="inlineStr">
        <is>
          <t>Bergvik skog väst AB</t>
        </is>
      </c>
      <c r="G56" t="n">
        <v>3.6</v>
      </c>
      <c r="H56" t="n">
        <v>0</v>
      </c>
      <c r="I56" t="n">
        <v>0</v>
      </c>
      <c r="J56" t="n">
        <v>0</v>
      </c>
      <c r="K56" t="n">
        <v>0</v>
      </c>
      <c r="L56" t="n">
        <v>0</v>
      </c>
      <c r="M56" t="n">
        <v>0</v>
      </c>
      <c r="N56" t="n">
        <v>0</v>
      </c>
      <c r="O56" t="n">
        <v>0</v>
      </c>
      <c r="P56" t="n">
        <v>0</v>
      </c>
      <c r="Q56" t="n">
        <v>0</v>
      </c>
      <c r="R56" s="2" t="inlineStr"/>
    </row>
    <row r="57" ht="15" customHeight="1">
      <c r="A57" t="inlineStr">
        <is>
          <t>A 27330-2025</t>
        </is>
      </c>
      <c r="B57" s="1" t="n">
        <v>45812.60934027778</v>
      </c>
      <c r="C57" s="1" t="n">
        <v>45895</v>
      </c>
      <c r="D57" t="inlineStr">
        <is>
          <t>UPPSALA LÄN</t>
        </is>
      </c>
      <c r="E57" t="inlineStr">
        <is>
          <t>ÄLVKARLEBY</t>
        </is>
      </c>
      <c r="F57" t="inlineStr">
        <is>
          <t>Bergvik skog väst AB</t>
        </is>
      </c>
      <c r="G57" t="n">
        <v>0.5</v>
      </c>
      <c r="H57" t="n">
        <v>0</v>
      </c>
      <c r="I57" t="n">
        <v>0</v>
      </c>
      <c r="J57" t="n">
        <v>0</v>
      </c>
      <c r="K57" t="n">
        <v>0</v>
      </c>
      <c r="L57" t="n">
        <v>0</v>
      </c>
      <c r="M57" t="n">
        <v>0</v>
      </c>
      <c r="N57" t="n">
        <v>0</v>
      </c>
      <c r="O57" t="n">
        <v>0</v>
      </c>
      <c r="P57" t="n">
        <v>0</v>
      </c>
      <c r="Q57" t="n">
        <v>0</v>
      </c>
      <c r="R57" s="2" t="inlineStr"/>
    </row>
    <row r="58" ht="15" customHeight="1">
      <c r="A58" t="inlineStr">
        <is>
          <t>A 27743-2025</t>
        </is>
      </c>
      <c r="B58" s="1" t="n">
        <v>45815.53981481482</v>
      </c>
      <c r="C58" s="1" t="n">
        <v>45895</v>
      </c>
      <c r="D58" t="inlineStr">
        <is>
          <t>UPPSALA LÄN</t>
        </is>
      </c>
      <c r="E58" t="inlineStr">
        <is>
          <t>ÄLVKARLEBY</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19703-2025</t>
        </is>
      </c>
      <c r="B59" s="1" t="n">
        <v>45771</v>
      </c>
      <c r="C59" s="1" t="n">
        <v>45895</v>
      </c>
      <c r="D59" t="inlineStr">
        <is>
          <t>UPPSALA LÄN</t>
        </is>
      </c>
      <c r="E59" t="inlineStr">
        <is>
          <t>ÄLVKARLEBY</t>
        </is>
      </c>
      <c r="F59" t="inlineStr">
        <is>
          <t>Bergvik skog väst AB</t>
        </is>
      </c>
      <c r="G59" t="n">
        <v>3.8</v>
      </c>
      <c r="H59" t="n">
        <v>0</v>
      </c>
      <c r="I59" t="n">
        <v>0</v>
      </c>
      <c r="J59" t="n">
        <v>0</v>
      </c>
      <c r="K59" t="n">
        <v>0</v>
      </c>
      <c r="L59" t="n">
        <v>0</v>
      </c>
      <c r="M59" t="n">
        <v>0</v>
      </c>
      <c r="N59" t="n">
        <v>0</v>
      </c>
      <c r="O59" t="n">
        <v>0</v>
      </c>
      <c r="P59" t="n">
        <v>0</v>
      </c>
      <c r="Q59" t="n">
        <v>0</v>
      </c>
      <c r="R59" s="2" t="inlineStr"/>
    </row>
    <row r="60" ht="15" customHeight="1">
      <c r="A60" t="inlineStr">
        <is>
          <t>A 27742-2025</t>
        </is>
      </c>
      <c r="B60" s="1" t="n">
        <v>45815.53724537037</v>
      </c>
      <c r="C60" s="1" t="n">
        <v>45895</v>
      </c>
      <c r="D60" t="inlineStr">
        <is>
          <t>UPPSALA LÄN</t>
        </is>
      </c>
      <c r="E60" t="inlineStr">
        <is>
          <t>ÄLVKARLEBY</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27741-2025</t>
        </is>
      </c>
      <c r="B61" s="1" t="n">
        <v>45815.5346875</v>
      </c>
      <c r="C61" s="1" t="n">
        <v>45895</v>
      </c>
      <c r="D61" t="inlineStr">
        <is>
          <t>UPPSALA LÄN</t>
        </is>
      </c>
      <c r="E61" t="inlineStr">
        <is>
          <t>ÄLVKARLEBY</t>
        </is>
      </c>
      <c r="F61" t="inlineStr">
        <is>
          <t>Bergvik skog väst AB</t>
        </is>
      </c>
      <c r="G61" t="n">
        <v>4.4</v>
      </c>
      <c r="H61" t="n">
        <v>0</v>
      </c>
      <c r="I61" t="n">
        <v>0</v>
      </c>
      <c r="J61" t="n">
        <v>0</v>
      </c>
      <c r="K61" t="n">
        <v>0</v>
      </c>
      <c r="L61" t="n">
        <v>0</v>
      </c>
      <c r="M61" t="n">
        <v>0</v>
      </c>
      <c r="N61" t="n">
        <v>0</v>
      </c>
      <c r="O61" t="n">
        <v>0</v>
      </c>
      <c r="P61" t="n">
        <v>0</v>
      </c>
      <c r="Q61" t="n">
        <v>0</v>
      </c>
      <c r="R61" s="2" t="inlineStr"/>
    </row>
    <row r="62" ht="15" customHeight="1">
      <c r="A62" t="inlineStr">
        <is>
          <t>A 46113-2023</t>
        </is>
      </c>
      <c r="B62" s="1" t="n">
        <v>45196.54938657407</v>
      </c>
      <c r="C62" s="1" t="n">
        <v>45895</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28670-2025</t>
        </is>
      </c>
      <c r="B63" s="1" t="n">
        <v>45819.67130787037</v>
      </c>
      <c r="C63" s="1" t="n">
        <v>45895</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45895</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28668-2025</t>
        </is>
      </c>
      <c r="B65" s="1" t="n">
        <v>45819.66650462963</v>
      </c>
      <c r="C65" s="1" t="n">
        <v>45895</v>
      </c>
      <c r="D65" t="inlineStr">
        <is>
          <t>UPPSALA LÄN</t>
        </is>
      </c>
      <c r="E65" t="inlineStr">
        <is>
          <t>ÄLVKARLEBY</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30483-2025</t>
        </is>
      </c>
      <c r="B66" s="1" t="n">
        <v>45828.68988425926</v>
      </c>
      <c r="C66" s="1" t="n">
        <v>45895</v>
      </c>
      <c r="D66" t="inlineStr">
        <is>
          <t>UPPSALA LÄN</t>
        </is>
      </c>
      <c r="E66" t="inlineStr">
        <is>
          <t>ÄLVKARLEBY</t>
        </is>
      </c>
      <c r="F66" t="inlineStr">
        <is>
          <t>Bergvik skog väst AB</t>
        </is>
      </c>
      <c r="G66" t="n">
        <v>1.8</v>
      </c>
      <c r="H66" t="n">
        <v>0</v>
      </c>
      <c r="I66" t="n">
        <v>0</v>
      </c>
      <c r="J66" t="n">
        <v>0</v>
      </c>
      <c r="K66" t="n">
        <v>0</v>
      </c>
      <c r="L66" t="n">
        <v>0</v>
      </c>
      <c r="M66" t="n">
        <v>0</v>
      </c>
      <c r="N66" t="n">
        <v>0</v>
      </c>
      <c r="O66" t="n">
        <v>0</v>
      </c>
      <c r="P66" t="n">
        <v>0</v>
      </c>
      <c r="Q66" t="n">
        <v>0</v>
      </c>
      <c r="R66" s="2" t="inlineStr"/>
    </row>
    <row r="67" ht="15" customHeight="1">
      <c r="A67" t="inlineStr">
        <is>
          <t>A 41979-2024</t>
        </is>
      </c>
      <c r="B67" s="1" t="n">
        <v>45561</v>
      </c>
      <c r="C67" s="1" t="n">
        <v>45895</v>
      </c>
      <c r="D67" t="inlineStr">
        <is>
          <t>UPPSALA LÄN</t>
        </is>
      </c>
      <c r="E67" t="inlineStr">
        <is>
          <t>ÄLVKARLEBY</t>
        </is>
      </c>
      <c r="F67" t="inlineStr">
        <is>
          <t>Bergvik skog väst AB</t>
        </is>
      </c>
      <c r="G67" t="n">
        <v>2.8</v>
      </c>
      <c r="H67" t="n">
        <v>0</v>
      </c>
      <c r="I67" t="n">
        <v>0</v>
      </c>
      <c r="J67" t="n">
        <v>0</v>
      </c>
      <c r="K67" t="n">
        <v>0</v>
      </c>
      <c r="L67" t="n">
        <v>0</v>
      </c>
      <c r="M67" t="n">
        <v>0</v>
      </c>
      <c r="N67" t="n">
        <v>0</v>
      </c>
      <c r="O67" t="n">
        <v>0</v>
      </c>
      <c r="P67" t="n">
        <v>0</v>
      </c>
      <c r="Q67" t="n">
        <v>0</v>
      </c>
      <c r="R67" s="2" t="inlineStr"/>
    </row>
    <row r="68" ht="15" customHeight="1">
      <c r="A68" t="inlineStr">
        <is>
          <t>A 36626-2025</t>
        </is>
      </c>
      <c r="B68" s="1" t="n">
        <v>45870.66732638889</v>
      </c>
      <c r="C68" s="1" t="n">
        <v>45895</v>
      </c>
      <c r="D68" t="inlineStr">
        <is>
          <t>UPPSALA LÄN</t>
        </is>
      </c>
      <c r="E68" t="inlineStr">
        <is>
          <t>ÄLVKARLEBY</t>
        </is>
      </c>
      <c r="F68" t="inlineStr">
        <is>
          <t>Bergvik skog väst AB</t>
        </is>
      </c>
      <c r="G68" t="n">
        <v>2.7</v>
      </c>
      <c r="H68" t="n">
        <v>0</v>
      </c>
      <c r="I68" t="n">
        <v>0</v>
      </c>
      <c r="J68" t="n">
        <v>0</v>
      </c>
      <c r="K68" t="n">
        <v>0</v>
      </c>
      <c r="L68" t="n">
        <v>0</v>
      </c>
      <c r="M68" t="n">
        <v>0</v>
      </c>
      <c r="N68" t="n">
        <v>0</v>
      </c>
      <c r="O68" t="n">
        <v>0</v>
      </c>
      <c r="P68" t="n">
        <v>0</v>
      </c>
      <c r="Q68" t="n">
        <v>0</v>
      </c>
      <c r="R68" s="2" t="inlineStr"/>
    </row>
    <row r="69" ht="15" customHeight="1">
      <c r="A69" t="inlineStr">
        <is>
          <t>A 30944-2025</t>
        </is>
      </c>
      <c r="B69" s="1" t="n">
        <v>45832.41182870371</v>
      </c>
      <c r="C69" s="1" t="n">
        <v>45895</v>
      </c>
      <c r="D69" t="inlineStr">
        <is>
          <t>UPPSALA LÄN</t>
        </is>
      </c>
      <c r="E69" t="inlineStr">
        <is>
          <t>ÄLVKARLEBY</t>
        </is>
      </c>
      <c r="F69" t="inlineStr">
        <is>
          <t>Bergvik skog öst AB</t>
        </is>
      </c>
      <c r="G69" t="n">
        <v>3.4</v>
      </c>
      <c r="H69" t="n">
        <v>0</v>
      </c>
      <c r="I69" t="n">
        <v>0</v>
      </c>
      <c r="J69" t="n">
        <v>0</v>
      </c>
      <c r="K69" t="n">
        <v>0</v>
      </c>
      <c r="L69" t="n">
        <v>0</v>
      </c>
      <c r="M69" t="n">
        <v>0</v>
      </c>
      <c r="N69" t="n">
        <v>0</v>
      </c>
      <c r="O69" t="n">
        <v>0</v>
      </c>
      <c r="P69" t="n">
        <v>0</v>
      </c>
      <c r="Q69" t="n">
        <v>0</v>
      </c>
      <c r="R69" s="2" t="inlineStr"/>
    </row>
    <row r="70" ht="15" customHeight="1">
      <c r="A70" t="inlineStr">
        <is>
          <t>A 30936-2025</t>
        </is>
      </c>
      <c r="B70" s="1" t="n">
        <v>45832.40586805555</v>
      </c>
      <c r="C70" s="1" t="n">
        <v>45895</v>
      </c>
      <c r="D70" t="inlineStr">
        <is>
          <t>UPPSALA LÄN</t>
        </is>
      </c>
      <c r="E70" t="inlineStr">
        <is>
          <t>ÄLVKARLEBY</t>
        </is>
      </c>
      <c r="F70" t="inlineStr">
        <is>
          <t>Bergvik skog öst AB</t>
        </is>
      </c>
      <c r="G70" t="n">
        <v>7.2</v>
      </c>
      <c r="H70" t="n">
        <v>0</v>
      </c>
      <c r="I70" t="n">
        <v>0</v>
      </c>
      <c r="J70" t="n">
        <v>0</v>
      </c>
      <c r="K70" t="n">
        <v>0</v>
      </c>
      <c r="L70" t="n">
        <v>0</v>
      </c>
      <c r="M70" t="n">
        <v>0</v>
      </c>
      <c r="N70" t="n">
        <v>0</v>
      </c>
      <c r="O70" t="n">
        <v>0</v>
      </c>
      <c r="P70" t="n">
        <v>0</v>
      </c>
      <c r="Q70" t="n">
        <v>0</v>
      </c>
      <c r="R70" s="2" t="inlineStr"/>
    </row>
    <row r="71" ht="15" customHeight="1">
      <c r="A71" t="inlineStr">
        <is>
          <t>A 967-2021</t>
        </is>
      </c>
      <c r="B71" s="1" t="n">
        <v>44207</v>
      </c>
      <c r="C71" s="1" t="n">
        <v>45895</v>
      </c>
      <c r="D71" t="inlineStr">
        <is>
          <t>UPPSALA LÄN</t>
        </is>
      </c>
      <c r="E71" t="inlineStr">
        <is>
          <t>ÄLVKARLEBY</t>
        </is>
      </c>
      <c r="G71" t="n">
        <v>0.7</v>
      </c>
      <c r="H71" t="n">
        <v>0</v>
      </c>
      <c r="I71" t="n">
        <v>0</v>
      </c>
      <c r="J71" t="n">
        <v>0</v>
      </c>
      <c r="K71" t="n">
        <v>0</v>
      </c>
      <c r="L71" t="n">
        <v>0</v>
      </c>
      <c r="M71" t="n">
        <v>0</v>
      </c>
      <c r="N71" t="n">
        <v>0</v>
      </c>
      <c r="O71" t="n">
        <v>0</v>
      </c>
      <c r="P71" t="n">
        <v>0</v>
      </c>
      <c r="Q71" t="n">
        <v>0</v>
      </c>
      <c r="R71" s="2" t="inlineStr"/>
    </row>
    <row r="72" ht="15" customHeight="1">
      <c r="A72" t="inlineStr">
        <is>
          <t>A 14004-2025</t>
        </is>
      </c>
      <c r="B72" s="1" t="n">
        <v>45740.2997337963</v>
      </c>
      <c r="C72" s="1" t="n">
        <v>45895</v>
      </c>
      <c r="D72" t="inlineStr">
        <is>
          <t>UPPSALA LÄN</t>
        </is>
      </c>
      <c r="E72" t="inlineStr">
        <is>
          <t>ÄLVKARLEBY</t>
        </is>
      </c>
      <c r="F72" t="inlineStr">
        <is>
          <t>Bergvik skog öst AB</t>
        </is>
      </c>
      <c r="G72" t="n">
        <v>10.1</v>
      </c>
      <c r="H72" t="n">
        <v>0</v>
      </c>
      <c r="I72" t="n">
        <v>0</v>
      </c>
      <c r="J72" t="n">
        <v>0</v>
      </c>
      <c r="K72" t="n">
        <v>0</v>
      </c>
      <c r="L72" t="n">
        <v>0</v>
      </c>
      <c r="M72" t="n">
        <v>0</v>
      </c>
      <c r="N72" t="n">
        <v>0</v>
      </c>
      <c r="O72" t="n">
        <v>0</v>
      </c>
      <c r="P72" t="n">
        <v>0</v>
      </c>
      <c r="Q72" t="n">
        <v>0</v>
      </c>
      <c r="R72" s="2" t="inlineStr"/>
    </row>
    <row r="73" ht="15" customHeight="1">
      <c r="A73" t="inlineStr">
        <is>
          <t>A 39791-2021</t>
        </is>
      </c>
      <c r="B73" s="1" t="n">
        <v>44417</v>
      </c>
      <c r="C73" s="1" t="n">
        <v>45895</v>
      </c>
      <c r="D73" t="inlineStr">
        <is>
          <t>UPPSALA LÄN</t>
        </is>
      </c>
      <c r="E73" t="inlineStr">
        <is>
          <t>ÄLVKARLEBY</t>
        </is>
      </c>
      <c r="G73" t="n">
        <v>1.8</v>
      </c>
      <c r="H73" t="n">
        <v>0</v>
      </c>
      <c r="I73" t="n">
        <v>0</v>
      </c>
      <c r="J73" t="n">
        <v>0</v>
      </c>
      <c r="K73" t="n">
        <v>0</v>
      </c>
      <c r="L73" t="n">
        <v>0</v>
      </c>
      <c r="M73" t="n">
        <v>0</v>
      </c>
      <c r="N73" t="n">
        <v>0</v>
      </c>
      <c r="O73" t="n">
        <v>0</v>
      </c>
      <c r="P73" t="n">
        <v>0</v>
      </c>
      <c r="Q73" t="n">
        <v>0</v>
      </c>
      <c r="R73" s="2" t="inlineStr"/>
    </row>
    <row r="74" ht="15" customHeight="1">
      <c r="A74" t="inlineStr">
        <is>
          <t>A 8031-2025</t>
        </is>
      </c>
      <c r="B74" s="1" t="n">
        <v>45707.59112268518</v>
      </c>
      <c r="C74" s="1" t="n">
        <v>45895</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45895</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45895</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41276-2023</t>
        </is>
      </c>
      <c r="B77" s="1" t="n">
        <v>45174</v>
      </c>
      <c r="C77" s="1" t="n">
        <v>45895</v>
      </c>
      <c r="D77" t="inlineStr">
        <is>
          <t>UPPSALA LÄN</t>
        </is>
      </c>
      <c r="E77" t="inlineStr">
        <is>
          <t>ÄLVKARLEBY</t>
        </is>
      </c>
      <c r="F77" t="inlineStr">
        <is>
          <t>Bergvik skog väst AB</t>
        </is>
      </c>
      <c r="G77" t="n">
        <v>0.3</v>
      </c>
      <c r="H77" t="n">
        <v>0</v>
      </c>
      <c r="I77" t="n">
        <v>0</v>
      </c>
      <c r="J77" t="n">
        <v>0</v>
      </c>
      <c r="K77" t="n">
        <v>0</v>
      </c>
      <c r="L77" t="n">
        <v>0</v>
      </c>
      <c r="M77" t="n">
        <v>0</v>
      </c>
      <c r="N77" t="n">
        <v>0</v>
      </c>
      <c r="O77" t="n">
        <v>0</v>
      </c>
      <c r="P77" t="n">
        <v>0</v>
      </c>
      <c r="Q77" t="n">
        <v>0</v>
      </c>
      <c r="R77" s="2" t="inlineStr"/>
    </row>
    <row r="78" ht="15" customHeight="1">
      <c r="A78" t="inlineStr">
        <is>
          <t>A 32221-2025</t>
        </is>
      </c>
      <c r="B78" s="1" t="n">
        <v>45835.5909837963</v>
      </c>
      <c r="C78" s="1" t="n">
        <v>45895</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32203-2025</t>
        </is>
      </c>
      <c r="B79" s="1" t="n">
        <v>45835.57951388889</v>
      </c>
      <c r="C79" s="1" t="n">
        <v>45895</v>
      </c>
      <c r="D79" t="inlineStr">
        <is>
          <t>UPPSALA LÄN</t>
        </is>
      </c>
      <c r="E79" t="inlineStr">
        <is>
          <t>ÄLVKARLEBY</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32186-2025</t>
        </is>
      </c>
      <c r="B80" s="1" t="n">
        <v>45835.5667824074</v>
      </c>
      <c r="C80" s="1" t="n">
        <v>45895</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32187-2025</t>
        </is>
      </c>
      <c r="B81" s="1" t="n">
        <v>45835.56949074074</v>
      </c>
      <c r="C81" s="1" t="n">
        <v>45895</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32212-2025</t>
        </is>
      </c>
      <c r="B82" s="1" t="n">
        <v>45835.58509259259</v>
      </c>
      <c r="C82" s="1" t="n">
        <v>45895</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41929-2024</t>
        </is>
      </c>
      <c r="B83" s="1" t="n">
        <v>45561</v>
      </c>
      <c r="C83" s="1" t="n">
        <v>45895</v>
      </c>
      <c r="D83" t="inlineStr">
        <is>
          <t>UPPSALA LÄN</t>
        </is>
      </c>
      <c r="E83" t="inlineStr">
        <is>
          <t>ÄLVKARLEBY</t>
        </is>
      </c>
      <c r="F83" t="inlineStr">
        <is>
          <t>Bergvik skog väst AB</t>
        </is>
      </c>
      <c r="G83" t="n">
        <v>4.9</v>
      </c>
      <c r="H83" t="n">
        <v>0</v>
      </c>
      <c r="I83" t="n">
        <v>0</v>
      </c>
      <c r="J83" t="n">
        <v>0</v>
      </c>
      <c r="K83" t="n">
        <v>0</v>
      </c>
      <c r="L83" t="n">
        <v>0</v>
      </c>
      <c r="M83" t="n">
        <v>0</v>
      </c>
      <c r="N83" t="n">
        <v>0</v>
      </c>
      <c r="O83" t="n">
        <v>0</v>
      </c>
      <c r="P83" t="n">
        <v>0</v>
      </c>
      <c r="Q83" t="n">
        <v>0</v>
      </c>
      <c r="R83" s="2" t="inlineStr"/>
    </row>
    <row r="84" ht="15" customHeight="1">
      <c r="A84" t="inlineStr">
        <is>
          <t>A 19740-2025</t>
        </is>
      </c>
      <c r="B84" s="1" t="n">
        <v>45771</v>
      </c>
      <c r="C84" s="1" t="n">
        <v>45895</v>
      </c>
      <c r="D84" t="inlineStr">
        <is>
          <t>UPPSALA LÄN</t>
        </is>
      </c>
      <c r="E84" t="inlineStr">
        <is>
          <t>ÄLVKARLEBY</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18451-2025</t>
        </is>
      </c>
      <c r="B85" s="1" t="n">
        <v>45762</v>
      </c>
      <c r="C85" s="1" t="n">
        <v>45895</v>
      </c>
      <c r="D85" t="inlineStr">
        <is>
          <t>UPPSALA LÄN</t>
        </is>
      </c>
      <c r="E85" t="inlineStr">
        <is>
          <t>ÄLVKARLEBY</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19862-2025</t>
        </is>
      </c>
      <c r="B86" s="1" t="n">
        <v>45771.53560185185</v>
      </c>
      <c r="C86" s="1" t="n">
        <v>45895</v>
      </c>
      <c r="D86" t="inlineStr">
        <is>
          <t>UPPSALA LÄN</t>
        </is>
      </c>
      <c r="E86" t="inlineStr">
        <is>
          <t>ÄLVKARLEBY</t>
        </is>
      </c>
      <c r="F86" t="inlineStr">
        <is>
          <t>Kyrkan</t>
        </is>
      </c>
      <c r="G86" t="n">
        <v>3</v>
      </c>
      <c r="H86" t="n">
        <v>0</v>
      </c>
      <c r="I86" t="n">
        <v>0</v>
      </c>
      <c r="J86" t="n">
        <v>0</v>
      </c>
      <c r="K86" t="n">
        <v>0</v>
      </c>
      <c r="L86" t="n">
        <v>0</v>
      </c>
      <c r="M86" t="n">
        <v>0</v>
      </c>
      <c r="N86" t="n">
        <v>0</v>
      </c>
      <c r="O86" t="n">
        <v>0</v>
      </c>
      <c r="P86" t="n">
        <v>0</v>
      </c>
      <c r="Q86" t="n">
        <v>0</v>
      </c>
      <c r="R86" s="2" t="inlineStr"/>
    </row>
    <row r="87">
      <c r="A87" t="inlineStr">
        <is>
          <t>A 14590-2023</t>
        </is>
      </c>
      <c r="B87" s="1" t="n">
        <v>45013.54621527778</v>
      </c>
      <c r="C87" s="1" t="n">
        <v>45895</v>
      </c>
      <c r="D87" t="inlineStr">
        <is>
          <t>UPPSALA LÄN</t>
        </is>
      </c>
      <c r="E87" t="inlineStr">
        <is>
          <t>ÄLVKARLEBY</t>
        </is>
      </c>
      <c r="G87" t="n">
        <v>1.8</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2025-08-26T08:32:28Z</dcterms:created>
  <dcterms:modified xmlns:dcterms="http://purl.org/dc/terms/" xmlns:xsi="http://www.w3.org/2001/XMLSchema-instance" xsi:type="dcterms:W3CDTF">2025-08-26T08:32:28Z</dcterms:modified>
</cp:coreProperties>
</file>