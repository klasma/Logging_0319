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45721</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45721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45721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45721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45721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45721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45721</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45721</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45721</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45721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45721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45721</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45721</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45721</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45721</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45721</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45721</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45721</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45721</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45721</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45721</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45721</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45721</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45721</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45721</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45721</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45721</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45721</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45721</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45721</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45721</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45721</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45721</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45721</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45721</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45721</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45721</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45721</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45721</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45721</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45721</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45721</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45721</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19969-2019</t>
        </is>
      </c>
      <c r="B45" s="1" t="n">
        <v>43570</v>
      </c>
      <c r="C45" s="1" t="n">
        <v>45721</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24105-2019</t>
        </is>
      </c>
      <c r="B46" s="1" t="n">
        <v>43598</v>
      </c>
      <c r="C46" s="1" t="n">
        <v>45721</v>
      </c>
      <c r="D46" t="inlineStr">
        <is>
          <t>UPPSALA LÄN</t>
        </is>
      </c>
      <c r="E46" t="inlineStr">
        <is>
          <t>ÄLVKARLEBY</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25340-2019</t>
        </is>
      </c>
      <c r="B47" s="1" t="n">
        <v>43606</v>
      </c>
      <c r="C47" s="1" t="n">
        <v>45721</v>
      </c>
      <c r="D47" t="inlineStr">
        <is>
          <t>UPPSALA LÄN</t>
        </is>
      </c>
      <c r="E47" t="inlineStr">
        <is>
          <t>ÄLVKARLEBY</t>
        </is>
      </c>
      <c r="F47" t="inlineStr">
        <is>
          <t>Bergvik skog väst AB</t>
        </is>
      </c>
      <c r="G47" t="n">
        <v>2.9</v>
      </c>
      <c r="H47" t="n">
        <v>0</v>
      </c>
      <c r="I47" t="n">
        <v>0</v>
      </c>
      <c r="J47" t="n">
        <v>0</v>
      </c>
      <c r="K47" t="n">
        <v>0</v>
      </c>
      <c r="L47" t="n">
        <v>0</v>
      </c>
      <c r="M47" t="n">
        <v>0</v>
      </c>
      <c r="N47" t="n">
        <v>0</v>
      </c>
      <c r="O47" t="n">
        <v>0</v>
      </c>
      <c r="P47" t="n">
        <v>0</v>
      </c>
      <c r="Q47" t="n">
        <v>0</v>
      </c>
      <c r="R47" s="2" t="inlineStr"/>
    </row>
    <row r="48" ht="15" customHeight="1">
      <c r="A48" t="inlineStr">
        <is>
          <t>A 44457-2019</t>
        </is>
      </c>
      <c r="B48" s="1" t="n">
        <v>43711</v>
      </c>
      <c r="C48" s="1" t="n">
        <v>45721</v>
      </c>
      <c r="D48" t="inlineStr">
        <is>
          <t>UPPSALA LÄN</t>
        </is>
      </c>
      <c r="E48" t="inlineStr">
        <is>
          <t>ÄLVKARLEBY</t>
        </is>
      </c>
      <c r="F48" t="inlineStr">
        <is>
          <t>Bergvik skog väst AB</t>
        </is>
      </c>
      <c r="G48" t="n">
        <v>8.699999999999999</v>
      </c>
      <c r="H48" t="n">
        <v>0</v>
      </c>
      <c r="I48" t="n">
        <v>0</v>
      </c>
      <c r="J48" t="n">
        <v>0</v>
      </c>
      <c r="K48" t="n">
        <v>0</v>
      </c>
      <c r="L48" t="n">
        <v>0</v>
      </c>
      <c r="M48" t="n">
        <v>0</v>
      </c>
      <c r="N48" t="n">
        <v>0</v>
      </c>
      <c r="O48" t="n">
        <v>0</v>
      </c>
      <c r="P48" t="n">
        <v>0</v>
      </c>
      <c r="Q48" t="n">
        <v>0</v>
      </c>
      <c r="R48" s="2" t="inlineStr"/>
    </row>
    <row r="49" ht="15" customHeight="1">
      <c r="A49" t="inlineStr">
        <is>
          <t>A 48822-2019</t>
        </is>
      </c>
      <c r="B49" s="1" t="n">
        <v>43728</v>
      </c>
      <c r="C49" s="1" t="n">
        <v>45721</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57745-2019</t>
        </is>
      </c>
      <c r="B50" s="1" t="n">
        <v>43768</v>
      </c>
      <c r="C50" s="1" t="n">
        <v>45721</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5511-2020</t>
        </is>
      </c>
      <c r="B51" s="1" t="n">
        <v>43861</v>
      </c>
      <c r="C51" s="1" t="n">
        <v>45721</v>
      </c>
      <c r="D51" t="inlineStr">
        <is>
          <t>UPPSALA LÄN</t>
        </is>
      </c>
      <c r="E51" t="inlineStr">
        <is>
          <t>ÄLVKARLEBY</t>
        </is>
      </c>
      <c r="G51" t="n">
        <v>1.2</v>
      </c>
      <c r="H51" t="n">
        <v>0</v>
      </c>
      <c r="I51" t="n">
        <v>0</v>
      </c>
      <c r="J51" t="n">
        <v>0</v>
      </c>
      <c r="K51" t="n">
        <v>0</v>
      </c>
      <c r="L51" t="n">
        <v>0</v>
      </c>
      <c r="M51" t="n">
        <v>0</v>
      </c>
      <c r="N51" t="n">
        <v>0</v>
      </c>
      <c r="O51" t="n">
        <v>0</v>
      </c>
      <c r="P51" t="n">
        <v>0</v>
      </c>
      <c r="Q51" t="n">
        <v>0</v>
      </c>
      <c r="R51" s="2" t="inlineStr"/>
    </row>
    <row r="52" ht="15" customHeight="1">
      <c r="A52" t="inlineStr">
        <is>
          <t>A 15213-2020</t>
        </is>
      </c>
      <c r="B52" s="1" t="n">
        <v>43913</v>
      </c>
      <c r="C52" s="1" t="n">
        <v>45721</v>
      </c>
      <c r="D52" t="inlineStr">
        <is>
          <t>UPPSALA LÄN</t>
        </is>
      </c>
      <c r="E52" t="inlineStr">
        <is>
          <t>ÄLVKARLEBY</t>
        </is>
      </c>
      <c r="G52" t="n">
        <v>5</v>
      </c>
      <c r="H52" t="n">
        <v>0</v>
      </c>
      <c r="I52" t="n">
        <v>0</v>
      </c>
      <c r="J52" t="n">
        <v>0</v>
      </c>
      <c r="K52" t="n">
        <v>0</v>
      </c>
      <c r="L52" t="n">
        <v>0</v>
      </c>
      <c r="M52" t="n">
        <v>0</v>
      </c>
      <c r="N52" t="n">
        <v>0</v>
      </c>
      <c r="O52" t="n">
        <v>0</v>
      </c>
      <c r="P52" t="n">
        <v>0</v>
      </c>
      <c r="Q52" t="n">
        <v>0</v>
      </c>
      <c r="R52" s="2" t="inlineStr"/>
    </row>
    <row r="53" ht="15" customHeight="1">
      <c r="A53" t="inlineStr">
        <is>
          <t>A 32416-2020</t>
        </is>
      </c>
      <c r="B53" s="1" t="n">
        <v>44018</v>
      </c>
      <c r="C53" s="1" t="n">
        <v>45721</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37193-2020</t>
        </is>
      </c>
      <c r="B54" s="1" t="n">
        <v>44054</v>
      </c>
      <c r="C54" s="1" t="n">
        <v>45721</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40667-2020</t>
        </is>
      </c>
      <c r="B55" s="1" t="n">
        <v>44069</v>
      </c>
      <c r="C55" s="1" t="n">
        <v>45721</v>
      </c>
      <c r="D55" t="inlineStr">
        <is>
          <t>UPPSALA LÄN</t>
        </is>
      </c>
      <c r="E55" t="inlineStr">
        <is>
          <t>ÄLVKARLEBY</t>
        </is>
      </c>
      <c r="F55" t="inlineStr">
        <is>
          <t>Bergvik skog väst AB</t>
        </is>
      </c>
      <c r="G55" t="n">
        <v>20.7</v>
      </c>
      <c r="H55" t="n">
        <v>0</v>
      </c>
      <c r="I55" t="n">
        <v>0</v>
      </c>
      <c r="J55" t="n">
        <v>0</v>
      </c>
      <c r="K55" t="n">
        <v>0</v>
      </c>
      <c r="L55" t="n">
        <v>0</v>
      </c>
      <c r="M55" t="n">
        <v>0</v>
      </c>
      <c r="N55" t="n">
        <v>0</v>
      </c>
      <c r="O55" t="n">
        <v>0</v>
      </c>
      <c r="P55" t="n">
        <v>0</v>
      </c>
      <c r="Q55" t="n">
        <v>0</v>
      </c>
      <c r="R55" s="2" t="inlineStr"/>
    </row>
    <row r="56" ht="15" customHeight="1">
      <c r="A56" t="inlineStr">
        <is>
          <t>A 50413-2020</t>
        </is>
      </c>
      <c r="B56" s="1" t="n">
        <v>44110</v>
      </c>
      <c r="C56" s="1" t="n">
        <v>45721</v>
      </c>
      <c r="D56" t="inlineStr">
        <is>
          <t>UPPSALA LÄN</t>
        </is>
      </c>
      <c r="E56" t="inlineStr">
        <is>
          <t>ÄLVKARLEBY</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50416-2020</t>
        </is>
      </c>
      <c r="B57" s="1" t="n">
        <v>44110</v>
      </c>
      <c r="C57" s="1" t="n">
        <v>45721</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50409-2020</t>
        </is>
      </c>
      <c r="B58" s="1" t="n">
        <v>44110</v>
      </c>
      <c r="C58" s="1" t="n">
        <v>45721</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66278-2020</t>
        </is>
      </c>
      <c r="B59" s="1" t="n">
        <v>44176</v>
      </c>
      <c r="C59" s="1" t="n">
        <v>45721</v>
      </c>
      <c r="D59" t="inlineStr">
        <is>
          <t>UPPSALA LÄN</t>
        </is>
      </c>
      <c r="E59" t="inlineStr">
        <is>
          <t>ÄLVKARLEBY</t>
        </is>
      </c>
      <c r="F59" t="inlineStr">
        <is>
          <t>Bergvik skog väst AB</t>
        </is>
      </c>
      <c r="G59" t="n">
        <v>4.1</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45721</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11553-2021</t>
        </is>
      </c>
      <c r="B61" s="1" t="n">
        <v>44264</v>
      </c>
      <c r="C61" s="1" t="n">
        <v>45721</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13476-2021</t>
        </is>
      </c>
      <c r="B62" s="1" t="n">
        <v>44273</v>
      </c>
      <c r="C62" s="1" t="n">
        <v>45721</v>
      </c>
      <c r="D62" t="inlineStr">
        <is>
          <t>UPPSALA LÄN</t>
        </is>
      </c>
      <c r="E62" t="inlineStr">
        <is>
          <t>ÄLVKARLEBY</t>
        </is>
      </c>
      <c r="F62" t="inlineStr">
        <is>
          <t>Bergvik skog väst AB</t>
        </is>
      </c>
      <c r="G62" t="n">
        <v>12.1</v>
      </c>
      <c r="H62" t="n">
        <v>0</v>
      </c>
      <c r="I62" t="n">
        <v>0</v>
      </c>
      <c r="J62" t="n">
        <v>0</v>
      </c>
      <c r="K62" t="n">
        <v>0</v>
      </c>
      <c r="L62" t="n">
        <v>0</v>
      </c>
      <c r="M62" t="n">
        <v>0</v>
      </c>
      <c r="N62" t="n">
        <v>0</v>
      </c>
      <c r="O62" t="n">
        <v>0</v>
      </c>
      <c r="P62" t="n">
        <v>0</v>
      </c>
      <c r="Q62" t="n">
        <v>0</v>
      </c>
      <c r="R62" s="2" t="inlineStr"/>
    </row>
    <row r="63" ht="15" customHeight="1">
      <c r="A63" t="inlineStr">
        <is>
          <t>A 39791-2021</t>
        </is>
      </c>
      <c r="B63" s="1" t="n">
        <v>44417</v>
      </c>
      <c r="C63" s="1" t="n">
        <v>45721</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47226-2021</t>
        </is>
      </c>
      <c r="B64" s="1" t="n">
        <v>44447</v>
      </c>
      <c r="C64" s="1" t="n">
        <v>45721</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16990-2022</t>
        </is>
      </c>
      <c r="B65" s="1" t="n">
        <v>44676</v>
      </c>
      <c r="C65" s="1" t="n">
        <v>45721</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22916-2022</t>
        </is>
      </c>
      <c r="B66" s="1" t="n">
        <v>44715</v>
      </c>
      <c r="C66" s="1" t="n">
        <v>45721</v>
      </c>
      <c r="D66" t="inlineStr">
        <is>
          <t>UPPSALA LÄN</t>
        </is>
      </c>
      <c r="E66" t="inlineStr">
        <is>
          <t>ÄLVKARLEBY</t>
        </is>
      </c>
      <c r="F66" t="inlineStr">
        <is>
          <t>Bergvik skog väst AB</t>
        </is>
      </c>
      <c r="G66" t="n">
        <v>9.199999999999999</v>
      </c>
      <c r="H66" t="n">
        <v>0</v>
      </c>
      <c r="I66" t="n">
        <v>0</v>
      </c>
      <c r="J66" t="n">
        <v>0</v>
      </c>
      <c r="K66" t="n">
        <v>0</v>
      </c>
      <c r="L66" t="n">
        <v>0</v>
      </c>
      <c r="M66" t="n">
        <v>0</v>
      </c>
      <c r="N66" t="n">
        <v>0</v>
      </c>
      <c r="O66" t="n">
        <v>0</v>
      </c>
      <c r="P66" t="n">
        <v>0</v>
      </c>
      <c r="Q66" t="n">
        <v>0</v>
      </c>
      <c r="R66" s="2" t="inlineStr"/>
    </row>
    <row r="67" ht="15" customHeight="1">
      <c r="A67" t="inlineStr">
        <is>
          <t>A 26815-2022</t>
        </is>
      </c>
      <c r="B67" s="1" t="n">
        <v>44740</v>
      </c>
      <c r="C67" s="1" t="n">
        <v>45721</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29116-2022</t>
        </is>
      </c>
      <c r="B68" s="1" t="n">
        <v>44750</v>
      </c>
      <c r="C68" s="1" t="n">
        <v>45721</v>
      </c>
      <c r="D68" t="inlineStr">
        <is>
          <t>UPPSALA LÄN</t>
        </is>
      </c>
      <c r="E68" t="inlineStr">
        <is>
          <t>ÄLVKARLEBY</t>
        </is>
      </c>
      <c r="F68" t="inlineStr">
        <is>
          <t>Kommuner</t>
        </is>
      </c>
      <c r="G68" t="n">
        <v>1.6</v>
      </c>
      <c r="H68" t="n">
        <v>0</v>
      </c>
      <c r="I68" t="n">
        <v>0</v>
      </c>
      <c r="J68" t="n">
        <v>0</v>
      </c>
      <c r="K68" t="n">
        <v>0</v>
      </c>
      <c r="L68" t="n">
        <v>0</v>
      </c>
      <c r="M68" t="n">
        <v>0</v>
      </c>
      <c r="N68" t="n">
        <v>0</v>
      </c>
      <c r="O68" t="n">
        <v>0</v>
      </c>
      <c r="P68" t="n">
        <v>0</v>
      </c>
      <c r="Q68" t="n">
        <v>0</v>
      </c>
      <c r="R68" s="2" t="inlineStr"/>
    </row>
    <row r="69" ht="15" customHeight="1">
      <c r="A69" t="inlineStr">
        <is>
          <t>A 29168-2022</t>
        </is>
      </c>
      <c r="B69" s="1" t="n">
        <v>44750</v>
      </c>
      <c r="C69" s="1" t="n">
        <v>45721</v>
      </c>
      <c r="D69" t="inlineStr">
        <is>
          <t>UPPSALA LÄN</t>
        </is>
      </c>
      <c r="E69" t="inlineStr">
        <is>
          <t>ÄLVKARLEBY</t>
        </is>
      </c>
      <c r="F69" t="inlineStr">
        <is>
          <t>Kommuner</t>
        </is>
      </c>
      <c r="G69" t="n">
        <v>5.1</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45721</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36217-2022</t>
        </is>
      </c>
      <c r="B71" s="1" t="n">
        <v>44803</v>
      </c>
      <c r="C71" s="1" t="n">
        <v>45721</v>
      </c>
      <c r="D71" t="inlineStr">
        <is>
          <t>UPPSALA LÄN</t>
        </is>
      </c>
      <c r="E71" t="inlineStr">
        <is>
          <t>ÄLVKARLEBY</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36282-2022</t>
        </is>
      </c>
      <c r="B72" s="1" t="n">
        <v>44803</v>
      </c>
      <c r="C72" s="1" t="n">
        <v>45721</v>
      </c>
      <c r="D72" t="inlineStr">
        <is>
          <t>UPPSALA LÄN</t>
        </is>
      </c>
      <c r="E72" t="inlineStr">
        <is>
          <t>ÄLVKARLEBY</t>
        </is>
      </c>
      <c r="G72" t="n">
        <v>0.1</v>
      </c>
      <c r="H72" t="n">
        <v>0</v>
      </c>
      <c r="I72" t="n">
        <v>0</v>
      </c>
      <c r="J72" t="n">
        <v>0</v>
      </c>
      <c r="K72" t="n">
        <v>0</v>
      </c>
      <c r="L72" t="n">
        <v>0</v>
      </c>
      <c r="M72" t="n">
        <v>0</v>
      </c>
      <c r="N72" t="n">
        <v>0</v>
      </c>
      <c r="O72" t="n">
        <v>0</v>
      </c>
      <c r="P72" t="n">
        <v>0</v>
      </c>
      <c r="Q72" t="n">
        <v>0</v>
      </c>
      <c r="R72" s="2" t="inlineStr"/>
    </row>
    <row r="73" ht="15" customHeight="1">
      <c r="A73" t="inlineStr">
        <is>
          <t>A 41757-2022</t>
        </is>
      </c>
      <c r="B73" s="1" t="n">
        <v>44827</v>
      </c>
      <c r="C73" s="1" t="n">
        <v>45721</v>
      </c>
      <c r="D73" t="inlineStr">
        <is>
          <t>UPPSALA LÄN</t>
        </is>
      </c>
      <c r="E73" t="inlineStr">
        <is>
          <t>ÄLVKARLEBY</t>
        </is>
      </c>
      <c r="F73" t="inlineStr">
        <is>
          <t>Bergvik skog väst AB</t>
        </is>
      </c>
      <c r="G73" t="n">
        <v>12.7</v>
      </c>
      <c r="H73" t="n">
        <v>0</v>
      </c>
      <c r="I73" t="n">
        <v>0</v>
      </c>
      <c r="J73" t="n">
        <v>0</v>
      </c>
      <c r="K73" t="n">
        <v>0</v>
      </c>
      <c r="L73" t="n">
        <v>0</v>
      </c>
      <c r="M73" t="n">
        <v>0</v>
      </c>
      <c r="N73" t="n">
        <v>0</v>
      </c>
      <c r="O73" t="n">
        <v>0</v>
      </c>
      <c r="P73" t="n">
        <v>0</v>
      </c>
      <c r="Q73" t="n">
        <v>0</v>
      </c>
      <c r="R73" s="2" t="inlineStr"/>
    </row>
    <row r="74" ht="15" customHeight="1">
      <c r="A74" t="inlineStr">
        <is>
          <t>A 60837-2022</t>
        </is>
      </c>
      <c r="B74" s="1" t="n">
        <v>44914</v>
      </c>
      <c r="C74" s="1" t="n">
        <v>45721</v>
      </c>
      <c r="D74" t="inlineStr">
        <is>
          <t>UPPSALA LÄN</t>
        </is>
      </c>
      <c r="E74" t="inlineStr">
        <is>
          <t>ÄLVKARLEBY</t>
        </is>
      </c>
      <c r="F74" t="inlineStr">
        <is>
          <t>Bergvik skog väst AB</t>
        </is>
      </c>
      <c r="G74" t="n">
        <v>3.1</v>
      </c>
      <c r="H74" t="n">
        <v>0</v>
      </c>
      <c r="I74" t="n">
        <v>0</v>
      </c>
      <c r="J74" t="n">
        <v>0</v>
      </c>
      <c r="K74" t="n">
        <v>0</v>
      </c>
      <c r="L74" t="n">
        <v>0</v>
      </c>
      <c r="M74" t="n">
        <v>0</v>
      </c>
      <c r="N74" t="n">
        <v>0</v>
      </c>
      <c r="O74" t="n">
        <v>0</v>
      </c>
      <c r="P74" t="n">
        <v>0</v>
      </c>
      <c r="Q74" t="n">
        <v>0</v>
      </c>
      <c r="R74" s="2" t="inlineStr"/>
    </row>
    <row r="75" ht="15" customHeight="1">
      <c r="A75" t="inlineStr">
        <is>
          <t>A 6839-2023</t>
        </is>
      </c>
      <c r="B75" s="1" t="n">
        <v>44967</v>
      </c>
      <c r="C75" s="1" t="n">
        <v>45721</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6834-2023</t>
        </is>
      </c>
      <c r="B76" s="1" t="n">
        <v>44967</v>
      </c>
      <c r="C76" s="1" t="n">
        <v>45721</v>
      </c>
      <c r="D76" t="inlineStr">
        <is>
          <t>UPPSALA LÄN</t>
        </is>
      </c>
      <c r="E76" t="inlineStr">
        <is>
          <t>ÄLVKARLEBY</t>
        </is>
      </c>
      <c r="F76" t="inlineStr">
        <is>
          <t>Bergvik skog väst AB</t>
        </is>
      </c>
      <c r="G76" t="n">
        <v>8.1</v>
      </c>
      <c r="H76" t="n">
        <v>0</v>
      </c>
      <c r="I76" t="n">
        <v>0</v>
      </c>
      <c r="J76" t="n">
        <v>0</v>
      </c>
      <c r="K76" t="n">
        <v>0</v>
      </c>
      <c r="L76" t="n">
        <v>0</v>
      </c>
      <c r="M76" t="n">
        <v>0</v>
      </c>
      <c r="N76" t="n">
        <v>0</v>
      </c>
      <c r="O76" t="n">
        <v>0</v>
      </c>
      <c r="P76" t="n">
        <v>0</v>
      </c>
      <c r="Q76" t="n">
        <v>0</v>
      </c>
      <c r="R76" s="2" t="inlineStr"/>
    </row>
    <row r="77" ht="15" customHeight="1">
      <c r="A77" t="inlineStr">
        <is>
          <t>A 7286-2023</t>
        </is>
      </c>
      <c r="B77" s="1" t="n">
        <v>44970</v>
      </c>
      <c r="C77" s="1" t="n">
        <v>45721</v>
      </c>
      <c r="D77" t="inlineStr">
        <is>
          <t>UPPSALA LÄN</t>
        </is>
      </c>
      <c r="E77" t="inlineStr">
        <is>
          <t>ÄLVKARLEBY</t>
        </is>
      </c>
      <c r="F77" t="inlineStr">
        <is>
          <t>Bergvik skog väst AB</t>
        </is>
      </c>
      <c r="G77" t="n">
        <v>2.5</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45721</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21520-2023</t>
        </is>
      </c>
      <c r="B79" s="1" t="n">
        <v>45063</v>
      </c>
      <c r="C79" s="1" t="n">
        <v>45721</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26983-2023</t>
        </is>
      </c>
      <c r="B80" s="1" t="n">
        <v>45093</v>
      </c>
      <c r="C80" s="1" t="n">
        <v>45721</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38306-2023</t>
        </is>
      </c>
      <c r="B81" s="1" t="n">
        <v>45161</v>
      </c>
      <c r="C81" s="1" t="n">
        <v>45721</v>
      </c>
      <c r="D81" t="inlineStr">
        <is>
          <t>UPPSALA LÄN</t>
        </is>
      </c>
      <c r="E81" t="inlineStr">
        <is>
          <t>ÄLVKARLEBY</t>
        </is>
      </c>
      <c r="F81" t="inlineStr">
        <is>
          <t>Bergvik skog väst AB</t>
        </is>
      </c>
      <c r="G81" t="n">
        <v>18.6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45721</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38454-2023</t>
        </is>
      </c>
      <c r="B83" s="1" t="n">
        <v>45162</v>
      </c>
      <c r="C83" s="1" t="n">
        <v>45721</v>
      </c>
      <c r="D83" t="inlineStr">
        <is>
          <t>UPPSALA LÄN</t>
        </is>
      </c>
      <c r="E83" t="inlineStr">
        <is>
          <t>ÄLVKARLEBY</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38453-2023</t>
        </is>
      </c>
      <c r="B84" s="1" t="n">
        <v>45162</v>
      </c>
      <c r="C84" s="1" t="n">
        <v>45721</v>
      </c>
      <c r="D84" t="inlineStr">
        <is>
          <t>UPPSALA LÄN</t>
        </is>
      </c>
      <c r="E84" t="inlineStr">
        <is>
          <t>ÄLVKARLEBY</t>
        </is>
      </c>
      <c r="F84" t="inlineStr">
        <is>
          <t>Bergvik skog väst AB</t>
        </is>
      </c>
      <c r="G84" t="n">
        <v>3.7</v>
      </c>
      <c r="H84" t="n">
        <v>0</v>
      </c>
      <c r="I84" t="n">
        <v>0</v>
      </c>
      <c r="J84" t="n">
        <v>0</v>
      </c>
      <c r="K84" t="n">
        <v>0</v>
      </c>
      <c r="L84" t="n">
        <v>0</v>
      </c>
      <c r="M84" t="n">
        <v>0</v>
      </c>
      <c r="N84" t="n">
        <v>0</v>
      </c>
      <c r="O84" t="n">
        <v>0</v>
      </c>
      <c r="P84" t="n">
        <v>0</v>
      </c>
      <c r="Q84" t="n">
        <v>0</v>
      </c>
      <c r="R84" s="2" t="inlineStr"/>
    </row>
    <row r="85" ht="15" customHeight="1">
      <c r="A85" t="inlineStr">
        <is>
          <t>A 38461-2023</t>
        </is>
      </c>
      <c r="B85" s="1" t="n">
        <v>45162</v>
      </c>
      <c r="C85" s="1" t="n">
        <v>45721</v>
      </c>
      <c r="D85" t="inlineStr">
        <is>
          <t>UPPSALA LÄN</t>
        </is>
      </c>
      <c r="E85" t="inlineStr">
        <is>
          <t>ÄLVKARLEBY</t>
        </is>
      </c>
      <c r="F85" t="inlineStr">
        <is>
          <t>Bergvik skog väst AB</t>
        </is>
      </c>
      <c r="G85" t="n">
        <v>17.8</v>
      </c>
      <c r="H85" t="n">
        <v>0</v>
      </c>
      <c r="I85" t="n">
        <v>0</v>
      </c>
      <c r="J85" t="n">
        <v>0</v>
      </c>
      <c r="K85" t="n">
        <v>0</v>
      </c>
      <c r="L85" t="n">
        <v>0</v>
      </c>
      <c r="M85" t="n">
        <v>0</v>
      </c>
      <c r="N85" t="n">
        <v>0</v>
      </c>
      <c r="O85" t="n">
        <v>0</v>
      </c>
      <c r="P85" t="n">
        <v>0</v>
      </c>
      <c r="Q85" t="n">
        <v>0</v>
      </c>
      <c r="R85" s="2" t="inlineStr"/>
    </row>
    <row r="86" ht="15" customHeight="1">
      <c r="A86" t="inlineStr">
        <is>
          <t>A 41000-2023</t>
        </is>
      </c>
      <c r="B86" s="1" t="n">
        <v>45173</v>
      </c>
      <c r="C86" s="1" t="n">
        <v>45721</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41263-2023</t>
        </is>
      </c>
      <c r="B87" s="1" t="n">
        <v>45174</v>
      </c>
      <c r="C87" s="1" t="n">
        <v>45721</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45721</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45721</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42600-2023</t>
        </is>
      </c>
      <c r="B90" s="1" t="n">
        <v>45181</v>
      </c>
      <c r="C90" s="1" t="n">
        <v>45721</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c r="U90">
        <f>HYPERLINK("https://klasma.github.io/Logging_0319/knärot/A 42600-2023 karta knärot.png", "A 42600-2023")</f>
        <v/>
      </c>
      <c r="V90">
        <f>HYPERLINK("https://klasma.github.io/Logging_0319/klagomål/A 42600-2023 FSC-klagomål.docx", "A 42600-2023")</f>
        <v/>
      </c>
      <c r="W90">
        <f>HYPERLINK("https://klasma.github.io/Logging_0319/klagomålsmail/A 42600-2023 FSC-klagomål mail.docx", "A 42600-2023")</f>
        <v/>
      </c>
      <c r="X90">
        <f>HYPERLINK("https://klasma.github.io/Logging_0319/tillsyn/A 42600-2023 tillsynsbegäran.docx", "A 42600-2023")</f>
        <v/>
      </c>
      <c r="Y90">
        <f>HYPERLINK("https://klasma.github.io/Logging_0319/tillsynsmail/A 42600-2023 tillsynsbegäran mail.docx", "A 42600-2023")</f>
        <v/>
      </c>
    </row>
    <row r="91" ht="15" customHeight="1">
      <c r="A91" t="inlineStr">
        <is>
          <t>A 43285-2023</t>
        </is>
      </c>
      <c r="B91" s="1" t="n">
        <v>45183</v>
      </c>
      <c r="C91" s="1" t="n">
        <v>45721</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43288-2023</t>
        </is>
      </c>
      <c r="B92" s="1" t="n">
        <v>45183</v>
      </c>
      <c r="C92" s="1" t="n">
        <v>45721</v>
      </c>
      <c r="D92" t="inlineStr">
        <is>
          <t>UPPSALA LÄN</t>
        </is>
      </c>
      <c r="E92" t="inlineStr">
        <is>
          <t>ÄLVKARLEBY</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45527-2023</t>
        </is>
      </c>
      <c r="B93" s="1" t="n">
        <v>45194</v>
      </c>
      <c r="C93" s="1" t="n">
        <v>45721</v>
      </c>
      <c r="D93" t="inlineStr">
        <is>
          <t>UPPSALA LÄN</t>
        </is>
      </c>
      <c r="E93" t="inlineStr">
        <is>
          <t>ÄLVKARLEBY</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45529-2023</t>
        </is>
      </c>
      <c r="B94" s="1" t="n">
        <v>45194</v>
      </c>
      <c r="C94" s="1" t="n">
        <v>45721</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45528-2023</t>
        </is>
      </c>
      <c r="B95" s="1" t="n">
        <v>45194</v>
      </c>
      <c r="C95" s="1" t="n">
        <v>45721</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45871-2023</t>
        </is>
      </c>
      <c r="B96" s="1" t="n">
        <v>45195</v>
      </c>
      <c r="C96" s="1" t="n">
        <v>45721</v>
      </c>
      <c r="D96" t="inlineStr">
        <is>
          <t>UPPSALA LÄN</t>
        </is>
      </c>
      <c r="E96" t="inlineStr">
        <is>
          <t>ÄLVKARLEBY</t>
        </is>
      </c>
      <c r="G96" t="n">
        <v>3.7</v>
      </c>
      <c r="H96" t="n">
        <v>0</v>
      </c>
      <c r="I96" t="n">
        <v>0</v>
      </c>
      <c r="J96" t="n">
        <v>0</v>
      </c>
      <c r="K96" t="n">
        <v>0</v>
      </c>
      <c r="L96" t="n">
        <v>0</v>
      </c>
      <c r="M96" t="n">
        <v>0</v>
      </c>
      <c r="N96" t="n">
        <v>0</v>
      </c>
      <c r="O96" t="n">
        <v>0</v>
      </c>
      <c r="P96" t="n">
        <v>0</v>
      </c>
      <c r="Q96" t="n">
        <v>0</v>
      </c>
      <c r="R96" s="2" t="inlineStr"/>
    </row>
    <row r="97" ht="15" customHeight="1">
      <c r="A97" t="inlineStr">
        <is>
          <t>A 46113-2023</t>
        </is>
      </c>
      <c r="B97" s="1" t="n">
        <v>45196</v>
      </c>
      <c r="C97" s="1" t="n">
        <v>45721</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46106-2023</t>
        </is>
      </c>
      <c r="B98" s="1" t="n">
        <v>45196</v>
      </c>
      <c r="C98" s="1" t="n">
        <v>45721</v>
      </c>
      <c r="D98" t="inlineStr">
        <is>
          <t>UPPSALA LÄN</t>
        </is>
      </c>
      <c r="E98" t="inlineStr">
        <is>
          <t>ÄLVKARLEBY</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46429-2023</t>
        </is>
      </c>
      <c r="B99" s="1" t="n">
        <v>45197</v>
      </c>
      <c r="C99" s="1" t="n">
        <v>45721</v>
      </c>
      <c r="D99" t="inlineStr">
        <is>
          <t>UPPSALA LÄN</t>
        </is>
      </c>
      <c r="E99" t="inlineStr">
        <is>
          <t>ÄLVKARLEBY</t>
        </is>
      </c>
      <c r="G99" t="n">
        <v>1.7</v>
      </c>
      <c r="H99" t="n">
        <v>0</v>
      </c>
      <c r="I99" t="n">
        <v>0</v>
      </c>
      <c r="J99" t="n">
        <v>0</v>
      </c>
      <c r="K99" t="n">
        <v>0</v>
      </c>
      <c r="L99" t="n">
        <v>0</v>
      </c>
      <c r="M99" t="n">
        <v>0</v>
      </c>
      <c r="N99" t="n">
        <v>0</v>
      </c>
      <c r="O99" t="n">
        <v>0</v>
      </c>
      <c r="P99" t="n">
        <v>0</v>
      </c>
      <c r="Q99" t="n">
        <v>0</v>
      </c>
      <c r="R99" s="2" t="inlineStr"/>
    </row>
    <row r="100" ht="15" customHeight="1">
      <c r="A100" t="inlineStr">
        <is>
          <t>A 46436-2023</t>
        </is>
      </c>
      <c r="B100" s="1" t="n">
        <v>45197</v>
      </c>
      <c r="C100" s="1" t="n">
        <v>45721</v>
      </c>
      <c r="D100" t="inlineStr">
        <is>
          <t>UPPSALA LÄN</t>
        </is>
      </c>
      <c r="E100" t="inlineStr">
        <is>
          <t>ÄLVKARLEBY</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46477-2023</t>
        </is>
      </c>
      <c r="B101" s="1" t="n">
        <v>45197</v>
      </c>
      <c r="C101" s="1" t="n">
        <v>45721</v>
      </c>
      <c r="D101" t="inlineStr">
        <is>
          <t>UPPSALA LÄN</t>
        </is>
      </c>
      <c r="E101" t="inlineStr">
        <is>
          <t>ÄLVKARLEBY</t>
        </is>
      </c>
      <c r="G101" t="n">
        <v>3.6</v>
      </c>
      <c r="H101" t="n">
        <v>0</v>
      </c>
      <c r="I101" t="n">
        <v>0</v>
      </c>
      <c r="J101" t="n">
        <v>0</v>
      </c>
      <c r="K101" t="n">
        <v>0</v>
      </c>
      <c r="L101" t="n">
        <v>0</v>
      </c>
      <c r="M101" t="n">
        <v>0</v>
      </c>
      <c r="N101" t="n">
        <v>0</v>
      </c>
      <c r="O101" t="n">
        <v>0</v>
      </c>
      <c r="P101" t="n">
        <v>0</v>
      </c>
      <c r="Q101" t="n">
        <v>0</v>
      </c>
      <c r="R101" s="2" t="inlineStr"/>
    </row>
    <row r="102" ht="15" customHeight="1">
      <c r="A102" t="inlineStr">
        <is>
          <t>A 47548-2023</t>
        </is>
      </c>
      <c r="B102" s="1" t="n">
        <v>45203</v>
      </c>
      <c r="C102" s="1" t="n">
        <v>45721</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47570-2023</t>
        </is>
      </c>
      <c r="B103" s="1" t="n">
        <v>45203</v>
      </c>
      <c r="C103" s="1" t="n">
        <v>45721</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47554-2023</t>
        </is>
      </c>
      <c r="B104" s="1" t="n">
        <v>45203</v>
      </c>
      <c r="C104" s="1" t="n">
        <v>45721</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47559-2023</t>
        </is>
      </c>
      <c r="B105" s="1" t="n">
        <v>45203</v>
      </c>
      <c r="C105" s="1" t="n">
        <v>45721</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48614-2023</t>
        </is>
      </c>
      <c r="B106" s="1" t="n">
        <v>45208</v>
      </c>
      <c r="C106" s="1" t="n">
        <v>45721</v>
      </c>
      <c r="D106" t="inlineStr">
        <is>
          <t>UPPSALA LÄN</t>
        </is>
      </c>
      <c r="E106" t="inlineStr">
        <is>
          <t>ÄLVKARLEBY</t>
        </is>
      </c>
      <c r="F106" t="inlineStr">
        <is>
          <t>Bergvik skog öst AB</t>
        </is>
      </c>
      <c r="G106" t="n">
        <v>5.4</v>
      </c>
      <c r="H106" t="n">
        <v>0</v>
      </c>
      <c r="I106" t="n">
        <v>0</v>
      </c>
      <c r="J106" t="n">
        <v>0</v>
      </c>
      <c r="K106" t="n">
        <v>0</v>
      </c>
      <c r="L106" t="n">
        <v>0</v>
      </c>
      <c r="M106" t="n">
        <v>0</v>
      </c>
      <c r="N106" t="n">
        <v>0</v>
      </c>
      <c r="O106" t="n">
        <v>0</v>
      </c>
      <c r="P106" t="n">
        <v>0</v>
      </c>
      <c r="Q106" t="n">
        <v>0</v>
      </c>
      <c r="R106" s="2" t="inlineStr"/>
    </row>
    <row r="107" ht="15" customHeight="1">
      <c r="A107" t="inlineStr">
        <is>
          <t>A 48620-2023</t>
        </is>
      </c>
      <c r="B107" s="1" t="n">
        <v>45208</v>
      </c>
      <c r="C107" s="1" t="n">
        <v>45721</v>
      </c>
      <c r="D107" t="inlineStr">
        <is>
          <t>UPPSALA LÄN</t>
        </is>
      </c>
      <c r="E107" t="inlineStr">
        <is>
          <t>ÄLVKARLEBY</t>
        </is>
      </c>
      <c r="F107" t="inlineStr">
        <is>
          <t>Bergvik skog öst AB</t>
        </is>
      </c>
      <c r="G107" t="n">
        <v>2</v>
      </c>
      <c r="H107" t="n">
        <v>0</v>
      </c>
      <c r="I107" t="n">
        <v>0</v>
      </c>
      <c r="J107" t="n">
        <v>0</v>
      </c>
      <c r="K107" t="n">
        <v>0</v>
      </c>
      <c r="L107" t="n">
        <v>0</v>
      </c>
      <c r="M107" t="n">
        <v>0</v>
      </c>
      <c r="N107" t="n">
        <v>0</v>
      </c>
      <c r="O107" t="n">
        <v>0</v>
      </c>
      <c r="P107" t="n">
        <v>0</v>
      </c>
      <c r="Q107" t="n">
        <v>0</v>
      </c>
      <c r="R107" s="2" t="inlineStr"/>
    </row>
    <row r="108" ht="15" customHeight="1">
      <c r="A108" t="inlineStr">
        <is>
          <t>A 48674-2023</t>
        </is>
      </c>
      <c r="B108" s="1" t="n">
        <v>45208</v>
      </c>
      <c r="C108" s="1" t="n">
        <v>45721</v>
      </c>
      <c r="D108" t="inlineStr">
        <is>
          <t>UPPSALA LÄN</t>
        </is>
      </c>
      <c r="E108" t="inlineStr">
        <is>
          <t>ÄLVKARLEBY</t>
        </is>
      </c>
      <c r="F108" t="inlineStr">
        <is>
          <t>Bergvik skog öst AB</t>
        </is>
      </c>
      <c r="G108" t="n">
        <v>15.5</v>
      </c>
      <c r="H108" t="n">
        <v>0</v>
      </c>
      <c r="I108" t="n">
        <v>0</v>
      </c>
      <c r="J108" t="n">
        <v>0</v>
      </c>
      <c r="K108" t="n">
        <v>0</v>
      </c>
      <c r="L108" t="n">
        <v>0</v>
      </c>
      <c r="M108" t="n">
        <v>0</v>
      </c>
      <c r="N108" t="n">
        <v>0</v>
      </c>
      <c r="O108" t="n">
        <v>0</v>
      </c>
      <c r="P108" t="n">
        <v>0</v>
      </c>
      <c r="Q108" t="n">
        <v>0</v>
      </c>
      <c r="R108" s="2" t="inlineStr"/>
    </row>
    <row r="109" ht="15" customHeight="1">
      <c r="A109" t="inlineStr">
        <is>
          <t>A 49432-2023</t>
        </is>
      </c>
      <c r="B109" s="1" t="n">
        <v>45211</v>
      </c>
      <c r="C109" s="1" t="n">
        <v>45721</v>
      </c>
      <c r="D109" t="inlineStr">
        <is>
          <t>UPPSALA LÄN</t>
        </is>
      </c>
      <c r="E109" t="inlineStr">
        <is>
          <t>ÄLVKARLEBY</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50048-2023</t>
        </is>
      </c>
      <c r="B110" s="1" t="n">
        <v>45215</v>
      </c>
      <c r="C110" s="1" t="n">
        <v>45721</v>
      </c>
      <c r="D110" t="inlineStr">
        <is>
          <t>UPPSALA LÄN</t>
        </is>
      </c>
      <c r="E110" t="inlineStr">
        <is>
          <t>ÄLVKARLEBY</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54858-2023</t>
        </is>
      </c>
      <c r="B111" s="1" t="n">
        <v>45236</v>
      </c>
      <c r="C111" s="1" t="n">
        <v>45721</v>
      </c>
      <c r="D111" t="inlineStr">
        <is>
          <t>UPPSALA LÄN</t>
        </is>
      </c>
      <c r="E111" t="inlineStr">
        <is>
          <t>ÄLVKARLEBY</t>
        </is>
      </c>
      <c r="F111" t="inlineStr">
        <is>
          <t>Bergvik skog öst AB</t>
        </is>
      </c>
      <c r="G111" t="n">
        <v>13.3</v>
      </c>
      <c r="H111" t="n">
        <v>0</v>
      </c>
      <c r="I111" t="n">
        <v>0</v>
      </c>
      <c r="J111" t="n">
        <v>0</v>
      </c>
      <c r="K111" t="n">
        <v>0</v>
      </c>
      <c r="L111" t="n">
        <v>0</v>
      </c>
      <c r="M111" t="n">
        <v>0</v>
      </c>
      <c r="N111" t="n">
        <v>0</v>
      </c>
      <c r="O111" t="n">
        <v>0</v>
      </c>
      <c r="P111" t="n">
        <v>0</v>
      </c>
      <c r="Q111" t="n">
        <v>0</v>
      </c>
      <c r="R111" s="2" t="inlineStr"/>
    </row>
    <row r="112" ht="15" customHeight="1">
      <c r="A112" t="inlineStr">
        <is>
          <t>A 59004-2023</t>
        </is>
      </c>
      <c r="B112" s="1" t="n">
        <v>45252</v>
      </c>
      <c r="C112" s="1" t="n">
        <v>45721</v>
      </c>
      <c r="D112" t="inlineStr">
        <is>
          <t>UPPSALA LÄN</t>
        </is>
      </c>
      <c r="E112" t="inlineStr">
        <is>
          <t>ÄLVKARLEBY</t>
        </is>
      </c>
      <c r="F112" t="inlineStr">
        <is>
          <t>Bergvik skog öst AB</t>
        </is>
      </c>
      <c r="G112" t="n">
        <v>1.7</v>
      </c>
      <c r="H112" t="n">
        <v>0</v>
      </c>
      <c r="I112" t="n">
        <v>0</v>
      </c>
      <c r="J112" t="n">
        <v>0</v>
      </c>
      <c r="K112" t="n">
        <v>0</v>
      </c>
      <c r="L112" t="n">
        <v>0</v>
      </c>
      <c r="M112" t="n">
        <v>0</v>
      </c>
      <c r="N112" t="n">
        <v>0</v>
      </c>
      <c r="O112" t="n">
        <v>0</v>
      </c>
      <c r="P112" t="n">
        <v>0</v>
      </c>
      <c r="Q112" t="n">
        <v>0</v>
      </c>
      <c r="R112" s="2" t="inlineStr"/>
    </row>
    <row r="113" ht="15" customHeight="1">
      <c r="A113" t="inlineStr">
        <is>
          <t>A 60151-2023</t>
        </is>
      </c>
      <c r="B113" s="1" t="n">
        <v>45258</v>
      </c>
      <c r="C113" s="1" t="n">
        <v>45721</v>
      </c>
      <c r="D113" t="inlineStr">
        <is>
          <t>UPPSALA LÄN</t>
        </is>
      </c>
      <c r="E113" t="inlineStr">
        <is>
          <t>ÄLVKARLEBY</t>
        </is>
      </c>
      <c r="F113" t="inlineStr">
        <is>
          <t>Bergvik skog väst AB</t>
        </is>
      </c>
      <c r="G113" t="n">
        <v>32.2</v>
      </c>
      <c r="H113" t="n">
        <v>0</v>
      </c>
      <c r="I113" t="n">
        <v>0</v>
      </c>
      <c r="J113" t="n">
        <v>0</v>
      </c>
      <c r="K113" t="n">
        <v>0</v>
      </c>
      <c r="L113" t="n">
        <v>0</v>
      </c>
      <c r="M113" t="n">
        <v>0</v>
      </c>
      <c r="N113" t="n">
        <v>0</v>
      </c>
      <c r="O113" t="n">
        <v>0</v>
      </c>
      <c r="P113" t="n">
        <v>0</v>
      </c>
      <c r="Q113" t="n">
        <v>0</v>
      </c>
      <c r="R113" s="2" t="inlineStr"/>
    </row>
    <row r="114" ht="15" customHeight="1">
      <c r="A114" t="inlineStr">
        <is>
          <t>A 60455-2023</t>
        </is>
      </c>
      <c r="B114" s="1" t="n">
        <v>45259</v>
      </c>
      <c r="C114" s="1" t="n">
        <v>45721</v>
      </c>
      <c r="D114" t="inlineStr">
        <is>
          <t>UPPSALA LÄN</t>
        </is>
      </c>
      <c r="E114" t="inlineStr">
        <is>
          <t>ÄLVKARLEBY</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895-2024</t>
        </is>
      </c>
      <c r="B115" s="1" t="n">
        <v>45301</v>
      </c>
      <c r="C115" s="1" t="n">
        <v>45721</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996-2024</t>
        </is>
      </c>
      <c r="B116" s="1" t="n">
        <v>45301</v>
      </c>
      <c r="C116" s="1" t="n">
        <v>45721</v>
      </c>
      <c r="D116" t="inlineStr">
        <is>
          <t>UPPSALA LÄN</t>
        </is>
      </c>
      <c r="E116" t="inlineStr">
        <is>
          <t>ÄLVKARLEBY</t>
        </is>
      </c>
      <c r="F116" t="inlineStr">
        <is>
          <t>Bergvik skog väst AB</t>
        </is>
      </c>
      <c r="G116" t="n">
        <v>5.6</v>
      </c>
      <c r="H116" t="n">
        <v>0</v>
      </c>
      <c r="I116" t="n">
        <v>0</v>
      </c>
      <c r="J116" t="n">
        <v>0</v>
      </c>
      <c r="K116" t="n">
        <v>0</v>
      </c>
      <c r="L116" t="n">
        <v>0</v>
      </c>
      <c r="M116" t="n">
        <v>0</v>
      </c>
      <c r="N116" t="n">
        <v>0</v>
      </c>
      <c r="O116" t="n">
        <v>0</v>
      </c>
      <c r="P116" t="n">
        <v>0</v>
      </c>
      <c r="Q116" t="n">
        <v>0</v>
      </c>
      <c r="R116" s="2" t="inlineStr"/>
    </row>
    <row r="117" ht="15" customHeight="1">
      <c r="A117" t="inlineStr">
        <is>
          <t>A 2183-2024</t>
        </is>
      </c>
      <c r="B117" s="1" t="n">
        <v>45309</v>
      </c>
      <c r="C117" s="1" t="n">
        <v>45721</v>
      </c>
      <c r="D117" t="inlineStr">
        <is>
          <t>UPPSALA LÄN</t>
        </is>
      </c>
      <c r="E117" t="inlineStr">
        <is>
          <t>ÄLVKARLEBY</t>
        </is>
      </c>
      <c r="G117" t="n">
        <v>0.5</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45721</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19304-2024</t>
        </is>
      </c>
      <c r="B119" s="1" t="n">
        <v>45428</v>
      </c>
      <c r="C119" s="1" t="n">
        <v>45721</v>
      </c>
      <c r="D119" t="inlineStr">
        <is>
          <t>UPPSALA LÄN</t>
        </is>
      </c>
      <c r="E119" t="inlineStr">
        <is>
          <t>ÄLVKARLEBY</t>
        </is>
      </c>
      <c r="G119" t="n">
        <v>0.2</v>
      </c>
      <c r="H119" t="n">
        <v>0</v>
      </c>
      <c r="I119" t="n">
        <v>0</v>
      </c>
      <c r="J119" t="n">
        <v>0</v>
      </c>
      <c r="K119" t="n">
        <v>0</v>
      </c>
      <c r="L119" t="n">
        <v>0</v>
      </c>
      <c r="M119" t="n">
        <v>0</v>
      </c>
      <c r="N119" t="n">
        <v>0</v>
      </c>
      <c r="O119" t="n">
        <v>0</v>
      </c>
      <c r="P119" t="n">
        <v>0</v>
      </c>
      <c r="Q119" t="n">
        <v>0</v>
      </c>
      <c r="R119" s="2" t="inlineStr"/>
    </row>
    <row r="120" ht="15" customHeight="1">
      <c r="A120" t="inlineStr">
        <is>
          <t>A 19303-2024</t>
        </is>
      </c>
      <c r="B120" s="1" t="n">
        <v>45428</v>
      </c>
      <c r="C120" s="1" t="n">
        <v>45721</v>
      </c>
      <c r="D120" t="inlineStr">
        <is>
          <t>UPPSALA LÄN</t>
        </is>
      </c>
      <c r="E120" t="inlineStr">
        <is>
          <t>ÄLVKARLEBY</t>
        </is>
      </c>
      <c r="G120" t="n">
        <v>0.4</v>
      </c>
      <c r="H120" t="n">
        <v>0</v>
      </c>
      <c r="I120" t="n">
        <v>0</v>
      </c>
      <c r="J120" t="n">
        <v>0</v>
      </c>
      <c r="K120" t="n">
        <v>0</v>
      </c>
      <c r="L120" t="n">
        <v>0</v>
      </c>
      <c r="M120" t="n">
        <v>0</v>
      </c>
      <c r="N120" t="n">
        <v>0</v>
      </c>
      <c r="O120" t="n">
        <v>0</v>
      </c>
      <c r="P120" t="n">
        <v>0</v>
      </c>
      <c r="Q120" t="n">
        <v>0</v>
      </c>
      <c r="R120" s="2" t="inlineStr"/>
    </row>
    <row r="121" ht="15" customHeight="1">
      <c r="A121" t="inlineStr">
        <is>
          <t>A 19298-2024</t>
        </is>
      </c>
      <c r="B121" s="1" t="n">
        <v>45428</v>
      </c>
      <c r="C121" s="1" t="n">
        <v>45721</v>
      </c>
      <c r="D121" t="inlineStr">
        <is>
          <t>UPPSALA LÄN</t>
        </is>
      </c>
      <c r="E121" t="inlineStr">
        <is>
          <t>ÄLVKARLEBY</t>
        </is>
      </c>
      <c r="G121" t="n">
        <v>1.2</v>
      </c>
      <c r="H121" t="n">
        <v>0</v>
      </c>
      <c r="I121" t="n">
        <v>0</v>
      </c>
      <c r="J121" t="n">
        <v>0</v>
      </c>
      <c r="K121" t="n">
        <v>0</v>
      </c>
      <c r="L121" t="n">
        <v>0</v>
      </c>
      <c r="M121" t="n">
        <v>0</v>
      </c>
      <c r="N121" t="n">
        <v>0</v>
      </c>
      <c r="O121" t="n">
        <v>0</v>
      </c>
      <c r="P121" t="n">
        <v>0</v>
      </c>
      <c r="Q121" t="n">
        <v>0</v>
      </c>
      <c r="R121" s="2" t="inlineStr"/>
    </row>
    <row r="122" ht="15" customHeight="1">
      <c r="A122" t="inlineStr">
        <is>
          <t>A 29899-2024</t>
        </is>
      </c>
      <c r="B122" s="1" t="n">
        <v>45487</v>
      </c>
      <c r="C122" s="1" t="n">
        <v>45721</v>
      </c>
      <c r="D122" t="inlineStr">
        <is>
          <t>UPPSALA LÄN</t>
        </is>
      </c>
      <c r="E122" t="inlineStr">
        <is>
          <t>ÄLVKARLEBY</t>
        </is>
      </c>
      <c r="F122" t="inlineStr">
        <is>
          <t>Bergvik skog väst AB</t>
        </is>
      </c>
      <c r="G122" t="n">
        <v>7.1</v>
      </c>
      <c r="H122" t="n">
        <v>0</v>
      </c>
      <c r="I122" t="n">
        <v>0</v>
      </c>
      <c r="J122" t="n">
        <v>0</v>
      </c>
      <c r="K122" t="n">
        <v>0</v>
      </c>
      <c r="L122" t="n">
        <v>0</v>
      </c>
      <c r="M122" t="n">
        <v>0</v>
      </c>
      <c r="N122" t="n">
        <v>0</v>
      </c>
      <c r="O122" t="n">
        <v>0</v>
      </c>
      <c r="P122" t="n">
        <v>0</v>
      </c>
      <c r="Q122" t="n">
        <v>0</v>
      </c>
      <c r="R122" s="2" t="inlineStr"/>
    </row>
    <row r="123" ht="15" customHeight="1">
      <c r="A123" t="inlineStr">
        <is>
          <t>A 33781-2024</t>
        </is>
      </c>
      <c r="B123" s="1" t="n">
        <v>45520</v>
      </c>
      <c r="C123" s="1" t="n">
        <v>45721</v>
      </c>
      <c r="D123" t="inlineStr">
        <is>
          <t>UPPSALA LÄN</t>
        </is>
      </c>
      <c r="E123" t="inlineStr">
        <is>
          <t>ÄLVKARLEBY</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34963-2024</t>
        </is>
      </c>
      <c r="B124" s="1" t="n">
        <v>45527</v>
      </c>
      <c r="C124" s="1" t="n">
        <v>45721</v>
      </c>
      <c r="D124" t="inlineStr">
        <is>
          <t>UPPSALA LÄN</t>
        </is>
      </c>
      <c r="E124" t="inlineStr">
        <is>
          <t>ÄLVKARLEBY</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35832-2024</t>
        </is>
      </c>
      <c r="B125" s="1" t="n">
        <v>45532</v>
      </c>
      <c r="C125" s="1" t="n">
        <v>45721</v>
      </c>
      <c r="D125" t="inlineStr">
        <is>
          <t>UPPSALA LÄN</t>
        </is>
      </c>
      <c r="E125" t="inlineStr">
        <is>
          <t>ÄLVKARLEBY</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38195-2024</t>
        </is>
      </c>
      <c r="B126" s="1" t="n">
        <v>45545</v>
      </c>
      <c r="C126" s="1" t="n">
        <v>45721</v>
      </c>
      <c r="D126" t="inlineStr">
        <is>
          <t>UPPSALA LÄN</t>
        </is>
      </c>
      <c r="E126" t="inlineStr">
        <is>
          <t>ÄLVKARLEBY</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38199-2024</t>
        </is>
      </c>
      <c r="B127" s="1" t="n">
        <v>45545</v>
      </c>
      <c r="C127" s="1" t="n">
        <v>45721</v>
      </c>
      <c r="D127" t="inlineStr">
        <is>
          <t>UPPSALA LÄN</t>
        </is>
      </c>
      <c r="E127" t="inlineStr">
        <is>
          <t>ÄLVKARLEBY</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38217-2024</t>
        </is>
      </c>
      <c r="B128" s="1" t="n">
        <v>45545</v>
      </c>
      <c r="C128" s="1" t="n">
        <v>45721</v>
      </c>
      <c r="D128" t="inlineStr">
        <is>
          <t>UPPSALA LÄN</t>
        </is>
      </c>
      <c r="E128" t="inlineStr">
        <is>
          <t>ÄLVKARLEBY</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41121-2024</t>
        </is>
      </c>
      <c r="B129" s="1" t="n">
        <v>45559</v>
      </c>
      <c r="C129" s="1" t="n">
        <v>45721</v>
      </c>
      <c r="D129" t="inlineStr">
        <is>
          <t>UPPSALA LÄN</t>
        </is>
      </c>
      <c r="E129" t="inlineStr">
        <is>
          <t>ÄLVKARLEBY</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41929-2024</t>
        </is>
      </c>
      <c r="B130" s="1" t="n">
        <v>45561</v>
      </c>
      <c r="C130" s="1" t="n">
        <v>45721</v>
      </c>
      <c r="D130" t="inlineStr">
        <is>
          <t>UPPSALA LÄN</t>
        </is>
      </c>
      <c r="E130" t="inlineStr">
        <is>
          <t>ÄLVKARLEBY</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41979-2024</t>
        </is>
      </c>
      <c r="B131" s="1" t="n">
        <v>45561</v>
      </c>
      <c r="C131" s="1" t="n">
        <v>45721</v>
      </c>
      <c r="D131" t="inlineStr">
        <is>
          <t>UPPSALA LÄN</t>
        </is>
      </c>
      <c r="E131" t="inlineStr">
        <is>
          <t>ÄLVKARLEBY</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41894-2024</t>
        </is>
      </c>
      <c r="B132" s="1" t="n">
        <v>45561</v>
      </c>
      <c r="C132" s="1" t="n">
        <v>45721</v>
      </c>
      <c r="D132" t="inlineStr">
        <is>
          <t>UPPSALA LÄN</t>
        </is>
      </c>
      <c r="E132" t="inlineStr">
        <is>
          <t>ÄLVKARLEBY</t>
        </is>
      </c>
      <c r="F132" t="inlineStr">
        <is>
          <t>Bergvik skog väst AB</t>
        </is>
      </c>
      <c r="G132" t="n">
        <v>5.6</v>
      </c>
      <c r="H132" t="n">
        <v>0</v>
      </c>
      <c r="I132" t="n">
        <v>0</v>
      </c>
      <c r="J132" t="n">
        <v>0</v>
      </c>
      <c r="K132" t="n">
        <v>0</v>
      </c>
      <c r="L132" t="n">
        <v>0</v>
      </c>
      <c r="M132" t="n">
        <v>0</v>
      </c>
      <c r="N132" t="n">
        <v>0</v>
      </c>
      <c r="O132" t="n">
        <v>0</v>
      </c>
      <c r="P132" t="n">
        <v>0</v>
      </c>
      <c r="Q132" t="n">
        <v>0</v>
      </c>
      <c r="R132" s="2" t="inlineStr"/>
    </row>
    <row r="133" ht="15" customHeight="1">
      <c r="A133" t="inlineStr">
        <is>
          <t>A 41898-2024</t>
        </is>
      </c>
      <c r="B133" s="1" t="n">
        <v>45561</v>
      </c>
      <c r="C133" s="1" t="n">
        <v>45721</v>
      </c>
      <c r="D133" t="inlineStr">
        <is>
          <t>UPPSALA LÄN</t>
        </is>
      </c>
      <c r="E133" t="inlineStr">
        <is>
          <t>ÄLVKARLEBY</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45039-2024</t>
        </is>
      </c>
      <c r="B134" s="1" t="n">
        <v>45575</v>
      </c>
      <c r="C134" s="1" t="n">
        <v>45721</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45040-2024</t>
        </is>
      </c>
      <c r="B135" s="1" t="n">
        <v>45575</v>
      </c>
      <c r="C135" s="1" t="n">
        <v>45721</v>
      </c>
      <c r="D135" t="inlineStr">
        <is>
          <t>UPPSALA LÄN</t>
        </is>
      </c>
      <c r="E135" t="inlineStr">
        <is>
          <t>ÄLVKARLEBY</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45371-2024</t>
        </is>
      </c>
      <c r="B136" s="1" t="n">
        <v>45576</v>
      </c>
      <c r="C136" s="1" t="n">
        <v>45721</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45372-2024</t>
        </is>
      </c>
      <c r="B137" s="1" t="n">
        <v>45576</v>
      </c>
      <c r="C137" s="1" t="n">
        <v>45721</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47754-2024</t>
        </is>
      </c>
      <c r="B138" s="1" t="n">
        <v>45588</v>
      </c>
      <c r="C138" s="1" t="n">
        <v>45721</v>
      </c>
      <c r="D138" t="inlineStr">
        <is>
          <t>UPPSALA LÄN</t>
        </is>
      </c>
      <c r="E138" t="inlineStr">
        <is>
          <t>ÄLVKARLEBY</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47798-2024</t>
        </is>
      </c>
      <c r="B139" s="1" t="n">
        <v>45588</v>
      </c>
      <c r="C139" s="1" t="n">
        <v>45721</v>
      </c>
      <c r="D139" t="inlineStr">
        <is>
          <t>UPPSALA LÄN</t>
        </is>
      </c>
      <c r="E139" t="inlineStr">
        <is>
          <t>ÄLVKARLEBY</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47799-2024</t>
        </is>
      </c>
      <c r="B140" s="1" t="n">
        <v>45588</v>
      </c>
      <c r="C140" s="1" t="n">
        <v>45721</v>
      </c>
      <c r="D140" t="inlineStr">
        <is>
          <t>UPPSALA LÄN</t>
        </is>
      </c>
      <c r="E140" t="inlineStr">
        <is>
          <t>ÄLVKARLEBY</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47796-2024</t>
        </is>
      </c>
      <c r="B141" s="1" t="n">
        <v>45588</v>
      </c>
      <c r="C141" s="1" t="n">
        <v>45721</v>
      </c>
      <c r="D141" t="inlineStr">
        <is>
          <t>UPPSALA LÄN</t>
        </is>
      </c>
      <c r="E141" t="inlineStr">
        <is>
          <t>ÄLVKARLEBY</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49628-2024</t>
        </is>
      </c>
      <c r="B142" s="1" t="n">
        <v>45596</v>
      </c>
      <c r="C142" s="1" t="n">
        <v>45721</v>
      </c>
      <c r="D142" t="inlineStr">
        <is>
          <t>UPPSALA LÄN</t>
        </is>
      </c>
      <c r="E142" t="inlineStr">
        <is>
          <t>ÄLVKARLEBY</t>
        </is>
      </c>
      <c r="F142" t="inlineStr">
        <is>
          <t>Bergvik skog väst AB</t>
        </is>
      </c>
      <c r="G142" t="n">
        <v>18.2</v>
      </c>
      <c r="H142" t="n">
        <v>0</v>
      </c>
      <c r="I142" t="n">
        <v>0</v>
      </c>
      <c r="J142" t="n">
        <v>0</v>
      </c>
      <c r="K142" t="n">
        <v>0</v>
      </c>
      <c r="L142" t="n">
        <v>0</v>
      </c>
      <c r="M142" t="n">
        <v>0</v>
      </c>
      <c r="N142" t="n">
        <v>0</v>
      </c>
      <c r="O142" t="n">
        <v>0</v>
      </c>
      <c r="P142" t="n">
        <v>0</v>
      </c>
      <c r="Q142" t="n">
        <v>0</v>
      </c>
      <c r="R142" s="2" t="inlineStr"/>
    </row>
    <row r="143" ht="15" customHeight="1">
      <c r="A143" t="inlineStr">
        <is>
          <t>A 51507-2024</t>
        </is>
      </c>
      <c r="B143" s="1" t="n">
        <v>45604</v>
      </c>
      <c r="C143" s="1" t="n">
        <v>45721</v>
      </c>
      <c r="D143" t="inlineStr">
        <is>
          <t>UPPSALA LÄN</t>
        </is>
      </c>
      <c r="E143" t="inlineStr">
        <is>
          <t>ÄLVKARLEBY</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51509-2024</t>
        </is>
      </c>
      <c r="B144" s="1" t="n">
        <v>45604</v>
      </c>
      <c r="C144" s="1" t="n">
        <v>45721</v>
      </c>
      <c r="D144" t="inlineStr">
        <is>
          <t>UPPSALA LÄN</t>
        </is>
      </c>
      <c r="E144" t="inlineStr">
        <is>
          <t>ÄLVKARLEBY</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54204-2024</t>
        </is>
      </c>
      <c r="B145" s="1" t="n">
        <v>45616</v>
      </c>
      <c r="C145" s="1" t="n">
        <v>45721</v>
      </c>
      <c r="D145" t="inlineStr">
        <is>
          <t>UPPSALA LÄN</t>
        </is>
      </c>
      <c r="E145" t="inlineStr">
        <is>
          <t>ÄLVKARLEBY</t>
        </is>
      </c>
      <c r="G145" t="n">
        <v>2</v>
      </c>
      <c r="H145" t="n">
        <v>0</v>
      </c>
      <c r="I145" t="n">
        <v>0</v>
      </c>
      <c r="J145" t="n">
        <v>0</v>
      </c>
      <c r="K145" t="n">
        <v>0</v>
      </c>
      <c r="L145" t="n">
        <v>0</v>
      </c>
      <c r="M145" t="n">
        <v>0</v>
      </c>
      <c r="N145" t="n">
        <v>0</v>
      </c>
      <c r="O145" t="n">
        <v>0</v>
      </c>
      <c r="P145" t="n">
        <v>0</v>
      </c>
      <c r="Q145" t="n">
        <v>0</v>
      </c>
      <c r="R145" s="2" t="inlineStr"/>
    </row>
    <row r="146" ht="15" customHeight="1">
      <c r="A146" t="inlineStr">
        <is>
          <t>A 55139-2024</t>
        </is>
      </c>
      <c r="B146" s="1" t="n">
        <v>45621</v>
      </c>
      <c r="C146" s="1" t="n">
        <v>45721</v>
      </c>
      <c r="D146" t="inlineStr">
        <is>
          <t>UPPSALA LÄN</t>
        </is>
      </c>
      <c r="E146" t="inlineStr">
        <is>
          <t>ÄLVKARLEBY</t>
        </is>
      </c>
      <c r="F146" t="inlineStr">
        <is>
          <t>Bergvik skog väst AB</t>
        </is>
      </c>
      <c r="G146" t="n">
        <v>10.4</v>
      </c>
      <c r="H146" t="n">
        <v>0</v>
      </c>
      <c r="I146" t="n">
        <v>0</v>
      </c>
      <c r="J146" t="n">
        <v>0</v>
      </c>
      <c r="K146" t="n">
        <v>0</v>
      </c>
      <c r="L146" t="n">
        <v>0</v>
      </c>
      <c r="M146" t="n">
        <v>0</v>
      </c>
      <c r="N146" t="n">
        <v>0</v>
      </c>
      <c r="O146" t="n">
        <v>0</v>
      </c>
      <c r="P146" t="n">
        <v>0</v>
      </c>
      <c r="Q146" t="n">
        <v>0</v>
      </c>
      <c r="R146" s="2" t="inlineStr"/>
    </row>
    <row r="147" ht="15" customHeight="1">
      <c r="A147" t="inlineStr">
        <is>
          <t>A 55578-2024</t>
        </is>
      </c>
      <c r="B147" s="1" t="n">
        <v>45622</v>
      </c>
      <c r="C147" s="1" t="n">
        <v>45721</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45721</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45721</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8030-2025</t>
        </is>
      </c>
      <c r="B150" s="1" t="n">
        <v>45707</v>
      </c>
      <c r="C150" s="1" t="n">
        <v>45721</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45721</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45721</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45721</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45721</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2025-03-05T16:41:36Z</dcterms:created>
  <dcterms:modified xmlns:dcterms="http://purl.org/dc/terms/" xmlns:xsi="http://www.w3.org/2001/XMLSchema-instance" xsi:type="dcterms:W3CDTF">2025-03-05T16:41:36Z</dcterms:modified>
</cp:coreProperties>
</file>