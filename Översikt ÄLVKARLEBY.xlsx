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46169</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46169</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46169</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46169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46169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46169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46169</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46169</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46169</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46169</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46169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46169</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51238-2025</t>
        </is>
      </c>
      <c r="B20" s="1" t="n">
        <v>45947.69753472223</v>
      </c>
      <c r="C20" s="1" t="n">
        <v>46169</v>
      </c>
      <c r="D20" t="inlineStr">
        <is>
          <t>UPPSALA LÄN</t>
        </is>
      </c>
      <c r="E20" t="inlineStr">
        <is>
          <t>ÄLVKARLEBY</t>
        </is>
      </c>
      <c r="F20" t="inlineStr">
        <is>
          <t>Bergvik skog väst AB</t>
        </is>
      </c>
      <c r="G20" t="n">
        <v>6</v>
      </c>
      <c r="H20" t="n">
        <v>1</v>
      </c>
      <c r="I20" t="n">
        <v>0</v>
      </c>
      <c r="J20" t="n">
        <v>0</v>
      </c>
      <c r="K20" t="n">
        <v>0</v>
      </c>
      <c r="L20" t="n">
        <v>0</v>
      </c>
      <c r="M20" t="n">
        <v>0</v>
      </c>
      <c r="N20" t="n">
        <v>0</v>
      </c>
      <c r="O20" t="n">
        <v>0</v>
      </c>
      <c r="P20" t="n">
        <v>0</v>
      </c>
      <c r="Q20" t="n">
        <v>1</v>
      </c>
      <c r="R20" s="2" t="inlineStr">
        <is>
          <t>Lopplummer (aggregat)</t>
        </is>
      </c>
      <c r="S20">
        <f>HYPERLINK("https://klasma.github.io/Logging_0319/artfynd/A 51238-2025 artfynd.xlsx", "A 51238-2025")</f>
        <v/>
      </c>
      <c r="T20">
        <f>HYPERLINK("https://klasma.github.io/Logging_0319/kartor/A 51238-2025 karta.png", "A 51238-2025")</f>
        <v/>
      </c>
      <c r="V20">
        <f>HYPERLINK("https://klasma.github.io/Logging_0319/klagomål/A 51238-2025 FSC-klagomål.docx", "A 51238-2025")</f>
        <v/>
      </c>
      <c r="W20">
        <f>HYPERLINK("https://klasma.github.io/Logging_0319/klagomålsmail/A 51238-2025 FSC-klagomål mail.docx", "A 51238-2025")</f>
        <v/>
      </c>
      <c r="X20">
        <f>HYPERLINK("https://klasma.github.io/Logging_0319/tillsyn/A 51238-2025 tillsynsbegäran.docx", "A 51238-2025")</f>
        <v/>
      </c>
      <c r="Y20">
        <f>HYPERLINK("https://klasma.github.io/Logging_0319/tillsynsmail/A 51238-2025 tillsynsbegäran mail.docx", "A 51238-2025")</f>
        <v/>
      </c>
    </row>
    <row r="21" ht="15" customHeight="1">
      <c r="A21" t="inlineStr">
        <is>
          <t>A 10455-2022</t>
        </is>
      </c>
      <c r="B21" s="1" t="n">
        <v>44623</v>
      </c>
      <c r="C21" s="1" t="n">
        <v>46169</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46169</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46169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46169</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46169</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46169</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46169</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46169</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46169</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46169</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46169</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51237-2025</t>
        </is>
      </c>
      <c r="B35" s="1" t="n">
        <v>45947.69307870371</v>
      </c>
      <c r="C35" s="1" t="n">
        <v>46169</v>
      </c>
      <c r="D35" t="inlineStr">
        <is>
          <t>UPPSALA LÄN</t>
        </is>
      </c>
      <c r="E35" t="inlineStr">
        <is>
          <t>ÄLVKARLEBY</t>
        </is>
      </c>
      <c r="F35" t="inlineStr">
        <is>
          <t>Bergvik skog väst AB</t>
        </is>
      </c>
      <c r="G35" t="n">
        <v>1.8</v>
      </c>
      <c r="H35" t="n">
        <v>0</v>
      </c>
      <c r="I35" t="n">
        <v>0</v>
      </c>
      <c r="J35" t="n">
        <v>0</v>
      </c>
      <c r="K35" t="n">
        <v>0</v>
      </c>
      <c r="L35" t="n">
        <v>0</v>
      </c>
      <c r="M35" t="n">
        <v>0</v>
      </c>
      <c r="N35" t="n">
        <v>0</v>
      </c>
      <c r="O35" t="n">
        <v>0</v>
      </c>
      <c r="P35" t="n">
        <v>0</v>
      </c>
      <c r="Q35" t="n">
        <v>0</v>
      </c>
      <c r="R35" s="2" t="inlineStr"/>
    </row>
    <row r="36" ht="15" customHeight="1">
      <c r="A36" t="inlineStr">
        <is>
          <t>A 50869-2025</t>
        </is>
      </c>
      <c r="B36" s="1" t="n">
        <v>45946.60259259259</v>
      </c>
      <c r="C36" s="1" t="n">
        <v>46169</v>
      </c>
      <c r="D36" t="inlineStr">
        <is>
          <t>UPPSALA LÄN</t>
        </is>
      </c>
      <c r="E36" t="inlineStr">
        <is>
          <t>ÄLVKARLEBY</t>
        </is>
      </c>
      <c r="F36" t="inlineStr">
        <is>
          <t>Bergvik skog väst AB</t>
        </is>
      </c>
      <c r="G36" t="n">
        <v>11.4</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46169</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46169</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46169</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24591-2025</t>
        </is>
      </c>
      <c r="B40" s="1" t="n">
        <v>45798.53666666667</v>
      </c>
      <c r="C40" s="1" t="n">
        <v>46169</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46169</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25264-2025</t>
        </is>
      </c>
      <c r="B42" s="1" t="n">
        <v>45800.5334375</v>
      </c>
      <c r="C42" s="1" t="n">
        <v>46169</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41615-2025</t>
        </is>
      </c>
      <c r="B43" s="1" t="n">
        <v>45901.69556712963</v>
      </c>
      <c r="C43" s="1" t="n">
        <v>46169</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46169</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52477-2025</t>
        </is>
      </c>
      <c r="B45" s="1" t="n">
        <v>45954.46980324074</v>
      </c>
      <c r="C45" s="1" t="n">
        <v>46169</v>
      </c>
      <c r="D45" t="inlineStr">
        <is>
          <t>UPPSALA LÄN</t>
        </is>
      </c>
      <c r="E45" t="inlineStr">
        <is>
          <t>ÄLVKARLEBY</t>
        </is>
      </c>
      <c r="F45" t="inlineStr">
        <is>
          <t>Bergvik skog väst AB</t>
        </is>
      </c>
      <c r="G45" t="n">
        <v>5.3</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46169</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46169</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26670-2025</t>
        </is>
      </c>
      <c r="B48" s="1" t="n">
        <v>45810.41489583333</v>
      </c>
      <c r="C48" s="1" t="n">
        <v>46169</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15739-2025</t>
        </is>
      </c>
      <c r="B49" s="1" t="n">
        <v>45748.54612268518</v>
      </c>
      <c r="C49" s="1" t="n">
        <v>46169</v>
      </c>
      <c r="D49" t="inlineStr">
        <is>
          <t>UPPSALA LÄN</t>
        </is>
      </c>
      <c r="E49" t="inlineStr">
        <is>
          <t>ÄLVKARLEBY</t>
        </is>
      </c>
      <c r="F49" t="inlineStr">
        <is>
          <t>Kyrkan</t>
        </is>
      </c>
      <c r="G49" t="n">
        <v>2.4</v>
      </c>
      <c r="H49" t="n">
        <v>0</v>
      </c>
      <c r="I49" t="n">
        <v>0</v>
      </c>
      <c r="J49" t="n">
        <v>0</v>
      </c>
      <c r="K49" t="n">
        <v>0</v>
      </c>
      <c r="L49" t="n">
        <v>0</v>
      </c>
      <c r="M49" t="n">
        <v>0</v>
      </c>
      <c r="N49" t="n">
        <v>0</v>
      </c>
      <c r="O49" t="n">
        <v>0</v>
      </c>
      <c r="P49" t="n">
        <v>0</v>
      </c>
      <c r="Q49" t="n">
        <v>0</v>
      </c>
      <c r="R49" s="2" t="inlineStr"/>
    </row>
    <row r="50" ht="15" customHeight="1">
      <c r="A50" t="inlineStr">
        <is>
          <t>A 52498-2025</t>
        </is>
      </c>
      <c r="B50" s="1" t="n">
        <v>45954.49314814815</v>
      </c>
      <c r="C50" s="1" t="n">
        <v>46169</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53184-2025</t>
        </is>
      </c>
      <c r="B51" s="1" t="n">
        <v>45958</v>
      </c>
      <c r="C51" s="1" t="n">
        <v>46169</v>
      </c>
      <c r="D51" t="inlineStr">
        <is>
          <t>UPPSALA LÄN</t>
        </is>
      </c>
      <c r="E51" t="inlineStr">
        <is>
          <t>ÄLVKARLEBY</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53173-2025</t>
        </is>
      </c>
      <c r="B52" s="1" t="n">
        <v>45958.51738425926</v>
      </c>
      <c r="C52" s="1" t="n">
        <v>46169</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43577-2025</t>
        </is>
      </c>
      <c r="B53" s="1" t="n">
        <v>45911.64219907407</v>
      </c>
      <c r="C53" s="1" t="n">
        <v>46169</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46169</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46169</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46169</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46169</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46169</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45033-2025</t>
        </is>
      </c>
      <c r="B59" s="1" t="n">
        <v>45918.70299768518</v>
      </c>
      <c r="C59" s="1" t="n">
        <v>46169</v>
      </c>
      <c r="D59" t="inlineStr">
        <is>
          <t>UPPSALA LÄN</t>
        </is>
      </c>
      <c r="E59" t="inlineStr">
        <is>
          <t>ÄLVKARLEBY</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46169</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46169</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30936-2025</t>
        </is>
      </c>
      <c r="B62" s="1" t="n">
        <v>45832.40586805555</v>
      </c>
      <c r="C62" s="1" t="n">
        <v>46169</v>
      </c>
      <c r="D62" t="inlineStr">
        <is>
          <t>UPPSALA LÄN</t>
        </is>
      </c>
      <c r="E62" t="inlineStr">
        <is>
          <t>ÄLVKARLEBY</t>
        </is>
      </c>
      <c r="F62" t="inlineStr">
        <is>
          <t>Bergvik skog öst AB</t>
        </is>
      </c>
      <c r="G62" t="n">
        <v>7.2</v>
      </c>
      <c r="H62" t="n">
        <v>0</v>
      </c>
      <c r="I62" t="n">
        <v>0</v>
      </c>
      <c r="J62" t="n">
        <v>0</v>
      </c>
      <c r="K62" t="n">
        <v>0</v>
      </c>
      <c r="L62" t="n">
        <v>0</v>
      </c>
      <c r="M62" t="n">
        <v>0</v>
      </c>
      <c r="N62" t="n">
        <v>0</v>
      </c>
      <c r="O62" t="n">
        <v>0</v>
      </c>
      <c r="P62" t="n">
        <v>0</v>
      </c>
      <c r="Q62" t="n">
        <v>0</v>
      </c>
      <c r="R62" s="2" t="inlineStr"/>
    </row>
    <row r="63" ht="15" customHeight="1">
      <c r="A63" t="inlineStr">
        <is>
          <t>A 46335-2025</t>
        </is>
      </c>
      <c r="B63" s="1" t="n">
        <v>45925.46199074074</v>
      </c>
      <c r="C63" s="1" t="n">
        <v>46169</v>
      </c>
      <c r="D63" t="inlineStr">
        <is>
          <t>UPPSALA LÄN</t>
        </is>
      </c>
      <c r="E63" t="inlineStr">
        <is>
          <t>ÄLVKARLEBY</t>
        </is>
      </c>
      <c r="G63" t="n">
        <v>1.3</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46169</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46169</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46169</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46169</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46169</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46169</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46169</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46169</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43285-2023</t>
        </is>
      </c>
      <c r="B72" s="1" t="n">
        <v>45183.5630787037</v>
      </c>
      <c r="C72" s="1" t="n">
        <v>46169</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46169</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46169</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9533-2025</t>
        </is>
      </c>
      <c r="B75" s="1" t="n">
        <v>45715.57082175926</v>
      </c>
      <c r="C75" s="1" t="n">
        <v>46169</v>
      </c>
      <c r="D75" t="inlineStr">
        <is>
          <t>UPPSALA LÄN</t>
        </is>
      </c>
      <c r="E75" t="inlineStr">
        <is>
          <t>ÄLVKARLEBY</t>
        </is>
      </c>
      <c r="G75" t="n">
        <v>2.1</v>
      </c>
      <c r="H75" t="n">
        <v>0</v>
      </c>
      <c r="I75" t="n">
        <v>0</v>
      </c>
      <c r="J75" t="n">
        <v>0</v>
      </c>
      <c r="K75" t="n">
        <v>0</v>
      </c>
      <c r="L75" t="n">
        <v>0</v>
      </c>
      <c r="M75" t="n">
        <v>0</v>
      </c>
      <c r="N75" t="n">
        <v>0</v>
      </c>
      <c r="O75" t="n">
        <v>0</v>
      </c>
      <c r="P75" t="n">
        <v>0</v>
      </c>
      <c r="Q75" t="n">
        <v>0</v>
      </c>
      <c r="R75" s="2" t="inlineStr"/>
    </row>
    <row r="76" ht="15" customHeight="1">
      <c r="A76" t="inlineStr">
        <is>
          <t>A 2184-2024</t>
        </is>
      </c>
      <c r="B76" s="1" t="n">
        <v>45309</v>
      </c>
      <c r="C76" s="1" t="n">
        <v>46169</v>
      </c>
      <c r="D76" t="inlineStr">
        <is>
          <t>UPPSALA LÄN</t>
        </is>
      </c>
      <c r="E76" t="inlineStr">
        <is>
          <t>ÄLVKARLEBY</t>
        </is>
      </c>
      <c r="G76" t="n">
        <v>0.6</v>
      </c>
      <c r="H76" t="n">
        <v>0</v>
      </c>
      <c r="I76" t="n">
        <v>0</v>
      </c>
      <c r="J76" t="n">
        <v>0</v>
      </c>
      <c r="K76" t="n">
        <v>0</v>
      </c>
      <c r="L76" t="n">
        <v>0</v>
      </c>
      <c r="M76" t="n">
        <v>0</v>
      </c>
      <c r="N76" t="n">
        <v>0</v>
      </c>
      <c r="O76" t="n">
        <v>0</v>
      </c>
      <c r="P76" t="n">
        <v>0</v>
      </c>
      <c r="Q76" t="n">
        <v>0</v>
      </c>
      <c r="R76" s="2" t="inlineStr"/>
    </row>
    <row r="77" ht="15" customHeight="1">
      <c r="A77" t="inlineStr">
        <is>
          <t>A 50398-2025</t>
        </is>
      </c>
      <c r="B77" s="1" t="n">
        <v>45944.62854166667</v>
      </c>
      <c r="C77" s="1" t="n">
        <v>46169</v>
      </c>
      <c r="D77" t="inlineStr">
        <is>
          <t>UPPSALA LÄN</t>
        </is>
      </c>
      <c r="E77" t="inlineStr">
        <is>
          <t>ÄLVKARLEBY</t>
        </is>
      </c>
      <c r="F77" t="inlineStr">
        <is>
          <t>Bergvik skog väst AB</t>
        </is>
      </c>
      <c r="G77" t="n">
        <v>4.4</v>
      </c>
      <c r="H77" t="n">
        <v>0</v>
      </c>
      <c r="I77" t="n">
        <v>0</v>
      </c>
      <c r="J77" t="n">
        <v>0</v>
      </c>
      <c r="K77" t="n">
        <v>0</v>
      </c>
      <c r="L77" t="n">
        <v>0</v>
      </c>
      <c r="M77" t="n">
        <v>0</v>
      </c>
      <c r="N77" t="n">
        <v>0</v>
      </c>
      <c r="O77" t="n">
        <v>0</v>
      </c>
      <c r="P77" t="n">
        <v>0</v>
      </c>
      <c r="Q77" t="n">
        <v>0</v>
      </c>
      <c r="R77" s="2" t="inlineStr"/>
    </row>
    <row r="78" ht="15" customHeight="1">
      <c r="A78" t="inlineStr">
        <is>
          <t>A 50371-2025</t>
        </is>
      </c>
      <c r="B78" s="1" t="n">
        <v>45944.58696759259</v>
      </c>
      <c r="C78" s="1" t="n">
        <v>46169</v>
      </c>
      <c r="D78" t="inlineStr">
        <is>
          <t>UPPSALA LÄN</t>
        </is>
      </c>
      <c r="E78" t="inlineStr">
        <is>
          <t>ÄLVKARLEBY</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36626-2025</t>
        </is>
      </c>
      <c r="B79" s="1" t="n">
        <v>45870.66732638889</v>
      </c>
      <c r="C79" s="1" t="n">
        <v>46169</v>
      </c>
      <c r="D79" t="inlineStr">
        <is>
          <t>UPPSALA LÄN</t>
        </is>
      </c>
      <c r="E79" t="inlineStr">
        <is>
          <t>ÄLVKARLEBY</t>
        </is>
      </c>
      <c r="F79" t="inlineStr">
        <is>
          <t>Bergvik skog väst AB</t>
        </is>
      </c>
      <c r="G79" t="n">
        <v>2.7</v>
      </c>
      <c r="H79" t="n">
        <v>0</v>
      </c>
      <c r="I79" t="n">
        <v>0</v>
      </c>
      <c r="J79" t="n">
        <v>0</v>
      </c>
      <c r="K79" t="n">
        <v>0</v>
      </c>
      <c r="L79" t="n">
        <v>0</v>
      </c>
      <c r="M79" t="n">
        <v>0</v>
      </c>
      <c r="N79" t="n">
        <v>0</v>
      </c>
      <c r="O79" t="n">
        <v>0</v>
      </c>
      <c r="P79" t="n">
        <v>0</v>
      </c>
      <c r="Q79" t="n">
        <v>0</v>
      </c>
      <c r="R79" s="2" t="inlineStr"/>
    </row>
    <row r="80" ht="15" customHeight="1">
      <c r="A80" t="inlineStr">
        <is>
          <t>A 56861-2025</t>
        </is>
      </c>
      <c r="B80" s="1" t="n">
        <v>45978.50824074074</v>
      </c>
      <c r="C80" s="1" t="n">
        <v>46169</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57734-2025</t>
        </is>
      </c>
      <c r="B81" s="1" t="n">
        <v>45981.51148148148</v>
      </c>
      <c r="C81" s="1" t="n">
        <v>46169</v>
      </c>
      <c r="D81" t="inlineStr">
        <is>
          <t>UPPSALA LÄN</t>
        </is>
      </c>
      <c r="E81" t="inlineStr">
        <is>
          <t>ÄLVKARLEBY</t>
        </is>
      </c>
      <c r="F81" t="inlineStr">
        <is>
          <t>Bergvik skog väst AB</t>
        </is>
      </c>
      <c r="G81" t="n">
        <v>1.3</v>
      </c>
      <c r="H81" t="n">
        <v>0</v>
      </c>
      <c r="I81" t="n">
        <v>0</v>
      </c>
      <c r="J81" t="n">
        <v>0</v>
      </c>
      <c r="K81" t="n">
        <v>0</v>
      </c>
      <c r="L81" t="n">
        <v>0</v>
      </c>
      <c r="M81" t="n">
        <v>0</v>
      </c>
      <c r="N81" t="n">
        <v>0</v>
      </c>
      <c r="O81" t="n">
        <v>0</v>
      </c>
      <c r="P81" t="n">
        <v>0</v>
      </c>
      <c r="Q81" t="n">
        <v>0</v>
      </c>
      <c r="R81" s="2" t="inlineStr"/>
    </row>
    <row r="82" ht="15" customHeight="1">
      <c r="A82" t="inlineStr">
        <is>
          <t>A 58168-2025</t>
        </is>
      </c>
      <c r="B82" s="1" t="n">
        <v>45982.72024305556</v>
      </c>
      <c r="C82" s="1" t="n">
        <v>46169</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58497-2025</t>
        </is>
      </c>
      <c r="B83" s="1" t="n">
        <v>45985.67912037037</v>
      </c>
      <c r="C83" s="1" t="n">
        <v>46169</v>
      </c>
      <c r="D83" t="inlineStr">
        <is>
          <t>UPPSALA LÄN</t>
        </is>
      </c>
      <c r="E83" t="inlineStr">
        <is>
          <t>ÄLVKARLEBY</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60083-2025</t>
        </is>
      </c>
      <c r="B84" s="1" t="n">
        <v>45993.69733796296</v>
      </c>
      <c r="C84" s="1" t="n">
        <v>46169</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8030-2025</t>
        </is>
      </c>
      <c r="B85" s="1" t="n">
        <v>45707.59064814815</v>
      </c>
      <c r="C85" s="1" t="n">
        <v>46169</v>
      </c>
      <c r="D85" t="inlineStr">
        <is>
          <t>UPPSALA LÄN</t>
        </is>
      </c>
      <c r="E85" t="inlineStr">
        <is>
          <t>ÄLVKARLEBY</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46169</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60842-2025</t>
        </is>
      </c>
      <c r="B87" s="1" t="n">
        <v>45999.48721064815</v>
      </c>
      <c r="C87" s="1" t="n">
        <v>46169</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60829-2025</t>
        </is>
      </c>
      <c r="B88" s="1" t="n">
        <v>45999.46523148148</v>
      </c>
      <c r="C88" s="1" t="n">
        <v>46169</v>
      </c>
      <c r="D88" t="inlineStr">
        <is>
          <t>UPPSALA LÄN</t>
        </is>
      </c>
      <c r="E88" t="inlineStr">
        <is>
          <t>ÄLVKARLEBY</t>
        </is>
      </c>
      <c r="F88" t="inlineStr">
        <is>
          <t>Bergvik skog väst AB</t>
        </is>
      </c>
      <c r="G88" t="n">
        <v>5.5</v>
      </c>
      <c r="H88" t="n">
        <v>0</v>
      </c>
      <c r="I88" t="n">
        <v>0</v>
      </c>
      <c r="J88" t="n">
        <v>0</v>
      </c>
      <c r="K88" t="n">
        <v>0</v>
      </c>
      <c r="L88" t="n">
        <v>0</v>
      </c>
      <c r="M88" t="n">
        <v>0</v>
      </c>
      <c r="N88" t="n">
        <v>0</v>
      </c>
      <c r="O88" t="n">
        <v>0</v>
      </c>
      <c r="P88" t="n">
        <v>0</v>
      </c>
      <c r="Q88" t="n">
        <v>0</v>
      </c>
      <c r="R88" s="2" t="inlineStr"/>
    </row>
    <row r="89" ht="15" customHeight="1">
      <c r="A89" t="inlineStr">
        <is>
          <t>A 14590-2023</t>
        </is>
      </c>
      <c r="B89" s="1" t="n">
        <v>45013.54621527778</v>
      </c>
      <c r="C89" s="1" t="n">
        <v>46169</v>
      </c>
      <c r="D89" t="inlineStr">
        <is>
          <t>UPPSALA LÄN</t>
        </is>
      </c>
      <c r="E89" t="inlineStr">
        <is>
          <t>ÄLVKARLEBY</t>
        </is>
      </c>
      <c r="G89" t="n">
        <v>1.8</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46169</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61685-2025</t>
        </is>
      </c>
      <c r="B91" s="1" t="n">
        <v>46002.503125</v>
      </c>
      <c r="C91" s="1" t="n">
        <v>46169</v>
      </c>
      <c r="D91" t="inlineStr">
        <is>
          <t>UPPSALA LÄN</t>
        </is>
      </c>
      <c r="E91" t="inlineStr">
        <is>
          <t>ÄLVKARLEBY</t>
        </is>
      </c>
      <c r="F91" t="inlineStr">
        <is>
          <t>Bergvik skog öst AB</t>
        </is>
      </c>
      <c r="G91" t="n">
        <v>1</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46169</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7286-2023</t>
        </is>
      </c>
      <c r="B93" s="1" t="n">
        <v>44970</v>
      </c>
      <c r="C93" s="1" t="n">
        <v>46169</v>
      </c>
      <c r="D93" t="inlineStr">
        <is>
          <t>UPPSALA LÄN</t>
        </is>
      </c>
      <c r="E93" t="inlineStr">
        <is>
          <t>ÄLVKARLEBY</t>
        </is>
      </c>
      <c r="F93" t="inlineStr">
        <is>
          <t>Bergvik skog väst AB</t>
        </is>
      </c>
      <c r="G93" t="n">
        <v>2.5</v>
      </c>
      <c r="H93" t="n">
        <v>0</v>
      </c>
      <c r="I93" t="n">
        <v>0</v>
      </c>
      <c r="J93" t="n">
        <v>0</v>
      </c>
      <c r="K93" t="n">
        <v>0</v>
      </c>
      <c r="L93" t="n">
        <v>0</v>
      </c>
      <c r="M93" t="n">
        <v>0</v>
      </c>
      <c r="N93" t="n">
        <v>0</v>
      </c>
      <c r="O93" t="n">
        <v>0</v>
      </c>
      <c r="P93" t="n">
        <v>0</v>
      </c>
      <c r="Q93" t="n">
        <v>0</v>
      </c>
      <c r="R93" s="2" t="inlineStr"/>
    </row>
    <row r="94" ht="15" customHeight="1">
      <c r="A94" t="inlineStr">
        <is>
          <t>A 63004-2025</t>
        </is>
      </c>
      <c r="B94" s="1" t="n">
        <v>46009.56873842593</v>
      </c>
      <c r="C94" s="1" t="n">
        <v>46169</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46169</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63341-2025</t>
        </is>
      </c>
      <c r="B96" s="1" t="n">
        <v>46010.65505787037</v>
      </c>
      <c r="C96" s="1" t="n">
        <v>46169</v>
      </c>
      <c r="D96" t="inlineStr">
        <is>
          <t>UPPSALA LÄN</t>
        </is>
      </c>
      <c r="E96" t="inlineStr">
        <is>
          <t>ÄLVKARLEBY</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63183-2025</t>
        </is>
      </c>
      <c r="B97" s="1" t="n">
        <v>46010.42908564815</v>
      </c>
      <c r="C97" s="1" t="n">
        <v>46169</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63365-2025</t>
        </is>
      </c>
      <c r="B98" s="1" t="n">
        <v>46010.70717592593</v>
      </c>
      <c r="C98" s="1" t="n">
        <v>46169</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46169</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36216-2022</t>
        </is>
      </c>
      <c r="B100" s="1" t="n">
        <v>44803</v>
      </c>
      <c r="C100" s="1" t="n">
        <v>46169</v>
      </c>
      <c r="D100" t="inlineStr">
        <is>
          <t>UPPSALA LÄN</t>
        </is>
      </c>
      <c r="E100" t="inlineStr">
        <is>
          <t>ÄLVKARLEBY</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1673-2026</t>
        </is>
      </c>
      <c r="B101" s="1" t="n">
        <v>46034.56863425926</v>
      </c>
      <c r="C101" s="1" t="n">
        <v>46169</v>
      </c>
      <c r="D101" t="inlineStr">
        <is>
          <t>UPPSALA LÄN</t>
        </is>
      </c>
      <c r="E101" t="inlineStr">
        <is>
          <t>ÄLVKARLEBY</t>
        </is>
      </c>
      <c r="F101" t="inlineStr">
        <is>
          <t>Bergvik skog väst AB</t>
        </is>
      </c>
      <c r="G101" t="n">
        <v>1.9</v>
      </c>
      <c r="H101" t="n">
        <v>0</v>
      </c>
      <c r="I101" t="n">
        <v>0</v>
      </c>
      <c r="J101" t="n">
        <v>0</v>
      </c>
      <c r="K101" t="n">
        <v>0</v>
      </c>
      <c r="L101" t="n">
        <v>0</v>
      </c>
      <c r="M101" t="n">
        <v>0</v>
      </c>
      <c r="N101" t="n">
        <v>0</v>
      </c>
      <c r="O101" t="n">
        <v>0</v>
      </c>
      <c r="P101" t="n">
        <v>0</v>
      </c>
      <c r="Q101" t="n">
        <v>0</v>
      </c>
      <c r="R101" s="2" t="inlineStr"/>
    </row>
    <row r="102" ht="15" customHeight="1">
      <c r="A102" t="inlineStr">
        <is>
          <t>A 4131-2026</t>
        </is>
      </c>
      <c r="B102" s="1" t="n">
        <v>46044.62451388889</v>
      </c>
      <c r="C102" s="1" t="n">
        <v>46169</v>
      </c>
      <c r="D102" t="inlineStr">
        <is>
          <t>UPPSALA LÄN</t>
        </is>
      </c>
      <c r="E102" t="inlineStr">
        <is>
          <t>ÄLVKARLEBY</t>
        </is>
      </c>
      <c r="F102" t="inlineStr">
        <is>
          <t>Bergvik skog öst AB</t>
        </is>
      </c>
      <c r="G102" t="n">
        <v>2.4</v>
      </c>
      <c r="H102" t="n">
        <v>0</v>
      </c>
      <c r="I102" t="n">
        <v>0</v>
      </c>
      <c r="J102" t="n">
        <v>0</v>
      </c>
      <c r="K102" t="n">
        <v>0</v>
      </c>
      <c r="L102" t="n">
        <v>0</v>
      </c>
      <c r="M102" t="n">
        <v>0</v>
      </c>
      <c r="N102" t="n">
        <v>0</v>
      </c>
      <c r="O102" t="n">
        <v>0</v>
      </c>
      <c r="P102" t="n">
        <v>0</v>
      </c>
      <c r="Q102" t="n">
        <v>0</v>
      </c>
      <c r="R102" s="2" t="inlineStr"/>
    </row>
    <row r="103" ht="15" customHeight="1">
      <c r="A103" t="inlineStr">
        <is>
          <t>A 4134-2026</t>
        </is>
      </c>
      <c r="B103" s="1" t="n">
        <v>46044.6280787037</v>
      </c>
      <c r="C103" s="1" t="n">
        <v>46169</v>
      </c>
      <c r="D103" t="inlineStr">
        <is>
          <t>UPPSALA LÄN</t>
        </is>
      </c>
      <c r="E103" t="inlineStr">
        <is>
          <t>ÄLVKARLEBY</t>
        </is>
      </c>
      <c r="F103" t="inlineStr">
        <is>
          <t>Bergvik skog öst AB</t>
        </is>
      </c>
      <c r="G103" t="n">
        <v>5.1</v>
      </c>
      <c r="H103" t="n">
        <v>0</v>
      </c>
      <c r="I103" t="n">
        <v>0</v>
      </c>
      <c r="J103" t="n">
        <v>0</v>
      </c>
      <c r="K103" t="n">
        <v>0</v>
      </c>
      <c r="L103" t="n">
        <v>0</v>
      </c>
      <c r="M103" t="n">
        <v>0</v>
      </c>
      <c r="N103" t="n">
        <v>0</v>
      </c>
      <c r="O103" t="n">
        <v>0</v>
      </c>
      <c r="P103" t="n">
        <v>0</v>
      </c>
      <c r="Q103" t="n">
        <v>0</v>
      </c>
      <c r="R103" s="2" t="inlineStr"/>
    </row>
    <row r="104" ht="15" customHeight="1">
      <c r="A104" t="inlineStr">
        <is>
          <t>A 4133-2026</t>
        </is>
      </c>
      <c r="B104" s="1" t="n">
        <v>46044.626875</v>
      </c>
      <c r="C104" s="1" t="n">
        <v>46169</v>
      </c>
      <c r="D104" t="inlineStr">
        <is>
          <t>UPPSALA LÄN</t>
        </is>
      </c>
      <c r="E104" t="inlineStr">
        <is>
          <t>ÄLVKARLEBY</t>
        </is>
      </c>
      <c r="F104" t="inlineStr">
        <is>
          <t>Bergvik skog öst AB</t>
        </is>
      </c>
      <c r="G104" t="n">
        <v>4.1</v>
      </c>
      <c r="H104" t="n">
        <v>0</v>
      </c>
      <c r="I104" t="n">
        <v>0</v>
      </c>
      <c r="J104" t="n">
        <v>0</v>
      </c>
      <c r="K104" t="n">
        <v>0</v>
      </c>
      <c r="L104" t="n">
        <v>0</v>
      </c>
      <c r="M104" t="n">
        <v>0</v>
      </c>
      <c r="N104" t="n">
        <v>0</v>
      </c>
      <c r="O104" t="n">
        <v>0</v>
      </c>
      <c r="P104" t="n">
        <v>0</v>
      </c>
      <c r="Q104" t="n">
        <v>0</v>
      </c>
      <c r="R104" s="2" t="inlineStr"/>
    </row>
    <row r="105" ht="15" customHeight="1">
      <c r="A105" t="inlineStr">
        <is>
          <t>A 16990-2022</t>
        </is>
      </c>
      <c r="B105" s="1" t="n">
        <v>44676.6122337963</v>
      </c>
      <c r="C105" s="1" t="n">
        <v>46169</v>
      </c>
      <c r="D105" t="inlineStr">
        <is>
          <t>UPPSALA LÄN</t>
        </is>
      </c>
      <c r="E105" t="inlineStr">
        <is>
          <t>ÄLVKARLEBY</t>
        </is>
      </c>
      <c r="F105" t="inlineStr">
        <is>
          <t>Bergvik skog väst AB</t>
        </is>
      </c>
      <c r="G105" t="n">
        <v>2.6</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46169</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38226-2023</t>
        </is>
      </c>
      <c r="B107" s="1" t="n">
        <v>45161</v>
      </c>
      <c r="C107" s="1" t="n">
        <v>46169</v>
      </c>
      <c r="D107" t="inlineStr">
        <is>
          <t>UPPSALA LÄN</t>
        </is>
      </c>
      <c r="E107" t="inlineStr">
        <is>
          <t>ÄLVKARLEBY</t>
        </is>
      </c>
      <c r="F107" t="inlineStr">
        <is>
          <t>Bergvik skog väst AB</t>
        </is>
      </c>
      <c r="G107" t="n">
        <v>4.5</v>
      </c>
      <c r="H107" t="n">
        <v>0</v>
      </c>
      <c r="I107" t="n">
        <v>0</v>
      </c>
      <c r="J107" t="n">
        <v>0</v>
      </c>
      <c r="K107" t="n">
        <v>0</v>
      </c>
      <c r="L107" t="n">
        <v>0</v>
      </c>
      <c r="M107" t="n">
        <v>0</v>
      </c>
      <c r="N107" t="n">
        <v>0</v>
      </c>
      <c r="O107" t="n">
        <v>0</v>
      </c>
      <c r="P107" t="n">
        <v>0</v>
      </c>
      <c r="Q107" t="n">
        <v>0</v>
      </c>
      <c r="R107" s="2" t="inlineStr"/>
    </row>
    <row r="108" ht="15" customHeight="1">
      <c r="A108" t="inlineStr">
        <is>
          <t>A 19303-2024</t>
        </is>
      </c>
      <c r="B108" s="1" t="n">
        <v>45428.70386574074</v>
      </c>
      <c r="C108" s="1" t="n">
        <v>46169</v>
      </c>
      <c r="D108" t="inlineStr">
        <is>
          <t>UPPSALA LÄN</t>
        </is>
      </c>
      <c r="E108" t="inlineStr">
        <is>
          <t>ÄLVKARLEBY</t>
        </is>
      </c>
      <c r="G108" t="n">
        <v>0.4</v>
      </c>
      <c r="H108" t="n">
        <v>0</v>
      </c>
      <c r="I108" t="n">
        <v>0</v>
      </c>
      <c r="J108" t="n">
        <v>0</v>
      </c>
      <c r="K108" t="n">
        <v>0</v>
      </c>
      <c r="L108" t="n">
        <v>0</v>
      </c>
      <c r="M108" t="n">
        <v>0</v>
      </c>
      <c r="N108" t="n">
        <v>0</v>
      </c>
      <c r="O108" t="n">
        <v>0</v>
      </c>
      <c r="P108" t="n">
        <v>0</v>
      </c>
      <c r="Q108" t="n">
        <v>0</v>
      </c>
      <c r="R108" s="2" t="inlineStr"/>
    </row>
    <row r="109" ht="15" customHeight="1">
      <c r="A109" t="inlineStr">
        <is>
          <t>A 11467-2026</t>
        </is>
      </c>
      <c r="B109" s="1" t="n">
        <v>46083.58950231481</v>
      </c>
      <c r="C109" s="1" t="n">
        <v>46169</v>
      </c>
      <c r="D109" t="inlineStr">
        <is>
          <t>UPPSALA LÄN</t>
        </is>
      </c>
      <c r="E109" t="inlineStr">
        <is>
          <t>ÄLVKARLEBY</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3950-2025</t>
        </is>
      </c>
      <c r="B110" s="1" t="n">
        <v>45684</v>
      </c>
      <c r="C110" s="1" t="n">
        <v>46169</v>
      </c>
      <c r="D110" t="inlineStr">
        <is>
          <t>UPPSALA LÄN</t>
        </is>
      </c>
      <c r="E110" t="inlineStr">
        <is>
          <t>ÄLVKARLEBY</t>
        </is>
      </c>
      <c r="G110" t="n">
        <v>3.1</v>
      </c>
      <c r="H110" t="n">
        <v>0</v>
      </c>
      <c r="I110" t="n">
        <v>0</v>
      </c>
      <c r="J110" t="n">
        <v>0</v>
      </c>
      <c r="K110" t="n">
        <v>0</v>
      </c>
      <c r="L110" t="n">
        <v>0</v>
      </c>
      <c r="M110" t="n">
        <v>0</v>
      </c>
      <c r="N110" t="n">
        <v>0</v>
      </c>
      <c r="O110" t="n">
        <v>0</v>
      </c>
      <c r="P110" t="n">
        <v>0</v>
      </c>
      <c r="Q110" t="n">
        <v>0</v>
      </c>
      <c r="R110" s="2" t="inlineStr"/>
    </row>
    <row r="111" ht="15" customHeight="1">
      <c r="A111" t="inlineStr">
        <is>
          <t>A 11848-2026</t>
        </is>
      </c>
      <c r="B111" s="1" t="n">
        <v>46085.45927083334</v>
      </c>
      <c r="C111" s="1" t="n">
        <v>46169</v>
      </c>
      <c r="D111" t="inlineStr">
        <is>
          <t>UPPSALA LÄN</t>
        </is>
      </c>
      <c r="E111" t="inlineStr">
        <is>
          <t>ÄLVKARLEBY</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46169</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45372-2024</t>
        </is>
      </c>
      <c r="B113" s="1" t="n">
        <v>45576.51116898148</v>
      </c>
      <c r="C113" s="1" t="n">
        <v>46169</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46169</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46169</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14127-2026</t>
        </is>
      </c>
      <c r="B116" s="1" t="n">
        <v>46099.44534722222</v>
      </c>
      <c r="C116" s="1" t="n">
        <v>46169</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14091-2026</t>
        </is>
      </c>
      <c r="B117" s="1" t="n">
        <v>46099.38484953704</v>
      </c>
      <c r="C117" s="1" t="n">
        <v>46169</v>
      </c>
      <c r="D117" t="inlineStr">
        <is>
          <t>UPPSALA LÄN</t>
        </is>
      </c>
      <c r="E117" t="inlineStr">
        <is>
          <t>ÄLVKARLEBY</t>
        </is>
      </c>
      <c r="G117" t="n">
        <v>0.7</v>
      </c>
      <c r="H117" t="n">
        <v>0</v>
      </c>
      <c r="I117" t="n">
        <v>0</v>
      </c>
      <c r="J117" t="n">
        <v>0</v>
      </c>
      <c r="K117" t="n">
        <v>0</v>
      </c>
      <c r="L117" t="n">
        <v>0</v>
      </c>
      <c r="M117" t="n">
        <v>0</v>
      </c>
      <c r="N117" t="n">
        <v>0</v>
      </c>
      <c r="O117" t="n">
        <v>0</v>
      </c>
      <c r="P117" t="n">
        <v>0</v>
      </c>
      <c r="Q117" t="n">
        <v>0</v>
      </c>
      <c r="R117" s="2" t="inlineStr"/>
    </row>
    <row r="118" ht="15" customHeight="1">
      <c r="A118" t="inlineStr">
        <is>
          <t>A 26815-2022</t>
        </is>
      </c>
      <c r="B118" s="1" t="n">
        <v>44740.44644675926</v>
      </c>
      <c r="C118" s="1" t="n">
        <v>46169</v>
      </c>
      <c r="D118" t="inlineStr">
        <is>
          <t>UPPSALA LÄN</t>
        </is>
      </c>
      <c r="E118" t="inlineStr">
        <is>
          <t>ÄLVKARLEBY</t>
        </is>
      </c>
      <c r="G118" t="n">
        <v>5.8</v>
      </c>
      <c r="H118" t="n">
        <v>0</v>
      </c>
      <c r="I118" t="n">
        <v>0</v>
      </c>
      <c r="J118" t="n">
        <v>0</v>
      </c>
      <c r="K118" t="n">
        <v>0</v>
      </c>
      <c r="L118" t="n">
        <v>0</v>
      </c>
      <c r="M118" t="n">
        <v>0</v>
      </c>
      <c r="N118" t="n">
        <v>0</v>
      </c>
      <c r="O118" t="n">
        <v>0</v>
      </c>
      <c r="P118" t="n">
        <v>0</v>
      </c>
      <c r="Q118" t="n">
        <v>0</v>
      </c>
      <c r="R118" s="2" t="inlineStr"/>
    </row>
    <row r="119" ht="15" customHeight="1">
      <c r="A119" t="inlineStr">
        <is>
          <t>A 22563-2026</t>
        </is>
      </c>
      <c r="B119" s="1" t="n">
        <v>46155.55376157408</v>
      </c>
      <c r="C119" s="1" t="n">
        <v>46169</v>
      </c>
      <c r="D119" t="inlineStr">
        <is>
          <t>UPPSALA LÄN</t>
        </is>
      </c>
      <c r="E119" t="inlineStr">
        <is>
          <t>ÄLVKARLEBY</t>
        </is>
      </c>
      <c r="F119" t="inlineStr">
        <is>
          <t>Bergvik skog öst AB</t>
        </is>
      </c>
      <c r="G119" t="n">
        <v>3.5</v>
      </c>
      <c r="H119" t="n">
        <v>0</v>
      </c>
      <c r="I119" t="n">
        <v>0</v>
      </c>
      <c r="J119" t="n">
        <v>0</v>
      </c>
      <c r="K119" t="n">
        <v>0</v>
      </c>
      <c r="L119" t="n">
        <v>0</v>
      </c>
      <c r="M119" t="n">
        <v>0</v>
      </c>
      <c r="N119" t="n">
        <v>0</v>
      </c>
      <c r="O119" t="n">
        <v>0</v>
      </c>
      <c r="P119" t="n">
        <v>0</v>
      </c>
      <c r="Q119" t="n">
        <v>0</v>
      </c>
      <c r="R119" s="2" t="inlineStr"/>
    </row>
    <row r="120" ht="15" customHeight="1">
      <c r="A120" t="inlineStr">
        <is>
          <t>A 8031-2025</t>
        </is>
      </c>
      <c r="B120" s="1" t="n">
        <v>45707.59112268518</v>
      </c>
      <c r="C120" s="1" t="n">
        <v>46169</v>
      </c>
      <c r="D120" t="inlineStr">
        <is>
          <t>UPPSALA LÄN</t>
        </is>
      </c>
      <c r="E120" t="inlineStr">
        <is>
          <t>ÄLVKARLEBY</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17851-2026</t>
        </is>
      </c>
      <c r="B121" s="1" t="n">
        <v>46122.481875</v>
      </c>
      <c r="C121" s="1" t="n">
        <v>46169</v>
      </c>
      <c r="D121" t="inlineStr">
        <is>
          <t>UPPSALA LÄN</t>
        </is>
      </c>
      <c r="E121" t="inlineStr">
        <is>
          <t>ÄLVKARLEBY</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41272-2023</t>
        </is>
      </c>
      <c r="B122" s="1" t="n">
        <v>45174</v>
      </c>
      <c r="C122" s="1" t="n">
        <v>46169</v>
      </c>
      <c r="D122" t="inlineStr">
        <is>
          <t>UPPSALA LÄN</t>
        </is>
      </c>
      <c r="E122" t="inlineStr">
        <is>
          <t>ÄLVKARLEBY</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41276-2023</t>
        </is>
      </c>
      <c r="B123" s="1" t="n">
        <v>45174</v>
      </c>
      <c r="C123" s="1" t="n">
        <v>46169</v>
      </c>
      <c r="D123" t="inlineStr">
        <is>
          <t>UPPSALA LÄN</t>
        </is>
      </c>
      <c r="E123" t="inlineStr">
        <is>
          <t>ÄLVKARLEBY</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19304-2024</t>
        </is>
      </c>
      <c r="B124" s="1" t="n">
        <v>45428</v>
      </c>
      <c r="C124" s="1" t="n">
        <v>46169</v>
      </c>
      <c r="D124" t="inlineStr">
        <is>
          <t>UPPSALA LÄN</t>
        </is>
      </c>
      <c r="E124" t="inlineStr">
        <is>
          <t>ÄLVKARLEBY</t>
        </is>
      </c>
      <c r="G124" t="n">
        <v>0.2</v>
      </c>
      <c r="H124" t="n">
        <v>0</v>
      </c>
      <c r="I124" t="n">
        <v>0</v>
      </c>
      <c r="J124" t="n">
        <v>0</v>
      </c>
      <c r="K124" t="n">
        <v>0</v>
      </c>
      <c r="L124" t="n">
        <v>0</v>
      </c>
      <c r="M124" t="n">
        <v>0</v>
      </c>
      <c r="N124" t="n">
        <v>0</v>
      </c>
      <c r="O124" t="n">
        <v>0</v>
      </c>
      <c r="P124" t="n">
        <v>0</v>
      </c>
      <c r="Q124" t="n">
        <v>0</v>
      </c>
      <c r="R124" s="2" t="inlineStr"/>
    </row>
    <row r="125">
      <c r="A125" t="inlineStr">
        <is>
          <t>A 19697-2025</t>
        </is>
      </c>
      <c r="B125" s="1" t="n">
        <v>45771</v>
      </c>
      <c r="C125" s="1" t="n">
        <v>46169</v>
      </c>
      <c r="D125" t="inlineStr">
        <is>
          <t>UPPSALA LÄN</t>
        </is>
      </c>
      <c r="E125" t="inlineStr">
        <is>
          <t>ÄLVKARLEBY</t>
        </is>
      </c>
      <c r="F125" t="inlineStr">
        <is>
          <t>Bergvik skog väst AB</t>
        </is>
      </c>
      <c r="G125" t="n">
        <v>3.3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2026-05-27T10:54:45Z</dcterms:created>
  <dcterms:modified xmlns:dcterms="http://purl.org/dc/terms/" xmlns:xsi="http://www.w3.org/2001/XMLSchema-instance" xsi:type="dcterms:W3CDTF">2026-05-27T10:54:45Z</dcterms:modified>
</cp:coreProperties>
</file>