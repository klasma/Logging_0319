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46091</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46091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46091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46091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46091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46091</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46091</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46091</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46091</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46091</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46091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46091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21007-2025</t>
        </is>
      </c>
      <c r="B14" s="1" t="n">
        <v>45777</v>
      </c>
      <c r="C14" s="1" t="n">
        <v>46091</v>
      </c>
      <c r="D14" t="inlineStr">
        <is>
          <t>UPPSALA LÄN</t>
        </is>
      </c>
      <c r="E14" t="inlineStr">
        <is>
          <t>ÄLVKARLEBY</t>
        </is>
      </c>
      <c r="F14" t="inlineStr">
        <is>
          <t>Bergvik skog väst AB</t>
        </is>
      </c>
      <c r="G14" t="n">
        <v>5.2</v>
      </c>
      <c r="H14" t="n">
        <v>1</v>
      </c>
      <c r="I14" t="n">
        <v>2</v>
      </c>
      <c r="J14" t="n">
        <v>0</v>
      </c>
      <c r="K14" t="n">
        <v>0</v>
      </c>
      <c r="L14" t="n">
        <v>0</v>
      </c>
      <c r="M14" t="n">
        <v>0</v>
      </c>
      <c r="N14" t="n">
        <v>0</v>
      </c>
      <c r="O14" t="n">
        <v>0</v>
      </c>
      <c r="P14" t="n">
        <v>0</v>
      </c>
      <c r="Q14" t="n">
        <v>3</v>
      </c>
      <c r="R14" s="2" t="inlineStr">
        <is>
          <t>Svart trolldruva
Tibast
Lopplummer (aggregat)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58480-2025</t>
        </is>
      </c>
      <c r="B15" s="1" t="n">
        <v>45985.64805555555</v>
      </c>
      <c r="C15" s="1" t="n">
        <v>46091</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46091</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70017-2021</t>
        </is>
      </c>
      <c r="B17" s="1" t="n">
        <v>44533</v>
      </c>
      <c r="C17" s="1" t="n">
        <v>46091</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61693-2025</t>
        </is>
      </c>
      <c r="B18" s="1" t="n">
        <v>46002</v>
      </c>
      <c r="C18" s="1" t="n">
        <v>46091</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62278-2025</t>
        </is>
      </c>
      <c r="B19" s="1" t="n">
        <v>46006.63202546296</v>
      </c>
      <c r="C19" s="1" t="n">
        <v>46091</v>
      </c>
      <c r="D19" t="inlineStr">
        <is>
          <t>UPPSALA LÄN</t>
        </is>
      </c>
      <c r="E19" t="inlineStr">
        <is>
          <t>ÄLVKARLEBY</t>
        </is>
      </c>
      <c r="F19" t="inlineStr">
        <is>
          <t>Bergvik skog väst AB</t>
        </is>
      </c>
      <c r="G19" t="n">
        <v>6.3</v>
      </c>
      <c r="H19" t="n">
        <v>2</v>
      </c>
      <c r="I19" t="n">
        <v>0</v>
      </c>
      <c r="J19" t="n">
        <v>1</v>
      </c>
      <c r="K19" t="n">
        <v>1</v>
      </c>
      <c r="L19" t="n">
        <v>1</v>
      </c>
      <c r="M19" t="n">
        <v>0</v>
      </c>
      <c r="N19" t="n">
        <v>0</v>
      </c>
      <c r="O19" t="n">
        <v>3</v>
      </c>
      <c r="P19" t="n">
        <v>2</v>
      </c>
      <c r="Q19" t="n">
        <v>3</v>
      </c>
      <c r="R19" s="2" t="inlineStr">
        <is>
          <t>Mosippa
Knärot
Rökfingersvamp</t>
        </is>
      </c>
      <c r="S19">
        <f>HYPERLINK("https://klasma.github.io/Logging_0319/artfynd/A 62278-2025 artfynd.xlsx", "A 62278-2025")</f>
        <v/>
      </c>
      <c r="T19">
        <f>HYPERLINK("https://klasma.github.io/Logging_0319/kartor/A 62278-2025 karta.png", "A 62278-2025")</f>
        <v/>
      </c>
      <c r="U19">
        <f>HYPERLINK("https://klasma.github.io/Logging_0319/knärot/A 62278-2025 karta knärot.png", "A 62278-2025")</f>
        <v/>
      </c>
      <c r="V19">
        <f>HYPERLINK("https://klasma.github.io/Logging_0319/klagomål/A 62278-2025 FSC-klagomål.docx", "A 62278-2025")</f>
        <v/>
      </c>
      <c r="W19">
        <f>HYPERLINK("https://klasma.github.io/Logging_0319/klagomålsmail/A 62278-2025 FSC-klagomål mail.docx", "A 62278-2025")</f>
        <v/>
      </c>
      <c r="X19">
        <f>HYPERLINK("https://klasma.github.io/Logging_0319/tillsyn/A 62278-2025 tillsynsbegäran.docx", "A 62278-2025")</f>
        <v/>
      </c>
      <c r="Y19">
        <f>HYPERLINK("https://klasma.github.io/Logging_0319/tillsynsmail/A 62278-2025 tillsynsbegäran mail.docx", "A 62278-2025")</f>
        <v/>
      </c>
    </row>
    <row r="20" ht="15" customHeight="1">
      <c r="A20" t="inlineStr">
        <is>
          <t>A 58485-2025</t>
        </is>
      </c>
      <c r="B20" s="1" t="n">
        <v>45985.65565972222</v>
      </c>
      <c r="C20" s="1" t="n">
        <v>46091</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46091</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46091</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46091</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46091</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21700-2024</t>
        </is>
      </c>
      <c r="B25" s="1" t="n">
        <v>45442</v>
      </c>
      <c r="C25" s="1" t="n">
        <v>46091</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46091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46091</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46091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4132-2026</t>
        </is>
      </c>
      <c r="B29" s="1" t="n">
        <v>46044.62596064815</v>
      </c>
      <c r="C29" s="1" t="n">
        <v>46091</v>
      </c>
      <c r="D29" t="inlineStr">
        <is>
          <t>UPPSALA LÄN</t>
        </is>
      </c>
      <c r="E29" t="inlineStr">
        <is>
          <t>ÄLVKARLEBY</t>
        </is>
      </c>
      <c r="F29" t="inlineStr">
        <is>
          <t>Bergvik skog öst AB</t>
        </is>
      </c>
      <c r="G29" t="n">
        <v>12.2</v>
      </c>
      <c r="H29" t="n">
        <v>1</v>
      </c>
      <c r="I29" t="n">
        <v>0</v>
      </c>
      <c r="J29" t="n">
        <v>0</v>
      </c>
      <c r="K29" t="n">
        <v>0</v>
      </c>
      <c r="L29" t="n">
        <v>0</v>
      </c>
      <c r="M29" t="n">
        <v>0</v>
      </c>
      <c r="N29" t="n">
        <v>0</v>
      </c>
      <c r="O29" t="n">
        <v>0</v>
      </c>
      <c r="P29" t="n">
        <v>0</v>
      </c>
      <c r="Q29" t="n">
        <v>1</v>
      </c>
      <c r="R29" s="2" t="inlineStr">
        <is>
          <t>Dubbelnycklar</t>
        </is>
      </c>
      <c r="S29">
        <f>HYPERLINK("https://klasma.github.io/Logging_0319/artfynd/A 4132-2026 artfynd.xlsx", "A 4132-2026")</f>
        <v/>
      </c>
      <c r="T29">
        <f>HYPERLINK("https://klasma.github.io/Logging_0319/kartor/A 4132-2026 karta.png", "A 4132-2026")</f>
        <v/>
      </c>
      <c r="V29">
        <f>HYPERLINK("https://klasma.github.io/Logging_0319/klagomål/A 4132-2026 FSC-klagomål.docx", "A 4132-2026")</f>
        <v/>
      </c>
      <c r="W29">
        <f>HYPERLINK("https://klasma.github.io/Logging_0319/klagomålsmail/A 4132-2026 FSC-klagomål mail.docx", "A 4132-2026")</f>
        <v/>
      </c>
      <c r="X29">
        <f>HYPERLINK("https://klasma.github.io/Logging_0319/tillsyn/A 4132-2026 tillsynsbegäran.docx", "A 4132-2026")</f>
        <v/>
      </c>
      <c r="Y29">
        <f>HYPERLINK("https://klasma.github.io/Logging_0319/tillsynsmail/A 4132-2026 tillsynsbegäran mail.docx", "A 4132-2026")</f>
        <v/>
      </c>
    </row>
    <row r="30" ht="15" customHeight="1">
      <c r="A30" t="inlineStr">
        <is>
          <t>A 36217-2022</t>
        </is>
      </c>
      <c r="B30" s="1" t="n">
        <v>44803</v>
      </c>
      <c r="C30" s="1" t="n">
        <v>46091</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46091</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46091</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46091</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46091</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52477-2025</t>
        </is>
      </c>
      <c r="B35" s="1" t="n">
        <v>45954.46980324074</v>
      </c>
      <c r="C35" s="1" t="n">
        <v>46091</v>
      </c>
      <c r="D35" t="inlineStr">
        <is>
          <t>UPPSALA LÄN</t>
        </is>
      </c>
      <c r="E35" t="inlineStr">
        <is>
          <t>ÄLVKARLEBY</t>
        </is>
      </c>
      <c r="F35" t="inlineStr">
        <is>
          <t>Bergvik skog väst AB</t>
        </is>
      </c>
      <c r="G35" t="n">
        <v>5.3</v>
      </c>
      <c r="H35" t="n">
        <v>0</v>
      </c>
      <c r="I35" t="n">
        <v>0</v>
      </c>
      <c r="J35" t="n">
        <v>0</v>
      </c>
      <c r="K35" t="n">
        <v>0</v>
      </c>
      <c r="L35" t="n">
        <v>0</v>
      </c>
      <c r="M35" t="n">
        <v>0</v>
      </c>
      <c r="N35" t="n">
        <v>0</v>
      </c>
      <c r="O35" t="n">
        <v>0</v>
      </c>
      <c r="P35" t="n">
        <v>0</v>
      </c>
      <c r="Q35" t="n">
        <v>0</v>
      </c>
      <c r="R35" s="2" t="inlineStr"/>
    </row>
    <row r="36" ht="15" customHeight="1">
      <c r="A36" t="inlineStr">
        <is>
          <t>A 52498-2025</t>
        </is>
      </c>
      <c r="B36" s="1" t="n">
        <v>45954.49314814815</v>
      </c>
      <c r="C36" s="1" t="n">
        <v>46091</v>
      </c>
      <c r="D36" t="inlineStr">
        <is>
          <t>UPPSALA LÄN</t>
        </is>
      </c>
      <c r="E36" t="inlineStr">
        <is>
          <t>ÄLVKARLEBY</t>
        </is>
      </c>
      <c r="F36" t="inlineStr">
        <is>
          <t>Bergvik skog väst AB</t>
        </is>
      </c>
      <c r="G36" t="n">
        <v>1</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46091</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19303-2024</t>
        </is>
      </c>
      <c r="B38" s="1" t="n">
        <v>45428.70386574074</v>
      </c>
      <c r="C38" s="1" t="n">
        <v>46091</v>
      </c>
      <c r="D38" t="inlineStr">
        <is>
          <t>UPPSALA LÄN</t>
        </is>
      </c>
      <c r="E38" t="inlineStr">
        <is>
          <t>ÄLVKARLEBY</t>
        </is>
      </c>
      <c r="G38" t="n">
        <v>0.4</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46091</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46091</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46091</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26664-2025</t>
        </is>
      </c>
      <c r="B42" s="1" t="n">
        <v>45810</v>
      </c>
      <c r="C42" s="1" t="n">
        <v>46091</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46091</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38226-2023</t>
        </is>
      </c>
      <c r="B44" s="1" t="n">
        <v>45161</v>
      </c>
      <c r="C44" s="1" t="n">
        <v>46091</v>
      </c>
      <c r="D44" t="inlineStr">
        <is>
          <t>UPPSALA LÄN</t>
        </is>
      </c>
      <c r="E44" t="inlineStr">
        <is>
          <t>ÄLVKARLEBY</t>
        </is>
      </c>
      <c r="F44" t="inlineStr">
        <is>
          <t>Bergvik skog väst AB</t>
        </is>
      </c>
      <c r="G44" t="n">
        <v>4.5</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46091</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53173-2025</t>
        </is>
      </c>
      <c r="B46" s="1" t="n">
        <v>45958.51738425926</v>
      </c>
      <c r="C46" s="1" t="n">
        <v>46091</v>
      </c>
      <c r="D46" t="inlineStr">
        <is>
          <t>UPPSALA LÄN</t>
        </is>
      </c>
      <c r="E46" t="inlineStr">
        <is>
          <t>ÄLVKARLEBY</t>
        </is>
      </c>
      <c r="F46" t="inlineStr">
        <is>
          <t>Bergvik skog väst AB</t>
        </is>
      </c>
      <c r="G46" t="n">
        <v>2.3</v>
      </c>
      <c r="H46" t="n">
        <v>0</v>
      </c>
      <c r="I46" t="n">
        <v>0</v>
      </c>
      <c r="J46" t="n">
        <v>0</v>
      </c>
      <c r="K46" t="n">
        <v>0</v>
      </c>
      <c r="L46" t="n">
        <v>0</v>
      </c>
      <c r="M46" t="n">
        <v>0</v>
      </c>
      <c r="N46" t="n">
        <v>0</v>
      </c>
      <c r="O46" t="n">
        <v>0</v>
      </c>
      <c r="P46" t="n">
        <v>0</v>
      </c>
      <c r="Q46" t="n">
        <v>0</v>
      </c>
      <c r="R46" s="2" t="inlineStr"/>
    </row>
    <row r="47" ht="15" customHeight="1">
      <c r="A47" t="inlineStr">
        <is>
          <t>A 41847-2025</t>
        </is>
      </c>
      <c r="B47" s="1" t="n">
        <v>45902.75265046296</v>
      </c>
      <c r="C47" s="1" t="n">
        <v>46091</v>
      </c>
      <c r="D47" t="inlineStr">
        <is>
          <t>UPPSALA LÄN</t>
        </is>
      </c>
      <c r="E47" t="inlineStr">
        <is>
          <t>ÄLVKARLEBY</t>
        </is>
      </c>
      <c r="F47" t="inlineStr">
        <is>
          <t>Bergvik skog väst AB</t>
        </is>
      </c>
      <c r="G47" t="n">
        <v>3.6</v>
      </c>
      <c r="H47" t="n">
        <v>0</v>
      </c>
      <c r="I47" t="n">
        <v>0</v>
      </c>
      <c r="J47" t="n">
        <v>0</v>
      </c>
      <c r="K47" t="n">
        <v>0</v>
      </c>
      <c r="L47" t="n">
        <v>0</v>
      </c>
      <c r="M47" t="n">
        <v>0</v>
      </c>
      <c r="N47" t="n">
        <v>0</v>
      </c>
      <c r="O47" t="n">
        <v>0</v>
      </c>
      <c r="P47" t="n">
        <v>0</v>
      </c>
      <c r="Q47" t="n">
        <v>0</v>
      </c>
      <c r="R47" s="2" t="inlineStr"/>
    </row>
    <row r="48" ht="15" customHeight="1">
      <c r="A48" t="inlineStr">
        <is>
          <t>A 53184-2025</t>
        </is>
      </c>
      <c r="B48" s="1" t="n">
        <v>45958</v>
      </c>
      <c r="C48" s="1" t="n">
        <v>46091</v>
      </c>
      <c r="D48" t="inlineStr">
        <is>
          <t>UPPSALA LÄN</t>
        </is>
      </c>
      <c r="E48" t="inlineStr">
        <is>
          <t>ÄLVKARLEBY</t>
        </is>
      </c>
      <c r="F48" t="inlineStr">
        <is>
          <t>Bergvik skog väst AB</t>
        </is>
      </c>
      <c r="G48" t="n">
        <v>0.6</v>
      </c>
      <c r="H48" t="n">
        <v>0</v>
      </c>
      <c r="I48" t="n">
        <v>0</v>
      </c>
      <c r="J48" t="n">
        <v>0</v>
      </c>
      <c r="K48" t="n">
        <v>0</v>
      </c>
      <c r="L48" t="n">
        <v>0</v>
      </c>
      <c r="M48" t="n">
        <v>0</v>
      </c>
      <c r="N48" t="n">
        <v>0</v>
      </c>
      <c r="O48" t="n">
        <v>0</v>
      </c>
      <c r="P48" t="n">
        <v>0</v>
      </c>
      <c r="Q48" t="n">
        <v>0</v>
      </c>
      <c r="R48" s="2" t="inlineStr"/>
    </row>
    <row r="49" ht="15" customHeight="1">
      <c r="A49" t="inlineStr">
        <is>
          <t>A 43662-2025</t>
        </is>
      </c>
      <c r="B49" s="1" t="n">
        <v>45912.34446759259</v>
      </c>
      <c r="C49" s="1" t="n">
        <v>46091</v>
      </c>
      <c r="D49" t="inlineStr">
        <is>
          <t>UPPSALA LÄN</t>
        </is>
      </c>
      <c r="E49" t="inlineStr">
        <is>
          <t>ÄLVKARLEBY</t>
        </is>
      </c>
      <c r="F49" t="inlineStr">
        <is>
          <t>Kyrkan</t>
        </is>
      </c>
      <c r="G49" t="n">
        <v>4.5</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46091</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15739-2025</t>
        </is>
      </c>
      <c r="B51" s="1" t="n">
        <v>45748.54612268518</v>
      </c>
      <c r="C51" s="1" t="n">
        <v>46091</v>
      </c>
      <c r="D51" t="inlineStr">
        <is>
          <t>UPPSALA LÄN</t>
        </is>
      </c>
      <c r="E51" t="inlineStr">
        <is>
          <t>ÄLVKARLEBY</t>
        </is>
      </c>
      <c r="F51" t="inlineStr">
        <is>
          <t>Kyrkan</t>
        </is>
      </c>
      <c r="G51" t="n">
        <v>2.4</v>
      </c>
      <c r="H51" t="n">
        <v>0</v>
      </c>
      <c r="I51" t="n">
        <v>0</v>
      </c>
      <c r="J51" t="n">
        <v>0</v>
      </c>
      <c r="K51" t="n">
        <v>0</v>
      </c>
      <c r="L51" t="n">
        <v>0</v>
      </c>
      <c r="M51" t="n">
        <v>0</v>
      </c>
      <c r="N51" t="n">
        <v>0</v>
      </c>
      <c r="O51" t="n">
        <v>0</v>
      </c>
      <c r="P51" t="n">
        <v>0</v>
      </c>
      <c r="Q51" t="n">
        <v>0</v>
      </c>
      <c r="R51" s="2" t="inlineStr"/>
    </row>
    <row r="52" ht="15" customHeight="1">
      <c r="A52" t="inlineStr">
        <is>
          <t>A 26670-2025</t>
        </is>
      </c>
      <c r="B52" s="1" t="n">
        <v>45810.41489583333</v>
      </c>
      <c r="C52" s="1" t="n">
        <v>46091</v>
      </c>
      <c r="D52" t="inlineStr">
        <is>
          <t>UPPSALA LÄN</t>
        </is>
      </c>
      <c r="E52" t="inlineStr">
        <is>
          <t>ÄLVKARLEBY</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46091</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46091</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16990-2022</t>
        </is>
      </c>
      <c r="B55" s="1" t="n">
        <v>44676.6122337963</v>
      </c>
      <c r="C55" s="1" t="n">
        <v>46091</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45512-2025</t>
        </is>
      </c>
      <c r="B56" s="1" t="n">
        <v>45922.58106481482</v>
      </c>
      <c r="C56" s="1" t="n">
        <v>46091</v>
      </c>
      <c r="D56" t="inlineStr">
        <is>
          <t>UPPSALA LÄN</t>
        </is>
      </c>
      <c r="E56" t="inlineStr">
        <is>
          <t>ÄLVKARLEBY</t>
        </is>
      </c>
      <c r="F56" t="inlineStr">
        <is>
          <t>Bergvik skog väst AB</t>
        </is>
      </c>
      <c r="G56" t="n">
        <v>0.8</v>
      </c>
      <c r="H56" t="n">
        <v>0</v>
      </c>
      <c r="I56" t="n">
        <v>0</v>
      </c>
      <c r="J56" t="n">
        <v>0</v>
      </c>
      <c r="K56" t="n">
        <v>0</v>
      </c>
      <c r="L56" t="n">
        <v>0</v>
      </c>
      <c r="M56" t="n">
        <v>0</v>
      </c>
      <c r="N56" t="n">
        <v>0</v>
      </c>
      <c r="O56" t="n">
        <v>0</v>
      </c>
      <c r="P56" t="n">
        <v>0</v>
      </c>
      <c r="Q56" t="n">
        <v>0</v>
      </c>
      <c r="R56" s="2" t="inlineStr"/>
    </row>
    <row r="57" ht="15" customHeight="1">
      <c r="A57" t="inlineStr">
        <is>
          <t>A 27742-2025</t>
        </is>
      </c>
      <c r="B57" s="1" t="n">
        <v>45815.53724537037</v>
      </c>
      <c r="C57" s="1" t="n">
        <v>46091</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27741-2025</t>
        </is>
      </c>
      <c r="B58" s="1" t="n">
        <v>45815.5346875</v>
      </c>
      <c r="C58" s="1" t="n">
        <v>46091</v>
      </c>
      <c r="D58" t="inlineStr">
        <is>
          <t>UPPSALA LÄN</t>
        </is>
      </c>
      <c r="E58" t="inlineStr">
        <is>
          <t>ÄLVKARLEBY</t>
        </is>
      </c>
      <c r="F58" t="inlineStr">
        <is>
          <t>Bergvik skog väst AB</t>
        </is>
      </c>
      <c r="G58" t="n">
        <v>4.4</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46091</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28670-2025</t>
        </is>
      </c>
      <c r="B60" s="1" t="n">
        <v>45819.67130787037</v>
      </c>
      <c r="C60" s="1" t="n">
        <v>46091</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46091</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28668-2025</t>
        </is>
      </c>
      <c r="B62" s="1" t="n">
        <v>45819.66650462963</v>
      </c>
      <c r="C62" s="1" t="n">
        <v>46091</v>
      </c>
      <c r="D62" t="inlineStr">
        <is>
          <t>UPPSALA LÄN</t>
        </is>
      </c>
      <c r="E62" t="inlineStr">
        <is>
          <t>ÄLVKARLEBY</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30483-2025</t>
        </is>
      </c>
      <c r="B63" s="1" t="n">
        <v>45828.68988425926</v>
      </c>
      <c r="C63" s="1" t="n">
        <v>46091</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48460-2025</t>
        </is>
      </c>
      <c r="B64" s="1" t="n">
        <v>45935.94372685185</v>
      </c>
      <c r="C64" s="1" t="n">
        <v>46091</v>
      </c>
      <c r="D64" t="inlineStr">
        <is>
          <t>UPPSALA LÄN</t>
        </is>
      </c>
      <c r="E64" t="inlineStr">
        <is>
          <t>ÄLVKARLEBY</t>
        </is>
      </c>
      <c r="F64" t="inlineStr">
        <is>
          <t>Bergvik skog väst AB</t>
        </is>
      </c>
      <c r="G64" t="n">
        <v>1.2</v>
      </c>
      <c r="H64" t="n">
        <v>0</v>
      </c>
      <c r="I64" t="n">
        <v>0</v>
      </c>
      <c r="J64" t="n">
        <v>0</v>
      </c>
      <c r="K64" t="n">
        <v>0</v>
      </c>
      <c r="L64" t="n">
        <v>0</v>
      </c>
      <c r="M64" t="n">
        <v>0</v>
      </c>
      <c r="N64" t="n">
        <v>0</v>
      </c>
      <c r="O64" t="n">
        <v>0</v>
      </c>
      <c r="P64" t="n">
        <v>0</v>
      </c>
      <c r="Q64" t="n">
        <v>0</v>
      </c>
      <c r="R64" s="2" t="inlineStr"/>
    </row>
    <row r="65" ht="15" customHeight="1">
      <c r="A65" t="inlineStr">
        <is>
          <t>A 30944-2025</t>
        </is>
      </c>
      <c r="B65" s="1" t="n">
        <v>45832.41182870371</v>
      </c>
      <c r="C65" s="1" t="n">
        <v>46091</v>
      </c>
      <c r="D65" t="inlineStr">
        <is>
          <t>UPPSALA LÄN</t>
        </is>
      </c>
      <c r="E65" t="inlineStr">
        <is>
          <t>ÄLVKARLEBY</t>
        </is>
      </c>
      <c r="F65" t="inlineStr">
        <is>
          <t>Bergvik skog öst AB</t>
        </is>
      </c>
      <c r="G65" t="n">
        <v>3.4</v>
      </c>
      <c r="H65" t="n">
        <v>0</v>
      </c>
      <c r="I65" t="n">
        <v>0</v>
      </c>
      <c r="J65" t="n">
        <v>0</v>
      </c>
      <c r="K65" t="n">
        <v>0</v>
      </c>
      <c r="L65" t="n">
        <v>0</v>
      </c>
      <c r="M65" t="n">
        <v>0</v>
      </c>
      <c r="N65" t="n">
        <v>0</v>
      </c>
      <c r="O65" t="n">
        <v>0</v>
      </c>
      <c r="P65" t="n">
        <v>0</v>
      </c>
      <c r="Q65" t="n">
        <v>0</v>
      </c>
      <c r="R65" s="2" t="inlineStr"/>
    </row>
    <row r="66" ht="15" customHeight="1">
      <c r="A66" t="inlineStr">
        <is>
          <t>A 30936-2025</t>
        </is>
      </c>
      <c r="B66" s="1" t="n">
        <v>45832.40586805555</v>
      </c>
      <c r="C66" s="1" t="n">
        <v>46091</v>
      </c>
      <c r="D66" t="inlineStr">
        <is>
          <t>UPPSALA LÄN</t>
        </is>
      </c>
      <c r="E66" t="inlineStr">
        <is>
          <t>ÄLVKARLEBY</t>
        </is>
      </c>
      <c r="F66" t="inlineStr">
        <is>
          <t>Bergvik skog öst AB</t>
        </is>
      </c>
      <c r="G66" t="n">
        <v>7.2</v>
      </c>
      <c r="H66" t="n">
        <v>0</v>
      </c>
      <c r="I66" t="n">
        <v>0</v>
      </c>
      <c r="J66" t="n">
        <v>0</v>
      </c>
      <c r="K66" t="n">
        <v>0</v>
      </c>
      <c r="L66" t="n">
        <v>0</v>
      </c>
      <c r="M66" t="n">
        <v>0</v>
      </c>
      <c r="N66" t="n">
        <v>0</v>
      </c>
      <c r="O66" t="n">
        <v>0</v>
      </c>
      <c r="P66" t="n">
        <v>0</v>
      </c>
      <c r="Q66" t="n">
        <v>0</v>
      </c>
      <c r="R66" s="2" t="inlineStr"/>
    </row>
    <row r="67" ht="15" customHeight="1">
      <c r="A67" t="inlineStr">
        <is>
          <t>A 50398-2025</t>
        </is>
      </c>
      <c r="B67" s="1" t="n">
        <v>45944.62854166667</v>
      </c>
      <c r="C67" s="1" t="n">
        <v>46091</v>
      </c>
      <c r="D67" t="inlineStr">
        <is>
          <t>UPPSALA LÄN</t>
        </is>
      </c>
      <c r="E67" t="inlineStr">
        <is>
          <t>ÄLVKARLEBY</t>
        </is>
      </c>
      <c r="F67" t="inlineStr">
        <is>
          <t>Bergvik skog väst AB</t>
        </is>
      </c>
      <c r="G67" t="n">
        <v>4.4</v>
      </c>
      <c r="H67" t="n">
        <v>0</v>
      </c>
      <c r="I67" t="n">
        <v>0</v>
      </c>
      <c r="J67" t="n">
        <v>0</v>
      </c>
      <c r="K67" t="n">
        <v>0</v>
      </c>
      <c r="L67" t="n">
        <v>0</v>
      </c>
      <c r="M67" t="n">
        <v>0</v>
      </c>
      <c r="N67" t="n">
        <v>0</v>
      </c>
      <c r="O67" t="n">
        <v>0</v>
      </c>
      <c r="P67" t="n">
        <v>0</v>
      </c>
      <c r="Q67" t="n">
        <v>0</v>
      </c>
      <c r="R67" s="2" t="inlineStr"/>
    </row>
    <row r="68" ht="15" customHeight="1">
      <c r="A68" t="inlineStr">
        <is>
          <t>A 50371-2025</t>
        </is>
      </c>
      <c r="B68" s="1" t="n">
        <v>45944.58696759259</v>
      </c>
      <c r="C68" s="1" t="n">
        <v>46091</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50113-2025</t>
        </is>
      </c>
      <c r="B69" s="1" t="n">
        <v>45943.54452546296</v>
      </c>
      <c r="C69" s="1" t="n">
        <v>46091</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50138-2025</t>
        </is>
      </c>
      <c r="B70" s="1" t="n">
        <v>45943.5653125</v>
      </c>
      <c r="C70" s="1" t="n">
        <v>46091</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32221-2025</t>
        </is>
      </c>
      <c r="B71" s="1" t="n">
        <v>45835.5909837963</v>
      </c>
      <c r="C71" s="1" t="n">
        <v>46091</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32203-2025</t>
        </is>
      </c>
      <c r="B72" s="1" t="n">
        <v>45835.57951388889</v>
      </c>
      <c r="C72" s="1" t="n">
        <v>46091</v>
      </c>
      <c r="D72" t="inlineStr">
        <is>
          <t>UPPSALA LÄN</t>
        </is>
      </c>
      <c r="E72" t="inlineStr">
        <is>
          <t>ÄLVKARLEBY</t>
        </is>
      </c>
      <c r="F72" t="inlineStr">
        <is>
          <t>Bergvik skog väst AB</t>
        </is>
      </c>
      <c r="G72" t="n">
        <v>0.8</v>
      </c>
      <c r="H72" t="n">
        <v>0</v>
      </c>
      <c r="I72" t="n">
        <v>0</v>
      </c>
      <c r="J72" t="n">
        <v>0</v>
      </c>
      <c r="K72" t="n">
        <v>0</v>
      </c>
      <c r="L72" t="n">
        <v>0</v>
      </c>
      <c r="M72" t="n">
        <v>0</v>
      </c>
      <c r="N72" t="n">
        <v>0</v>
      </c>
      <c r="O72" t="n">
        <v>0</v>
      </c>
      <c r="P72" t="n">
        <v>0</v>
      </c>
      <c r="Q72" t="n">
        <v>0</v>
      </c>
      <c r="R72" s="2" t="inlineStr"/>
    </row>
    <row r="73" ht="15" customHeight="1">
      <c r="A73" t="inlineStr">
        <is>
          <t>A 50869-2025</t>
        </is>
      </c>
      <c r="B73" s="1" t="n">
        <v>45946.60259259259</v>
      </c>
      <c r="C73" s="1" t="n">
        <v>46091</v>
      </c>
      <c r="D73" t="inlineStr">
        <is>
          <t>UPPSALA LÄN</t>
        </is>
      </c>
      <c r="E73" t="inlineStr">
        <is>
          <t>ÄLVKARLEBY</t>
        </is>
      </c>
      <c r="F73" t="inlineStr">
        <is>
          <t>Bergvik skog väst AB</t>
        </is>
      </c>
      <c r="G73" t="n">
        <v>11.4</v>
      </c>
      <c r="H73" t="n">
        <v>0</v>
      </c>
      <c r="I73" t="n">
        <v>0</v>
      </c>
      <c r="J73" t="n">
        <v>0</v>
      </c>
      <c r="K73" t="n">
        <v>0</v>
      </c>
      <c r="L73" t="n">
        <v>0</v>
      </c>
      <c r="M73" t="n">
        <v>0</v>
      </c>
      <c r="N73" t="n">
        <v>0</v>
      </c>
      <c r="O73" t="n">
        <v>0</v>
      </c>
      <c r="P73" t="n">
        <v>0</v>
      </c>
      <c r="Q73" t="n">
        <v>0</v>
      </c>
      <c r="R73" s="2" t="inlineStr"/>
    </row>
    <row r="74" ht="15" customHeight="1">
      <c r="A74" t="inlineStr">
        <is>
          <t>A 32186-2025</t>
        </is>
      </c>
      <c r="B74" s="1" t="n">
        <v>45835.5667824074</v>
      </c>
      <c r="C74" s="1" t="n">
        <v>46091</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32187-2025</t>
        </is>
      </c>
      <c r="B75" s="1" t="n">
        <v>45835.56949074074</v>
      </c>
      <c r="C75" s="1" t="n">
        <v>46091</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32212-2025</t>
        </is>
      </c>
      <c r="B76" s="1" t="n">
        <v>45835.58509259259</v>
      </c>
      <c r="C76" s="1" t="n">
        <v>46091</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46091</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46091</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7286-2023</t>
        </is>
      </c>
      <c r="B79" s="1" t="n">
        <v>44970</v>
      </c>
      <c r="C79" s="1" t="n">
        <v>46091</v>
      </c>
      <c r="D79" t="inlineStr">
        <is>
          <t>UPPSALA LÄN</t>
        </is>
      </c>
      <c r="E79" t="inlineStr">
        <is>
          <t>ÄLVKARLEBY</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26815-2022</t>
        </is>
      </c>
      <c r="B80" s="1" t="n">
        <v>44740.44644675926</v>
      </c>
      <c r="C80" s="1" t="n">
        <v>46091</v>
      </c>
      <c r="D80" t="inlineStr">
        <is>
          <t>UPPSALA LÄN</t>
        </is>
      </c>
      <c r="E80" t="inlineStr">
        <is>
          <t>ÄLVKARLEBY</t>
        </is>
      </c>
      <c r="G80" t="n">
        <v>5.8</v>
      </c>
      <c r="H80" t="n">
        <v>0</v>
      </c>
      <c r="I80" t="n">
        <v>0</v>
      </c>
      <c r="J80" t="n">
        <v>0</v>
      </c>
      <c r="K80" t="n">
        <v>0</v>
      </c>
      <c r="L80" t="n">
        <v>0</v>
      </c>
      <c r="M80" t="n">
        <v>0</v>
      </c>
      <c r="N80" t="n">
        <v>0</v>
      </c>
      <c r="O80" t="n">
        <v>0</v>
      </c>
      <c r="P80" t="n">
        <v>0</v>
      </c>
      <c r="Q80" t="n">
        <v>0</v>
      </c>
      <c r="R80" s="2" t="inlineStr"/>
    </row>
    <row r="81" ht="15" customHeight="1">
      <c r="A81" t="inlineStr">
        <is>
          <t>A 56861-2025</t>
        </is>
      </c>
      <c r="B81" s="1" t="n">
        <v>45978.50824074074</v>
      </c>
      <c r="C81" s="1" t="n">
        <v>46091</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36626-2025</t>
        </is>
      </c>
      <c r="B82" s="1" t="n">
        <v>45870.66732638889</v>
      </c>
      <c r="C82" s="1" t="n">
        <v>46091</v>
      </c>
      <c r="D82" t="inlineStr">
        <is>
          <t>UPPSALA LÄN</t>
        </is>
      </c>
      <c r="E82" t="inlineStr">
        <is>
          <t>ÄLVKARLEBY</t>
        </is>
      </c>
      <c r="F82" t="inlineStr">
        <is>
          <t>Bergvik skog väst AB</t>
        </is>
      </c>
      <c r="G82" t="n">
        <v>2.7</v>
      </c>
      <c r="H82" t="n">
        <v>0</v>
      </c>
      <c r="I82" t="n">
        <v>0</v>
      </c>
      <c r="J82" t="n">
        <v>0</v>
      </c>
      <c r="K82" t="n">
        <v>0</v>
      </c>
      <c r="L82" t="n">
        <v>0</v>
      </c>
      <c r="M82" t="n">
        <v>0</v>
      </c>
      <c r="N82" t="n">
        <v>0</v>
      </c>
      <c r="O82" t="n">
        <v>0</v>
      </c>
      <c r="P82" t="n">
        <v>0</v>
      </c>
      <c r="Q82" t="n">
        <v>0</v>
      </c>
      <c r="R82" s="2" t="inlineStr"/>
    </row>
    <row r="83" ht="15" customHeight="1">
      <c r="A83" t="inlineStr">
        <is>
          <t>A 19740-2025</t>
        </is>
      </c>
      <c r="B83" s="1" t="n">
        <v>45771</v>
      </c>
      <c r="C83" s="1" t="n">
        <v>46091</v>
      </c>
      <c r="D83" t="inlineStr">
        <is>
          <t>UPPSALA LÄN</t>
        </is>
      </c>
      <c r="E83" t="inlineStr">
        <is>
          <t>ÄLVKARLEBY</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58168-2025</t>
        </is>
      </c>
      <c r="B84" s="1" t="n">
        <v>45982.72024305556</v>
      </c>
      <c r="C84" s="1" t="n">
        <v>46091</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57734-2025</t>
        </is>
      </c>
      <c r="B85" s="1" t="n">
        <v>45981.51148148148</v>
      </c>
      <c r="C85" s="1" t="n">
        <v>46091</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58497-2025</t>
        </is>
      </c>
      <c r="B86" s="1" t="n">
        <v>45985.67912037037</v>
      </c>
      <c r="C86" s="1" t="n">
        <v>46091</v>
      </c>
      <c r="D86" t="inlineStr">
        <is>
          <t>UPPSALA LÄN</t>
        </is>
      </c>
      <c r="E86" t="inlineStr">
        <is>
          <t>ÄLVKARLEBY</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19862-2025</t>
        </is>
      </c>
      <c r="B87" s="1" t="n">
        <v>45771.53560185185</v>
      </c>
      <c r="C87" s="1" t="n">
        <v>46091</v>
      </c>
      <c r="D87" t="inlineStr">
        <is>
          <t>UPPSALA LÄN</t>
        </is>
      </c>
      <c r="E87" t="inlineStr">
        <is>
          <t>ÄLVKARLEBY</t>
        </is>
      </c>
      <c r="F87" t="inlineStr">
        <is>
          <t>Kyrkan</t>
        </is>
      </c>
      <c r="G87" t="n">
        <v>3</v>
      </c>
      <c r="H87" t="n">
        <v>0</v>
      </c>
      <c r="I87" t="n">
        <v>0</v>
      </c>
      <c r="J87" t="n">
        <v>0</v>
      </c>
      <c r="K87" t="n">
        <v>0</v>
      </c>
      <c r="L87" t="n">
        <v>0</v>
      </c>
      <c r="M87" t="n">
        <v>0</v>
      </c>
      <c r="N87" t="n">
        <v>0</v>
      </c>
      <c r="O87" t="n">
        <v>0</v>
      </c>
      <c r="P87" t="n">
        <v>0</v>
      </c>
      <c r="Q87" t="n">
        <v>0</v>
      </c>
      <c r="R87" s="2" t="inlineStr"/>
    </row>
    <row r="88" ht="15" customHeight="1">
      <c r="A88" t="inlineStr">
        <is>
          <t>A 60256-2025</t>
        </is>
      </c>
      <c r="B88" s="1" t="n">
        <v>45994.60216435185</v>
      </c>
      <c r="C88" s="1" t="n">
        <v>46091</v>
      </c>
      <c r="D88" t="inlineStr">
        <is>
          <t>UPPSALA LÄN</t>
        </is>
      </c>
      <c r="E88" t="inlineStr">
        <is>
          <t>ÄLVKARLEBY</t>
        </is>
      </c>
      <c r="G88" t="n">
        <v>1</v>
      </c>
      <c r="H88" t="n">
        <v>0</v>
      </c>
      <c r="I88" t="n">
        <v>0</v>
      </c>
      <c r="J88" t="n">
        <v>0</v>
      </c>
      <c r="K88" t="n">
        <v>0</v>
      </c>
      <c r="L88" t="n">
        <v>0</v>
      </c>
      <c r="M88" t="n">
        <v>0</v>
      </c>
      <c r="N88" t="n">
        <v>0</v>
      </c>
      <c r="O88" t="n">
        <v>0</v>
      </c>
      <c r="P88" t="n">
        <v>0</v>
      </c>
      <c r="Q88" t="n">
        <v>0</v>
      </c>
      <c r="R88" s="2" t="inlineStr"/>
    </row>
    <row r="89" ht="15" customHeight="1">
      <c r="A89" t="inlineStr">
        <is>
          <t>A 60083-2025</t>
        </is>
      </c>
      <c r="B89" s="1" t="n">
        <v>45993.69733796296</v>
      </c>
      <c r="C89" s="1" t="n">
        <v>46091</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60842-2025</t>
        </is>
      </c>
      <c r="B90" s="1" t="n">
        <v>45999.48721064815</v>
      </c>
      <c r="C90" s="1" t="n">
        <v>46091</v>
      </c>
      <c r="D90" t="inlineStr">
        <is>
          <t>UPPSALA LÄN</t>
        </is>
      </c>
      <c r="E90" t="inlineStr">
        <is>
          <t>ÄLVKARLEBY</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60829-2025</t>
        </is>
      </c>
      <c r="B91" s="1" t="n">
        <v>45999.46523148148</v>
      </c>
      <c r="C91" s="1" t="n">
        <v>46091</v>
      </c>
      <c r="D91" t="inlineStr">
        <is>
          <t>UPPSALA LÄN</t>
        </is>
      </c>
      <c r="E91" t="inlineStr">
        <is>
          <t>ÄLVKARLEBY</t>
        </is>
      </c>
      <c r="F91" t="inlineStr">
        <is>
          <t>Bergvik skog väst AB</t>
        </is>
      </c>
      <c r="G91" t="n">
        <v>5.5</v>
      </c>
      <c r="H91" t="n">
        <v>0</v>
      </c>
      <c r="I91" t="n">
        <v>0</v>
      </c>
      <c r="J91" t="n">
        <v>0</v>
      </c>
      <c r="K91" t="n">
        <v>0</v>
      </c>
      <c r="L91" t="n">
        <v>0</v>
      </c>
      <c r="M91" t="n">
        <v>0</v>
      </c>
      <c r="N91" t="n">
        <v>0</v>
      </c>
      <c r="O91" t="n">
        <v>0</v>
      </c>
      <c r="P91" t="n">
        <v>0</v>
      </c>
      <c r="Q91" t="n">
        <v>0</v>
      </c>
      <c r="R91" s="2" t="inlineStr"/>
    </row>
    <row r="92" ht="15" customHeight="1">
      <c r="A92" t="inlineStr">
        <is>
          <t>A 61694-2025</t>
        </is>
      </c>
      <c r="B92" s="1" t="n">
        <v>46002.52361111111</v>
      </c>
      <c r="C92" s="1" t="n">
        <v>46091</v>
      </c>
      <c r="D92" t="inlineStr">
        <is>
          <t>UPPSALA LÄN</t>
        </is>
      </c>
      <c r="E92" t="inlineStr">
        <is>
          <t>ÄLVKARLEBY</t>
        </is>
      </c>
      <c r="F92" t="inlineStr">
        <is>
          <t>Bergvik skog öst AB</t>
        </is>
      </c>
      <c r="G92" t="n">
        <v>1.5</v>
      </c>
      <c r="H92" t="n">
        <v>0</v>
      </c>
      <c r="I92" t="n">
        <v>0</v>
      </c>
      <c r="J92" t="n">
        <v>0</v>
      </c>
      <c r="K92" t="n">
        <v>0</v>
      </c>
      <c r="L92" t="n">
        <v>0</v>
      </c>
      <c r="M92" t="n">
        <v>0</v>
      </c>
      <c r="N92" t="n">
        <v>0</v>
      </c>
      <c r="O92" t="n">
        <v>0</v>
      </c>
      <c r="P92" t="n">
        <v>0</v>
      </c>
      <c r="Q92" t="n">
        <v>0</v>
      </c>
      <c r="R92" s="2" t="inlineStr"/>
    </row>
    <row r="93" ht="15" customHeight="1">
      <c r="A93" t="inlineStr">
        <is>
          <t>A 61691-2025</t>
        </is>
      </c>
      <c r="B93" s="1" t="n">
        <v>46002.51318287037</v>
      </c>
      <c r="C93" s="1" t="n">
        <v>46091</v>
      </c>
      <c r="D93" t="inlineStr">
        <is>
          <t>UPPSALA LÄN</t>
        </is>
      </c>
      <c r="E93" t="inlineStr">
        <is>
          <t>ÄLVKARLEBY</t>
        </is>
      </c>
      <c r="F93" t="inlineStr">
        <is>
          <t>Bergvik skog öst AB</t>
        </is>
      </c>
      <c r="G93" t="n">
        <v>0.7</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46091</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46091</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63183-2025</t>
        </is>
      </c>
      <c r="B96" s="1" t="n">
        <v>46010.42908564815</v>
      </c>
      <c r="C96" s="1" t="n">
        <v>46091</v>
      </c>
      <c r="D96" t="inlineStr">
        <is>
          <t>UPPSALA LÄN</t>
        </is>
      </c>
      <c r="E96" t="inlineStr">
        <is>
          <t>ÄLVKARLEBY</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62938-2025</t>
        </is>
      </c>
      <c r="B97" s="1" t="n">
        <v>46009.42092592592</v>
      </c>
      <c r="C97" s="1" t="n">
        <v>46091</v>
      </c>
      <c r="D97" t="inlineStr">
        <is>
          <t>UPPSALA LÄN</t>
        </is>
      </c>
      <c r="E97" t="inlineStr">
        <is>
          <t>ÄLVKARLEBY</t>
        </is>
      </c>
      <c r="F97" t="inlineStr">
        <is>
          <t>Bergvik skog väst AB</t>
        </is>
      </c>
      <c r="G97" t="n">
        <v>10.2</v>
      </c>
      <c r="H97" t="n">
        <v>0</v>
      </c>
      <c r="I97" t="n">
        <v>0</v>
      </c>
      <c r="J97" t="n">
        <v>0</v>
      </c>
      <c r="K97" t="n">
        <v>0</v>
      </c>
      <c r="L97" t="n">
        <v>0</v>
      </c>
      <c r="M97" t="n">
        <v>0</v>
      </c>
      <c r="N97" t="n">
        <v>0</v>
      </c>
      <c r="O97" t="n">
        <v>0</v>
      </c>
      <c r="P97" t="n">
        <v>0</v>
      </c>
      <c r="Q97" t="n">
        <v>0</v>
      </c>
      <c r="R97" s="2" t="inlineStr"/>
    </row>
    <row r="98" ht="15" customHeight="1">
      <c r="A98" t="inlineStr">
        <is>
          <t>A 63341-2025</t>
        </is>
      </c>
      <c r="B98" s="1" t="n">
        <v>46010.65505787037</v>
      </c>
      <c r="C98" s="1" t="n">
        <v>46091</v>
      </c>
      <c r="D98" t="inlineStr">
        <is>
          <t>UPPSALA LÄN</t>
        </is>
      </c>
      <c r="E98" t="inlineStr">
        <is>
          <t>ÄLVKARLEBY</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63365-2025</t>
        </is>
      </c>
      <c r="B99" s="1" t="n">
        <v>46010.70717592593</v>
      </c>
      <c r="C99" s="1" t="n">
        <v>46091</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46091</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46091</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46091</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19304-2024</t>
        </is>
      </c>
      <c r="B103" s="1" t="n">
        <v>45428</v>
      </c>
      <c r="C103" s="1" t="n">
        <v>46091</v>
      </c>
      <c r="D103" t="inlineStr">
        <is>
          <t>UPPSALA LÄN</t>
        </is>
      </c>
      <c r="E103" t="inlineStr">
        <is>
          <t>ÄLVKARLEBY</t>
        </is>
      </c>
      <c r="G103" t="n">
        <v>0.2</v>
      </c>
      <c r="H103" t="n">
        <v>0</v>
      </c>
      <c r="I103" t="n">
        <v>0</v>
      </c>
      <c r="J103" t="n">
        <v>0</v>
      </c>
      <c r="K103" t="n">
        <v>0</v>
      </c>
      <c r="L103" t="n">
        <v>0</v>
      </c>
      <c r="M103" t="n">
        <v>0</v>
      </c>
      <c r="N103" t="n">
        <v>0</v>
      </c>
      <c r="O103" t="n">
        <v>0</v>
      </c>
      <c r="P103" t="n">
        <v>0</v>
      </c>
      <c r="Q103" t="n">
        <v>0</v>
      </c>
      <c r="R103" s="2" t="inlineStr"/>
    </row>
    <row r="104" ht="15" customHeight="1">
      <c r="A104" t="inlineStr">
        <is>
          <t>A 9394-2026</t>
        </is>
      </c>
      <c r="B104" s="1" t="n">
        <v>46071.36576388889</v>
      </c>
      <c r="C104" s="1" t="n">
        <v>46091</v>
      </c>
      <c r="D104" t="inlineStr">
        <is>
          <t>UPPSALA LÄN</t>
        </is>
      </c>
      <c r="E104" t="inlineStr">
        <is>
          <t>ÄLVKARLEBY</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1673-2026</t>
        </is>
      </c>
      <c r="B105" s="1" t="n">
        <v>46034.56863425926</v>
      </c>
      <c r="C105" s="1" t="n">
        <v>46091</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43285-2023</t>
        </is>
      </c>
      <c r="B106" s="1" t="n">
        <v>45183.5630787037</v>
      </c>
      <c r="C106" s="1" t="n">
        <v>46091</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3950-2025</t>
        </is>
      </c>
      <c r="B107" s="1" t="n">
        <v>45684</v>
      </c>
      <c r="C107" s="1" t="n">
        <v>46091</v>
      </c>
      <c r="D107" t="inlineStr">
        <is>
          <t>UPPSALA LÄN</t>
        </is>
      </c>
      <c r="E107" t="inlineStr">
        <is>
          <t>ÄLVKARLEBY</t>
        </is>
      </c>
      <c r="G107" t="n">
        <v>3.1</v>
      </c>
      <c r="H107" t="n">
        <v>0</v>
      </c>
      <c r="I107" t="n">
        <v>0</v>
      </c>
      <c r="J107" t="n">
        <v>0</v>
      </c>
      <c r="K107" t="n">
        <v>0</v>
      </c>
      <c r="L107" t="n">
        <v>0</v>
      </c>
      <c r="M107" t="n">
        <v>0</v>
      </c>
      <c r="N107" t="n">
        <v>0</v>
      </c>
      <c r="O107" t="n">
        <v>0</v>
      </c>
      <c r="P107" t="n">
        <v>0</v>
      </c>
      <c r="Q107" t="n">
        <v>0</v>
      </c>
      <c r="R107" s="2" t="inlineStr"/>
    </row>
    <row r="108" ht="15" customHeight="1">
      <c r="A108" t="inlineStr">
        <is>
          <t>A 8030-2025</t>
        </is>
      </c>
      <c r="B108" s="1" t="n">
        <v>45707.59064814815</v>
      </c>
      <c r="C108" s="1" t="n">
        <v>46091</v>
      </c>
      <c r="D108" t="inlineStr">
        <is>
          <t>UPPSALA LÄN</t>
        </is>
      </c>
      <c r="E108" t="inlineStr">
        <is>
          <t>ÄLVKARLEBY</t>
        </is>
      </c>
      <c r="F108" t="inlineStr">
        <is>
          <t>Bergvik skog väst AB</t>
        </is>
      </c>
      <c r="G108" t="n">
        <v>3.6</v>
      </c>
      <c r="H108" t="n">
        <v>0</v>
      </c>
      <c r="I108" t="n">
        <v>0</v>
      </c>
      <c r="J108" t="n">
        <v>0</v>
      </c>
      <c r="K108" t="n">
        <v>0</v>
      </c>
      <c r="L108" t="n">
        <v>0</v>
      </c>
      <c r="M108" t="n">
        <v>0</v>
      </c>
      <c r="N108" t="n">
        <v>0</v>
      </c>
      <c r="O108" t="n">
        <v>0</v>
      </c>
      <c r="P108" t="n">
        <v>0</v>
      </c>
      <c r="Q108" t="n">
        <v>0</v>
      </c>
      <c r="R108" s="2" t="inlineStr"/>
    </row>
    <row r="109" ht="15" customHeight="1">
      <c r="A109" t="inlineStr">
        <is>
          <t>A 11467-2026</t>
        </is>
      </c>
      <c r="B109" s="1" t="n">
        <v>46083.58950231481</v>
      </c>
      <c r="C109" s="1" t="n">
        <v>46091</v>
      </c>
      <c r="D109" t="inlineStr">
        <is>
          <t>UPPSALA LÄN</t>
        </is>
      </c>
      <c r="E109" t="inlineStr">
        <is>
          <t>ÄLVKARLEBY</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11848-2026</t>
        </is>
      </c>
      <c r="B110" s="1" t="n">
        <v>46085.45927083334</v>
      </c>
      <c r="C110" s="1" t="n">
        <v>46091</v>
      </c>
      <c r="D110" t="inlineStr">
        <is>
          <t>UPPSALA LÄN</t>
        </is>
      </c>
      <c r="E110" t="inlineStr">
        <is>
          <t>ÄLVKARLEBY</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4131-2026</t>
        </is>
      </c>
      <c r="B111" s="1" t="n">
        <v>46044.62451388889</v>
      </c>
      <c r="C111" s="1" t="n">
        <v>46091</v>
      </c>
      <c r="D111" t="inlineStr">
        <is>
          <t>UPPSALA LÄN</t>
        </is>
      </c>
      <c r="E111" t="inlineStr">
        <is>
          <t>ÄLVKARLEBY</t>
        </is>
      </c>
      <c r="F111" t="inlineStr">
        <is>
          <t>Bergvik skog öst AB</t>
        </is>
      </c>
      <c r="G111" t="n">
        <v>2.4</v>
      </c>
      <c r="H111" t="n">
        <v>0</v>
      </c>
      <c r="I111" t="n">
        <v>0</v>
      </c>
      <c r="J111" t="n">
        <v>0</v>
      </c>
      <c r="K111" t="n">
        <v>0</v>
      </c>
      <c r="L111" t="n">
        <v>0</v>
      </c>
      <c r="M111" t="n">
        <v>0</v>
      </c>
      <c r="N111" t="n">
        <v>0</v>
      </c>
      <c r="O111" t="n">
        <v>0</v>
      </c>
      <c r="P111" t="n">
        <v>0</v>
      </c>
      <c r="Q111" t="n">
        <v>0</v>
      </c>
      <c r="R111" s="2" t="inlineStr"/>
    </row>
    <row r="112" ht="15" customHeight="1">
      <c r="A112" t="inlineStr">
        <is>
          <t>A 4134-2026</t>
        </is>
      </c>
      <c r="B112" s="1" t="n">
        <v>46044.6280787037</v>
      </c>
      <c r="C112" s="1" t="n">
        <v>46091</v>
      </c>
      <c r="D112" t="inlineStr">
        <is>
          <t>UPPSALA LÄN</t>
        </is>
      </c>
      <c r="E112" t="inlineStr">
        <is>
          <t>ÄLVKARLEBY</t>
        </is>
      </c>
      <c r="F112" t="inlineStr">
        <is>
          <t>Bergvik skog öst AB</t>
        </is>
      </c>
      <c r="G112" t="n">
        <v>5.1</v>
      </c>
      <c r="H112" t="n">
        <v>0</v>
      </c>
      <c r="I112" t="n">
        <v>0</v>
      </c>
      <c r="J112" t="n">
        <v>0</v>
      </c>
      <c r="K112" t="n">
        <v>0</v>
      </c>
      <c r="L112" t="n">
        <v>0</v>
      </c>
      <c r="M112" t="n">
        <v>0</v>
      </c>
      <c r="N112" t="n">
        <v>0</v>
      </c>
      <c r="O112" t="n">
        <v>0</v>
      </c>
      <c r="P112" t="n">
        <v>0</v>
      </c>
      <c r="Q112" t="n">
        <v>0</v>
      </c>
      <c r="R112" s="2" t="inlineStr"/>
    </row>
    <row r="113" ht="15" customHeight="1">
      <c r="A113" t="inlineStr">
        <is>
          <t>A 4133-2026</t>
        </is>
      </c>
      <c r="B113" s="1" t="n">
        <v>46044.626875</v>
      </c>
      <c r="C113" s="1" t="n">
        <v>46091</v>
      </c>
      <c r="D113" t="inlineStr">
        <is>
          <t>UPPSALA LÄN</t>
        </is>
      </c>
      <c r="E113" t="inlineStr">
        <is>
          <t>ÄLVKARLEBY</t>
        </is>
      </c>
      <c r="F113" t="inlineStr">
        <is>
          <t>Bergvik skog öst AB</t>
        </is>
      </c>
      <c r="G113" t="n">
        <v>4.1</v>
      </c>
      <c r="H113" t="n">
        <v>0</v>
      </c>
      <c r="I113" t="n">
        <v>0</v>
      </c>
      <c r="J113" t="n">
        <v>0</v>
      </c>
      <c r="K113" t="n">
        <v>0</v>
      </c>
      <c r="L113" t="n">
        <v>0</v>
      </c>
      <c r="M113" t="n">
        <v>0</v>
      </c>
      <c r="N113" t="n">
        <v>0</v>
      </c>
      <c r="O113" t="n">
        <v>0</v>
      </c>
      <c r="P113" t="n">
        <v>0</v>
      </c>
      <c r="Q113" t="n">
        <v>0</v>
      </c>
      <c r="R113" s="2" t="inlineStr"/>
    </row>
    <row r="114" ht="15" customHeight="1">
      <c r="A114" t="inlineStr">
        <is>
          <t>A 46113-2023</t>
        </is>
      </c>
      <c r="B114" s="1" t="n">
        <v>45196.54938657407</v>
      </c>
      <c r="C114" s="1" t="n">
        <v>46091</v>
      </c>
      <c r="D114" t="inlineStr">
        <is>
          <t>UPPSALA LÄN</t>
        </is>
      </c>
      <c r="E114" t="inlineStr">
        <is>
          <t>ÄLVKARLEBY</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41979-2024</t>
        </is>
      </c>
      <c r="B115" s="1" t="n">
        <v>45561</v>
      </c>
      <c r="C115" s="1" t="n">
        <v>46091</v>
      </c>
      <c r="D115" t="inlineStr">
        <is>
          <t>UPPSALA LÄN</t>
        </is>
      </c>
      <c r="E115" t="inlineStr">
        <is>
          <t>ÄLVKARLEBY</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39791-2021</t>
        </is>
      </c>
      <c r="B116" s="1" t="n">
        <v>44417</v>
      </c>
      <c r="C116" s="1" t="n">
        <v>46091</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46091</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41929-2024</t>
        </is>
      </c>
      <c r="B118" s="1" t="n">
        <v>45561</v>
      </c>
      <c r="C118" s="1" t="n">
        <v>46091</v>
      </c>
      <c r="D118" t="inlineStr">
        <is>
          <t>UPPSALA LÄN</t>
        </is>
      </c>
      <c r="E118" t="inlineStr">
        <is>
          <t>ÄLVKARLEBY</t>
        </is>
      </c>
      <c r="F118" t="inlineStr">
        <is>
          <t>Bergvik skog väst AB</t>
        </is>
      </c>
      <c r="G118" t="n">
        <v>4.9</v>
      </c>
      <c r="H118" t="n">
        <v>0</v>
      </c>
      <c r="I118" t="n">
        <v>0</v>
      </c>
      <c r="J118" t="n">
        <v>0</v>
      </c>
      <c r="K118" t="n">
        <v>0</v>
      </c>
      <c r="L118" t="n">
        <v>0</v>
      </c>
      <c r="M118" t="n">
        <v>0</v>
      </c>
      <c r="N118" t="n">
        <v>0</v>
      </c>
      <c r="O118" t="n">
        <v>0</v>
      </c>
      <c r="P118" t="n">
        <v>0</v>
      </c>
      <c r="Q118" t="n">
        <v>0</v>
      </c>
      <c r="R118" s="2" t="inlineStr"/>
    </row>
    <row r="119" ht="15" customHeight="1">
      <c r="A119" t="inlineStr">
        <is>
          <t>A 18451-2025</t>
        </is>
      </c>
      <c r="B119" s="1" t="n">
        <v>45762</v>
      </c>
      <c r="C119" s="1" t="n">
        <v>46091</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14590-2023</t>
        </is>
      </c>
      <c r="B120" s="1" t="n">
        <v>45013.54621527778</v>
      </c>
      <c r="C120" s="1" t="n">
        <v>46091</v>
      </c>
      <c r="D120" t="inlineStr">
        <is>
          <t>UPPSALA LÄN</t>
        </is>
      </c>
      <c r="E120" t="inlineStr">
        <is>
          <t>ÄLVKARLEBY</t>
        </is>
      </c>
      <c r="G120" t="n">
        <v>1.8</v>
      </c>
      <c r="H120" t="n">
        <v>0</v>
      </c>
      <c r="I120" t="n">
        <v>0</v>
      </c>
      <c r="J120" t="n">
        <v>0</v>
      </c>
      <c r="K120" t="n">
        <v>0</v>
      </c>
      <c r="L120" t="n">
        <v>0</v>
      </c>
      <c r="M120" t="n">
        <v>0</v>
      </c>
      <c r="N120" t="n">
        <v>0</v>
      </c>
      <c r="O120" t="n">
        <v>0</v>
      </c>
      <c r="P120" t="n">
        <v>0</v>
      </c>
      <c r="Q120" t="n">
        <v>0</v>
      </c>
      <c r="R120" s="2" t="inlineStr"/>
    </row>
    <row r="121" ht="15" customHeight="1">
      <c r="A121" t="inlineStr">
        <is>
          <t>A 9533-2025</t>
        </is>
      </c>
      <c r="B121" s="1" t="n">
        <v>45715.57082175926</v>
      </c>
      <c r="C121" s="1" t="n">
        <v>46091</v>
      </c>
      <c r="D121" t="inlineStr">
        <is>
          <t>UPPSALA LÄN</t>
        </is>
      </c>
      <c r="E121" t="inlineStr">
        <is>
          <t>ÄLVKARLEBY</t>
        </is>
      </c>
      <c r="G121" t="n">
        <v>2.1</v>
      </c>
      <c r="H121" t="n">
        <v>0</v>
      </c>
      <c r="I121" t="n">
        <v>0</v>
      </c>
      <c r="J121" t="n">
        <v>0</v>
      </c>
      <c r="K121" t="n">
        <v>0</v>
      </c>
      <c r="L121" t="n">
        <v>0</v>
      </c>
      <c r="M121" t="n">
        <v>0</v>
      </c>
      <c r="N121" t="n">
        <v>0</v>
      </c>
      <c r="O121" t="n">
        <v>0</v>
      </c>
      <c r="P121" t="n">
        <v>0</v>
      </c>
      <c r="Q121" t="n">
        <v>0</v>
      </c>
      <c r="R121" s="2" t="inlineStr"/>
    </row>
    <row r="122">
      <c r="A122" t="inlineStr">
        <is>
          <t>A 19697-2025</t>
        </is>
      </c>
      <c r="B122" s="1" t="n">
        <v>45771</v>
      </c>
      <c r="C122" s="1" t="n">
        <v>46091</v>
      </c>
      <c r="D122" t="inlineStr">
        <is>
          <t>UPPSALA LÄN</t>
        </is>
      </c>
      <c r="E122" t="inlineStr">
        <is>
          <t>ÄLVKARLEBY</t>
        </is>
      </c>
      <c r="F122" t="inlineStr">
        <is>
          <t>Bergvik skog väst AB</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2026-03-10T11:16:06Z</dcterms:created>
  <dcterms:modified xmlns:dcterms="http://purl.org/dc/terms/" xmlns:xsi="http://www.w3.org/2001/XMLSchema-instance" xsi:type="dcterms:W3CDTF">2026-03-10T11:16:06Z</dcterms:modified>
</cp:coreProperties>
</file>