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46290</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33463-2026</t>
        </is>
      </c>
      <c r="B5" t="inlineStr">
        <is>
          <t>avverkningsanmälan</t>
        </is>
      </c>
      <c r="C5" t="inlineStr">
        <is>
          <t>Föryngringsavverkning</t>
        </is>
      </c>
      <c r="D5" s="1" t="n">
        <v>46247</v>
      </c>
      <c r="E5" s="1" t="n">
        <v>46290</v>
      </c>
      <c r="F5" t="inlineStr">
        <is>
          <t>UPPSALA LÄN</t>
        </is>
      </c>
      <c r="G5" t="inlineStr">
        <is>
          <t>ÄLVKARLEBY</t>
        </is>
      </c>
      <c r="H5" t="inlineStr">
        <is>
          <t>Bergvik skog öst AB</t>
        </is>
      </c>
      <c r="I5" t="n">
        <v>12.4</v>
      </c>
      <c r="J5" t="n">
        <v>3</v>
      </c>
      <c r="K5" t="n">
        <v>5</v>
      </c>
      <c r="L5" t="n">
        <v>4</v>
      </c>
      <c r="M5" t="n">
        <v>2</v>
      </c>
      <c r="N5" t="n">
        <v>0</v>
      </c>
      <c r="O5" t="n">
        <v>0</v>
      </c>
      <c r="P5" t="n">
        <v>0</v>
      </c>
      <c r="Q5" t="n">
        <v>6</v>
      </c>
      <c r="R5" t="n">
        <v>2</v>
      </c>
      <c r="S5" t="n">
        <v>14</v>
      </c>
      <c r="T5" t="n">
        <v>23</v>
      </c>
      <c r="U5" t="n">
        <v>16</v>
      </c>
      <c r="V5" s="2" t="inlineStr">
        <is>
          <t>Bredgentiana
Fältgentiana
Odörspindling
Slåtterfibbla
Ullticka
Vårärt
Anisspindling
Bronshjon
Skogsknipprot
Thomsons trägnagare
Tibast
Blåsippa
Kransmossa
Ormbär</t>
        </is>
      </c>
      <c r="W5">
        <f>HYPERLINK("https://klasma.github.io/Logging_0319/artfynd/A 33463-2026 artfynd.xlsx", "A 33463-2026")</f>
        <v/>
      </c>
      <c r="X5">
        <f>HYPERLINK("https://klasma.github.io/Logging_0319/kartor/A 33463-2026 karta.png", "A 33463-2026")</f>
        <v/>
      </c>
      <c r="Y5">
        <f>HYPERLINK("https://klasma.github.io/Logging_0319/kartor_geotiff/A 33463-2026 georefererad karta.tif", "A 33463-2026")</f>
        <v/>
      </c>
      <c r="AA5">
        <f>HYPERLINK("https://klasma.github.io/Logging_0319/klagomål/A 33463-2026 FSC-klagomål.docx", "A 33463-2026")</f>
        <v/>
      </c>
      <c r="AB5">
        <f>HYPERLINK("https://klasma.github.io/Logging_0319/klagomålsmail/A 33463-2026 FSC-klagomål mail.docx", "A 33463-2026")</f>
        <v/>
      </c>
      <c r="AC5">
        <f>HYPERLINK("https://klasma.github.io/Logging_0319/tillsyn/A 33463-2026 tillsynsbegäran.docx", "A 33463-2026")</f>
        <v/>
      </c>
      <c r="AD5">
        <f>HYPERLINK("https://klasma.github.io/Logging_0319/tillsynsmail/A 33463-2026 tillsynsbegäran mail.docx", "A 33463-2026")</f>
        <v/>
      </c>
    </row>
    <row r="6" ht="15" customHeight="1">
      <c r="A6" t="inlineStr">
        <is>
          <t>A 51149-2025</t>
        </is>
      </c>
      <c r="B6" t="inlineStr">
        <is>
          <t>avverkningsanmälan</t>
        </is>
      </c>
      <c r="C6" t="inlineStr">
        <is>
          <t>Avverkning för att bevara och utveckla /försöksver</t>
        </is>
      </c>
      <c r="D6" s="1" t="n">
        <v>45947</v>
      </c>
      <c r="E6" s="1" t="n">
        <v>46290</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27330-2025</t>
        </is>
      </c>
      <c r="B7" t="inlineStr">
        <is>
          <t>avverkningsanmälan</t>
        </is>
      </c>
      <c r="C7" t="inlineStr">
        <is>
          <t>Föryngringsavverkning</t>
        </is>
      </c>
      <c r="D7" s="1" t="n">
        <v>45812</v>
      </c>
      <c r="E7" s="1" t="n">
        <v>46290</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46290</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46290</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46290</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46290</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46290</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46290</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46290</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46290</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46290</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46290</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46290</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46290</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62278-2025</t>
        </is>
      </c>
      <c r="B20" t="inlineStr">
        <is>
          <t>avverkningsanmälan</t>
        </is>
      </c>
      <c r="C20" t="inlineStr">
        <is>
          <t>Föryngringsavverkning</t>
        </is>
      </c>
      <c r="D20" s="1" t="n">
        <v>46006</v>
      </c>
      <c r="E20" s="1" t="n">
        <v>46290</v>
      </c>
      <c r="F20" t="inlineStr">
        <is>
          <t>UPPSALA LÄN</t>
        </is>
      </c>
      <c r="G20" t="inlineStr">
        <is>
          <t>ÄLVKARLEBY</t>
        </is>
      </c>
      <c r="H20" t="inlineStr">
        <is>
          <t>Bergvik skog väst AB</t>
        </is>
      </c>
      <c r="I20" t="n">
        <v>6.3</v>
      </c>
      <c r="J20" t="n">
        <v>1</v>
      </c>
      <c r="K20" t="n">
        <v>0</v>
      </c>
      <c r="L20" t="n">
        <v>3</v>
      </c>
      <c r="M20" t="n">
        <v>1</v>
      </c>
      <c r="N20" t="n">
        <v>0</v>
      </c>
      <c r="O20" t="n">
        <v>0</v>
      </c>
      <c r="P20" t="n">
        <v>0</v>
      </c>
      <c r="Q20" t="n">
        <v>4</v>
      </c>
      <c r="R20" t="n">
        <v>1</v>
      </c>
      <c r="S20" t="n">
        <v>4</v>
      </c>
      <c r="T20" t="n">
        <v>6</v>
      </c>
      <c r="U20" t="n">
        <v>0</v>
      </c>
      <c r="V20" s="2" t="inlineStr">
        <is>
          <t>Knärot
Rökfingersvamp
Vanlig sandviol
Vårstarr</t>
        </is>
      </c>
      <c r="W20">
        <f>HYPERLINK("https://klasma.github.io/Logging_0319/artfynd/A 62278-2025 artfynd.xlsx", "A 62278-2025")</f>
        <v/>
      </c>
      <c r="X20">
        <f>HYPERLINK("https://klasma.github.io/Logging_0319/kartor/A 62278-2025 karta.png", "A 62278-2025")</f>
        <v/>
      </c>
      <c r="Y20">
        <f>HYPERLINK("https://klasma.github.io/Logging_0319/kartor_geotiff/A 62278-2025 georefererad karta.tif", "A 62278-2025")</f>
        <v/>
      </c>
      <c r="Z20">
        <f>HYPERLINK("https://klasma.github.io/Logging_0319/knärot/A 62278-2025 karta knärot.png", "A 62278-2025")</f>
        <v/>
      </c>
      <c r="AA20">
        <f>HYPERLINK("https://klasma.github.io/Logging_0319/klagomål/A 62278-2025 FSC-klagomål.docx", "A 62278-2025")</f>
        <v/>
      </c>
      <c r="AB20">
        <f>HYPERLINK("https://klasma.github.io/Logging_0319/klagomålsmail/A 62278-2025 FSC-klagomål mail.docx", "A 62278-2025")</f>
        <v/>
      </c>
      <c r="AC20">
        <f>HYPERLINK("https://klasma.github.io/Logging_0319/tillsyn/A 62278-2025 tillsynsbegäran.docx", "A 62278-2025")</f>
        <v/>
      </c>
      <c r="AD20">
        <f>HYPERLINK("https://klasma.github.io/Logging_0319/tillsynsmail/A 62278-2025 tillsynsbegäran mail.docx", "A 62278-2025")</f>
        <v/>
      </c>
    </row>
    <row r="21" ht="15" customHeight="1">
      <c r="A21" t="inlineStr">
        <is>
          <t>A 61685-2025</t>
        </is>
      </c>
      <c r="B21" t="inlineStr">
        <is>
          <t>avverkningsanmälan</t>
        </is>
      </c>
      <c r="C21" t="inlineStr">
        <is>
          <t>Föryngringsavverkning</t>
        </is>
      </c>
      <c r="D21" s="1" t="n">
        <v>46002</v>
      </c>
      <c r="E21" s="1" t="n">
        <v>46290</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61693-2025</t>
        </is>
      </c>
      <c r="B22" t="inlineStr">
        <is>
          <t>avverkningsanmälan</t>
        </is>
      </c>
      <c r="C22" t="inlineStr">
        <is>
          <t>Föryngringsavverkning</t>
        </is>
      </c>
      <c r="D22" s="1" t="n">
        <v>46002</v>
      </c>
      <c r="E22" s="1" t="n">
        <v>46290</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t="n">
        <v>4</v>
      </c>
      <c r="V22" s="2" t="inlineStr">
        <is>
          <t>Sårläka
Vedtrappmossa
Brandticka</t>
        </is>
      </c>
      <c r="W22">
        <f>HYPERLINK("https://klasma.github.io/Logging_0319/artfynd/A 61693-2025 artfynd.xlsx", "A 61693-2025")</f>
        <v/>
      </c>
      <c r="X22">
        <f>HYPERLINK("https://klasma.github.io/Logging_0319/kartor/A 61693-2025 karta.png", "A 61693-2025")</f>
        <v/>
      </c>
      <c r="Y22">
        <f>HYPERLINK("https://klasma.github.io/Logging_0319/kartor_geotiff/A 61693-2025 georefererad karta.tif", "A 61693-2025")</f>
        <v/>
      </c>
      <c r="AA22">
        <f>HYPERLINK("https://klasma.github.io/Logging_0319/klagomål/A 61693-2025 FSC-klagomål.docx", "A 61693-2025")</f>
        <v/>
      </c>
      <c r="AB22">
        <f>HYPERLINK("https://klasma.github.io/Logging_0319/klagomålsmail/A 61693-2025 FSC-klagomål mail.docx", "A 61693-2025")</f>
        <v/>
      </c>
      <c r="AC22">
        <f>HYPERLINK("https://klasma.github.io/Logging_0319/tillsyn/A 61693-2025 tillsynsbegäran.docx", "A 61693-2025")</f>
        <v/>
      </c>
      <c r="AD22">
        <f>HYPERLINK("https://klasma.github.io/Logging_0319/tillsynsmail/A 61693-2025 tillsynsbegäran mail.docx", "A 61693-2025")</f>
        <v/>
      </c>
    </row>
    <row r="23" ht="15" customHeight="1">
      <c r="A23" t="inlineStr">
        <is>
          <t>A 21700-2024</t>
        </is>
      </c>
      <c r="B23" t="inlineStr">
        <is>
          <t>avverkningsanmälan</t>
        </is>
      </c>
      <c r="C23" t="inlineStr">
        <is>
          <t>Föryngringsavverkning</t>
        </is>
      </c>
      <c r="D23" s="1" t="n">
        <v>45442</v>
      </c>
      <c r="E23" s="1" t="n">
        <v>46290</v>
      </c>
      <c r="F23" t="inlineStr">
        <is>
          <t>UPPSALA LÄN</t>
        </is>
      </c>
      <c r="G23" t="inlineStr">
        <is>
          <t>ÄLVKARLEBY</t>
        </is>
      </c>
      <c r="H23" t="inlineStr">
        <is>
          <t>Bergvik skog väst AB</t>
        </is>
      </c>
      <c r="I23" t="n">
        <v>1.1</v>
      </c>
      <c r="J23" t="n">
        <v>0</v>
      </c>
      <c r="K23" t="n">
        <v>1</v>
      </c>
      <c r="L23" t="n">
        <v>1</v>
      </c>
      <c r="M23" t="n">
        <v>1</v>
      </c>
      <c r="N23" t="n">
        <v>0</v>
      </c>
      <c r="O23" t="n">
        <v>0</v>
      </c>
      <c r="P23" t="n">
        <v>0</v>
      </c>
      <c r="Q23" t="n">
        <v>2</v>
      </c>
      <c r="R23" t="n">
        <v>1</v>
      </c>
      <c r="S23" t="n">
        <v>3</v>
      </c>
      <c r="T23" t="n">
        <v>3</v>
      </c>
      <c r="U23" t="n">
        <v>1</v>
      </c>
      <c r="V23" s="2" t="inlineStr">
        <is>
          <t>Töcknig trymal
Skuggorangelav
Scharlakansvårskål agg.</t>
        </is>
      </c>
      <c r="W23">
        <f>HYPERLINK("https://klasma.github.io/Logging_0319/artfynd/A 21700-2024 artfynd.xlsx", "A 21700-2024")</f>
        <v/>
      </c>
      <c r="X23">
        <f>HYPERLINK("https://klasma.github.io/Logging_0319/kartor/A 21700-2024 karta.png", "A 21700-2024")</f>
        <v/>
      </c>
      <c r="Y23">
        <f>HYPERLINK("https://klasma.github.io/Logging_0319/kartor_geotiff/A 21700-2024 georefererad karta.tif", "A 21700-2024")</f>
        <v/>
      </c>
      <c r="AA23">
        <f>HYPERLINK("https://klasma.github.io/Logging_0319/klagomål/A 21700-2024 FSC-klagomål.docx", "A 21700-2024")</f>
        <v/>
      </c>
      <c r="AB23">
        <f>HYPERLINK("https://klasma.github.io/Logging_0319/klagomålsmail/A 21700-2024 FSC-klagomål mail.docx", "A 21700-2024")</f>
        <v/>
      </c>
      <c r="AC23">
        <f>HYPERLINK("https://klasma.github.io/Logging_0319/tillsyn/A 21700-2024 tillsynsbegäran.docx", "A 21700-2024")</f>
        <v/>
      </c>
      <c r="AD23">
        <f>HYPERLINK("https://klasma.github.io/Logging_0319/tillsynsmail/A 21700-2024 tillsynsbegäran mail.docx", "A 21700-2024")</f>
        <v/>
      </c>
    </row>
    <row r="24" ht="15" customHeight="1">
      <c r="A24" t="inlineStr">
        <is>
          <t>A 58485-2025</t>
        </is>
      </c>
      <c r="B24" t="inlineStr">
        <is>
          <t>avverkningsanmälan</t>
        </is>
      </c>
      <c r="C24" t="inlineStr">
        <is>
          <t>Föryngringsavverkning</t>
        </is>
      </c>
      <c r="D24" s="1" t="n">
        <v>45985</v>
      </c>
      <c r="E24" s="1" t="n">
        <v>46290</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46290</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46290</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46290</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46290</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46290</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46290</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46290</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51238-2025</t>
        </is>
      </c>
      <c r="B32" t="inlineStr">
        <is>
          <t>avverkningsanmälan</t>
        </is>
      </c>
      <c r="C32" t="inlineStr">
        <is>
          <t>Föryngringsavverkning</t>
        </is>
      </c>
      <c r="D32" s="1" t="n">
        <v>45947</v>
      </c>
      <c r="E32" s="1" t="n">
        <v>46290</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7286-2023</t>
        </is>
      </c>
      <c r="B33" t="inlineStr">
        <is>
          <t>avverkningsanmälan</t>
        </is>
      </c>
      <c r="C33" t="inlineStr">
        <is>
          <t>Avverkning för annat ändamål</t>
        </is>
      </c>
      <c r="D33" s="1" t="n">
        <v>44970</v>
      </c>
      <c r="E33" s="1" t="n">
        <v>46290</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57734-2025</t>
        </is>
      </c>
      <c r="B34" t="inlineStr">
        <is>
          <t>avverkningsanmälan</t>
        </is>
      </c>
      <c r="C34" t="inlineStr">
        <is>
          <t>Föryngringsavverkning</t>
        </is>
      </c>
      <c r="D34" s="1" t="n">
        <v>45981</v>
      </c>
      <c r="E34" s="1" t="n">
        <v>46290</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46290</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46290</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63004-2025</t>
        </is>
      </c>
      <c r="B37" t="inlineStr">
        <is>
          <t>avverkningsanmälan</t>
        </is>
      </c>
      <c r="C37" t="inlineStr">
        <is>
          <t>Föryngringsavverkning</t>
        </is>
      </c>
      <c r="D37" s="1" t="n">
        <v>46009</v>
      </c>
      <c r="E37" s="1" t="n">
        <v>46290</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62938-2025</t>
        </is>
      </c>
      <c r="B38" t="inlineStr">
        <is>
          <t>avverkningsanmälan</t>
        </is>
      </c>
      <c r="C38" t="inlineStr">
        <is>
          <t>Föryngringsavverkning</t>
        </is>
      </c>
      <c r="D38" s="1" t="n">
        <v>46009</v>
      </c>
      <c r="E38" s="1" t="n">
        <v>46290</v>
      </c>
      <c r="F38" t="inlineStr">
        <is>
          <t>UPPSALA LÄN</t>
        </is>
      </c>
      <c r="G38" t="inlineStr">
        <is>
          <t>ÄLVKARLEBY</t>
        </is>
      </c>
      <c r="H38" t="inlineStr">
        <is>
          <t>Bergvik skog väst AB</t>
        </is>
      </c>
      <c r="I38" t="n">
        <v>10.2</v>
      </c>
      <c r="J38" t="n">
        <v>1</v>
      </c>
      <c r="K38" t="n">
        <v>1</v>
      </c>
      <c r="L38" t="n">
        <v>0</v>
      </c>
      <c r="M38" t="n">
        <v>0</v>
      </c>
      <c r="N38" t="n">
        <v>0</v>
      </c>
      <c r="O38" t="n">
        <v>0</v>
      </c>
      <c r="P38" t="n">
        <v>0</v>
      </c>
      <c r="Q38" t="n">
        <v>0</v>
      </c>
      <c r="R38" t="n">
        <v>0</v>
      </c>
      <c r="S38" t="n">
        <v>1</v>
      </c>
      <c r="T38" t="n">
        <v>1</v>
      </c>
      <c r="U38" t="n">
        <v>1</v>
      </c>
      <c r="V38" s="2" t="inlineStr">
        <is>
          <t>Tvåblad</t>
        </is>
      </c>
      <c r="W38">
        <f>HYPERLINK("https://klasma.github.io/Logging_0319/artfynd/A 62938-2025 artfynd.xlsx", "A 62938-2025")</f>
        <v/>
      </c>
      <c r="X38">
        <f>HYPERLINK("https://klasma.github.io/Logging_0319/kartor/A 62938-2025 karta.png", "A 62938-2025")</f>
        <v/>
      </c>
      <c r="Y38">
        <f>HYPERLINK("https://klasma.github.io/Logging_0319/kartor_geotiff/A 62938-2025 georefererad karta.tif", "A 62938-2025")</f>
        <v/>
      </c>
      <c r="AA38">
        <f>HYPERLINK("https://klasma.github.io/Logging_0319/klagomål/A 62938-2025 FSC-klagomål.docx", "A 62938-2025")</f>
        <v/>
      </c>
      <c r="AB38">
        <f>HYPERLINK("https://klasma.github.io/Logging_0319/klagomålsmail/A 62938-2025 FSC-klagomål mail.docx", "A 62938-2025")</f>
        <v/>
      </c>
      <c r="AC38">
        <f>HYPERLINK("https://klasma.github.io/Logging_0319/tillsyn/A 62938-2025 tillsynsbegäran.docx", "A 62938-2025")</f>
        <v/>
      </c>
      <c r="AD38">
        <f>HYPERLINK("https://klasma.github.io/Logging_0319/tillsynsmail/A 62938-2025 tillsynsbegäran mail.docx", "A 62938-2025")</f>
        <v/>
      </c>
    </row>
    <row r="39" ht="15" customHeight="1">
      <c r="A39" t="inlineStr">
        <is>
          <t>A 1673-2026</t>
        </is>
      </c>
      <c r="B39" t="inlineStr">
        <is>
          <t>avverkningsanmälan</t>
        </is>
      </c>
      <c r="C39" t="inlineStr">
        <is>
          <t>Föryngringsavverkning</t>
        </is>
      </c>
      <c r="D39" s="1" t="n">
        <v>46034</v>
      </c>
      <c r="E39" s="1" t="n">
        <v>46290</v>
      </c>
      <c r="F39" t="inlineStr">
        <is>
          <t>UPPSALA LÄN</t>
        </is>
      </c>
      <c r="G39" t="inlineStr">
        <is>
          <t>ÄLVKARLEBY</t>
        </is>
      </c>
      <c r="H39" t="inlineStr">
        <is>
          <t>Bergvik skog väst AB</t>
        </is>
      </c>
      <c r="I39" t="n">
        <v>1.9</v>
      </c>
      <c r="J39" t="n">
        <v>0</v>
      </c>
      <c r="K39" t="n">
        <v>1</v>
      </c>
      <c r="L39" t="n">
        <v>0</v>
      </c>
      <c r="M39" t="n">
        <v>0</v>
      </c>
      <c r="N39" t="n">
        <v>0</v>
      </c>
      <c r="O39" t="n">
        <v>0</v>
      </c>
      <c r="P39" t="n">
        <v>0</v>
      </c>
      <c r="Q39" t="n">
        <v>0</v>
      </c>
      <c r="R39" t="n">
        <v>0</v>
      </c>
      <c r="S39" t="n">
        <v>1</v>
      </c>
      <c r="T39" t="n">
        <v>1</v>
      </c>
      <c r="U39" t="n">
        <v>0</v>
      </c>
      <c r="V39" s="2" t="inlineStr">
        <is>
          <t>Tibast</t>
        </is>
      </c>
      <c r="W39">
        <f>HYPERLINK("https://klasma.github.io/Logging_0319/artfynd/A 1673-2026 artfynd.xlsx", "A 1673-2026")</f>
        <v/>
      </c>
      <c r="X39">
        <f>HYPERLINK("https://klasma.github.io/Logging_0319/kartor/A 1673-2026 karta.png", "A 1673-2026")</f>
        <v/>
      </c>
      <c r="Y39">
        <f>HYPERLINK("https://klasma.github.io/Logging_0319/kartor_geotiff/A 1673-2026 georefererad karta.tif", "A 1673-2026")</f>
        <v/>
      </c>
      <c r="AA39">
        <f>HYPERLINK("https://klasma.github.io/Logging_0319/klagomål/A 1673-2026 FSC-klagomål.docx", "A 1673-2026")</f>
        <v/>
      </c>
      <c r="AB39">
        <f>HYPERLINK("https://klasma.github.io/Logging_0319/klagomålsmail/A 1673-2026 FSC-klagomål mail.docx", "A 1673-2026")</f>
        <v/>
      </c>
      <c r="AC39">
        <f>HYPERLINK("https://klasma.github.io/Logging_0319/tillsyn/A 1673-2026 tillsynsbegäran.docx", "A 1673-2026")</f>
        <v/>
      </c>
      <c r="AD39">
        <f>HYPERLINK("https://klasma.github.io/Logging_0319/tillsynsmail/A 1673-2026 tillsynsbegäran mail.docx", "A 1673-2026")</f>
        <v/>
      </c>
    </row>
    <row r="40" ht="15" customHeight="1">
      <c r="A40" t="inlineStr">
        <is>
          <t>A 4131-2026</t>
        </is>
      </c>
      <c r="B40" t="inlineStr">
        <is>
          <t>avverkningsanmälan</t>
        </is>
      </c>
      <c r="C40" t="inlineStr">
        <is>
          <t>Föryngringsavverkning</t>
        </is>
      </c>
      <c r="D40" s="1" t="n">
        <v>46044</v>
      </c>
      <c r="E40" s="1" t="n">
        <v>46290</v>
      </c>
      <c r="F40" t="inlineStr">
        <is>
          <t>UPPSALA LÄN</t>
        </is>
      </c>
      <c r="G40" t="inlineStr">
        <is>
          <t>ÄLVKARLEBY</t>
        </is>
      </c>
      <c r="H40" t="inlineStr">
        <is>
          <t>Bergvik skog öst AB</t>
        </is>
      </c>
      <c r="I40" t="n">
        <v>2.4</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4131-2026 artfynd.xlsx", "A 4131-2026")</f>
        <v/>
      </c>
      <c r="X40">
        <f>HYPERLINK("https://klasma.github.io/Logging_0319/kartor/A 4131-2026 karta.png", "A 4131-2026")</f>
        <v/>
      </c>
      <c r="Y40">
        <f>HYPERLINK("https://klasma.github.io/Logging_0319/kartor_geotiff/A 4131-2026 georefererad karta.tif", "A 4131-2026")</f>
        <v/>
      </c>
      <c r="AA40">
        <f>HYPERLINK("https://klasma.github.io/Logging_0319/klagomål/A 4131-2026 FSC-klagomål.docx", "A 4131-2026")</f>
        <v/>
      </c>
      <c r="AB40">
        <f>HYPERLINK("https://klasma.github.io/Logging_0319/klagomålsmail/A 4131-2026 FSC-klagomål mail.docx", "A 4131-2026")</f>
        <v/>
      </c>
      <c r="AC40">
        <f>HYPERLINK("https://klasma.github.io/Logging_0319/tillsyn/A 4131-2026 tillsynsbegäran.docx", "A 4131-2026")</f>
        <v/>
      </c>
      <c r="AD40">
        <f>HYPERLINK("https://klasma.github.io/Logging_0319/tillsynsmail/A 4131-2026 tillsynsbegäran mail.docx", "A 4131-2026")</f>
        <v/>
      </c>
    </row>
    <row r="41" ht="15" customHeight="1">
      <c r="A41" t="inlineStr">
        <is>
          <t>A 19303-2024</t>
        </is>
      </c>
      <c r="B41" t="inlineStr">
        <is>
          <t>avverkningsanmälan</t>
        </is>
      </c>
      <c r="C41" t="inlineStr">
        <is>
          <t>Föryngringsavverkning</t>
        </is>
      </c>
      <c r="D41" s="1" t="n">
        <v>45428</v>
      </c>
      <c r="E41" s="1" t="n">
        <v>46290</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46290</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14127-2026</t>
        </is>
      </c>
      <c r="B43" t="inlineStr">
        <is>
          <t>avverkningsanmälan</t>
        </is>
      </c>
      <c r="C43" t="inlineStr">
        <is>
          <t>Föryngringsavverkning</t>
        </is>
      </c>
      <c r="D43" s="1" t="n">
        <v>46099</v>
      </c>
      <c r="E43" s="1" t="n">
        <v>46290</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19300-2024</t>
        </is>
      </c>
      <c r="B44" t="inlineStr">
        <is>
          <t>avverkningsanmälan</t>
        </is>
      </c>
      <c r="C44" t="inlineStr">
        <is>
          <t>Föryngringsavverkning</t>
        </is>
      </c>
      <c r="D44" s="1" t="n">
        <v>45428</v>
      </c>
      <c r="E44" s="1" t="n">
        <v>46290</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30233-2026</t>
        </is>
      </c>
      <c r="B45" t="inlineStr">
        <is>
          <t>avverkningsanmälan</t>
        </is>
      </c>
      <c r="C45" t="inlineStr">
        <is>
          <t>Föryngringsavverkning</t>
        </is>
      </c>
      <c r="D45" s="1" t="n">
        <v>46206</v>
      </c>
      <c r="E45" s="1" t="n">
        <v>46290</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46290</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19304-2024</t>
        </is>
      </c>
      <c r="B47" t="inlineStr">
        <is>
          <t>avverkningsanmälan</t>
        </is>
      </c>
      <c r="C47" t="inlineStr">
        <is>
          <t>Föryngringsavverkning</t>
        </is>
      </c>
      <c r="D47" s="1" t="n">
        <v>45428</v>
      </c>
      <c r="E47" s="1" t="n">
        <v>46290</v>
      </c>
      <c r="F47" t="inlineStr">
        <is>
          <t>UPPSALA LÄN</t>
        </is>
      </c>
      <c r="G47" t="inlineStr">
        <is>
          <t>ÄLVKARLEBY</t>
        </is>
      </c>
      <c r="I47" t="n">
        <v>0.2</v>
      </c>
      <c r="J47" t="n">
        <v>0</v>
      </c>
      <c r="K47" t="n">
        <v>0</v>
      </c>
      <c r="L47" t="n">
        <v>0</v>
      </c>
      <c r="M47" t="n">
        <v>1</v>
      </c>
      <c r="N47" t="n">
        <v>0</v>
      </c>
      <c r="O47" t="n">
        <v>0</v>
      </c>
      <c r="P47" t="n">
        <v>0</v>
      </c>
      <c r="Q47" t="n">
        <v>1</v>
      </c>
      <c r="R47" t="n">
        <v>1</v>
      </c>
      <c r="S47" t="n">
        <v>1</v>
      </c>
      <c r="T47" t="n">
        <v>1</v>
      </c>
      <c r="U47" t="n">
        <v>0</v>
      </c>
      <c r="V47" s="2" t="inlineStr">
        <is>
          <t>Mindre bastardsvärmare</t>
        </is>
      </c>
      <c r="W47">
        <f>HYPERLINK("https://klasma.github.io/Logging_0319/artfynd/A 19304-2024 artfynd.xlsx", "A 19304-2024")</f>
        <v/>
      </c>
      <c r="X47">
        <f>HYPERLINK("https://klasma.github.io/Logging_0319/kartor/A 19304-2024 karta.png", "A 19304-2024")</f>
        <v/>
      </c>
      <c r="Y47">
        <f>HYPERLINK("https://klasma.github.io/Logging_0319/kartor_geotiff/A 19304-2024 georefererad karta.tif", "A 19304-2024")</f>
        <v/>
      </c>
      <c r="AA47">
        <f>HYPERLINK("https://klasma.github.io/Logging_0319/klagomål/A 19304-2024 FSC-klagomål.docx", "A 19304-2024")</f>
        <v/>
      </c>
      <c r="AB47">
        <f>HYPERLINK("https://klasma.github.io/Logging_0319/klagomålsmail/A 19304-2024 FSC-klagomål mail.docx", "A 19304-2024")</f>
        <v/>
      </c>
      <c r="AC47">
        <f>HYPERLINK("https://klasma.github.io/Logging_0319/tillsyn/A 19304-2024 tillsynsbegäran.docx", "A 19304-2024")</f>
        <v/>
      </c>
      <c r="AD47">
        <f>HYPERLINK("https://klasma.github.io/Logging_0319/tillsynsmail/A 19304-2024 tillsynsbegäran mail.docx", "A 19304-2024")</f>
        <v/>
      </c>
    </row>
    <row r="48" ht="15" customHeight="1">
      <c r="A48" t="inlineStr">
        <is>
          <t>A 36217-2022</t>
        </is>
      </c>
      <c r="B48" t="inlineStr">
        <is>
          <t>avverkningsanmälan</t>
        </is>
      </c>
      <c r="C48" t="inlineStr">
        <is>
          <t>Avverkning för annat ändamål</t>
        </is>
      </c>
      <c r="D48" s="1" t="n">
        <v>44803</v>
      </c>
      <c r="E48" s="1" t="n">
        <v>46290</v>
      </c>
      <c r="F48" t="inlineStr">
        <is>
          <t>UPPSALA LÄN</t>
        </is>
      </c>
      <c r="G48" t="inlineStr">
        <is>
          <t>ÄLVKARLEBY</t>
        </is>
      </c>
      <c r="H48" t="inlineStr">
        <is>
          <t>Bergvik skog väst AB</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36282-2022</t>
        </is>
      </c>
      <c r="B49" t="inlineStr">
        <is>
          <t>avverkningsanmälan</t>
        </is>
      </c>
      <c r="C49" t="inlineStr">
        <is>
          <t>Avverkning för annat ändamål</t>
        </is>
      </c>
      <c r="D49" s="1" t="n">
        <v>44803</v>
      </c>
      <c r="E49" s="1" t="n">
        <v>46290</v>
      </c>
      <c r="F49" t="inlineStr">
        <is>
          <t>UPPSALA LÄN</t>
        </is>
      </c>
      <c r="G49" t="inlineStr">
        <is>
          <t>ÄLVKARLEBY</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46290</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2183-2024</t>
        </is>
      </c>
      <c r="B51" t="inlineStr">
        <is>
          <t>avverkningsanmälan</t>
        </is>
      </c>
      <c r="C51" t="inlineStr">
        <is>
          <t>Föryngringsavverkning</t>
        </is>
      </c>
      <c r="D51" s="1" t="n">
        <v>45309</v>
      </c>
      <c r="E51" s="1" t="n">
        <v>46290</v>
      </c>
      <c r="F51" t="inlineStr">
        <is>
          <t>UPPSALA LÄN</t>
        </is>
      </c>
      <c r="G51" t="inlineStr">
        <is>
          <t>ÄLVKARLEBY</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2184-2024</t>
        </is>
      </c>
      <c r="B52" t="inlineStr">
        <is>
          <t>avverkningsanmälan</t>
        </is>
      </c>
      <c r="C52" t="inlineStr">
        <is>
          <t>Föryngringsavverkning</t>
        </is>
      </c>
      <c r="D52" s="1" t="n">
        <v>45309</v>
      </c>
      <c r="E52" s="1" t="n">
        <v>46290</v>
      </c>
      <c r="F52" t="inlineStr">
        <is>
          <t>UPPSALA LÄN</t>
        </is>
      </c>
      <c r="G52" t="inlineStr">
        <is>
          <t>ÄLVKARLEBY</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9533-2025</t>
        </is>
      </c>
      <c r="B53" t="inlineStr">
        <is>
          <t>avverkningsanmälan</t>
        </is>
      </c>
      <c r="C53" t="inlineStr">
        <is>
          <t>Föryngringsavverkning</t>
        </is>
      </c>
      <c r="D53" s="1" t="n">
        <v>45715</v>
      </c>
      <c r="E53" s="1" t="n">
        <v>46290</v>
      </c>
      <c r="F53" t="inlineStr">
        <is>
          <t>UPPSALA LÄN</t>
        </is>
      </c>
      <c r="G53" t="inlineStr">
        <is>
          <t>ÄLVKARLEBY</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46290</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46290</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50398-2025</t>
        </is>
      </c>
      <c r="B56" t="inlineStr">
        <is>
          <t>avverkningsanmälan</t>
        </is>
      </c>
      <c r="C56" t="inlineStr">
        <is>
          <t>Avverkning för att bevara och utveckla /försöksver</t>
        </is>
      </c>
      <c r="D56" s="1" t="n">
        <v>45944</v>
      </c>
      <c r="E56" s="1" t="n">
        <v>46290</v>
      </c>
      <c r="F56" t="inlineStr">
        <is>
          <t>UPPSALA LÄN</t>
        </is>
      </c>
      <c r="G56" t="inlineStr">
        <is>
          <t>ÄLVKARLEBY</t>
        </is>
      </c>
      <c r="H56" t="inlineStr">
        <is>
          <t>Bergvik skog väst AB</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50371-2025</t>
        </is>
      </c>
      <c r="B57" t="inlineStr">
        <is>
          <t>avverkningsanmälan</t>
        </is>
      </c>
      <c r="C57" t="inlineStr">
        <is>
          <t>Föryngringsavverkning</t>
        </is>
      </c>
      <c r="D57" s="1" t="n">
        <v>45944</v>
      </c>
      <c r="E57" s="1" t="n">
        <v>46290</v>
      </c>
      <c r="F57" t="inlineStr">
        <is>
          <t>UPPSALA LÄN</t>
        </is>
      </c>
      <c r="G57" t="inlineStr">
        <is>
          <t>ÄLVKARLEBY</t>
        </is>
      </c>
      <c r="H57" t="inlineStr">
        <is>
          <t>Bergvik skog väst AB</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51237-2025</t>
        </is>
      </c>
      <c r="B58" t="inlineStr">
        <is>
          <t>avverkningsanmälan</t>
        </is>
      </c>
      <c r="C58" t="inlineStr">
        <is>
          <t>Föryngringsavverkning</t>
        </is>
      </c>
      <c r="D58" s="1" t="n">
        <v>45947</v>
      </c>
      <c r="E58" s="1" t="n">
        <v>46290</v>
      </c>
      <c r="F58" t="inlineStr">
        <is>
          <t>UPPSALA LÄN</t>
        </is>
      </c>
      <c r="G58" t="inlineStr">
        <is>
          <t>ÄLVKARLEBY</t>
        </is>
      </c>
      <c r="H58" t="inlineStr">
        <is>
          <t>Bergvik skog väst AB</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14590-2023</t>
        </is>
      </c>
      <c r="B59" t="inlineStr">
        <is>
          <t>avverkningsanmälan</t>
        </is>
      </c>
      <c r="C59" t="inlineStr">
        <is>
          <t>Föryngringsavverkning</t>
        </is>
      </c>
      <c r="D59" s="1" t="n">
        <v>45013</v>
      </c>
      <c r="E59" s="1" t="n">
        <v>46290</v>
      </c>
      <c r="F59" t="inlineStr">
        <is>
          <t>UPPSALA LÄN</t>
        </is>
      </c>
      <c r="G59" t="inlineStr">
        <is>
          <t>ÄLVKARLEBY</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46290</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46290</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28670-2025</t>
        </is>
      </c>
      <c r="B62" t="inlineStr">
        <is>
          <t>avverkningsanmälan</t>
        </is>
      </c>
      <c r="C62" t="inlineStr">
        <is>
          <t>Föryngringsavverkning</t>
        </is>
      </c>
      <c r="D62" s="1" t="n">
        <v>45819</v>
      </c>
      <c r="E62" s="1" t="n">
        <v>46290</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46290</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46290</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46290</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46290</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36216-2022</t>
        </is>
      </c>
      <c r="B67" t="inlineStr">
        <is>
          <t>avverkningsanmälan</t>
        </is>
      </c>
      <c r="C67" t="inlineStr">
        <is>
          <t>Avverkning för annat ändamål</t>
        </is>
      </c>
      <c r="D67" s="1" t="n">
        <v>44803</v>
      </c>
      <c r="E67" s="1" t="n">
        <v>46290</v>
      </c>
      <c r="F67" t="inlineStr">
        <is>
          <t>UPPSALA LÄN</t>
        </is>
      </c>
      <c r="G67" t="inlineStr">
        <is>
          <t>ÄLVKARLEBY</t>
        </is>
      </c>
      <c r="H67" t="inlineStr">
        <is>
          <t>Bergvik skog väst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46290</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46290</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61694-2025</t>
        </is>
      </c>
      <c r="B70" t="inlineStr">
        <is>
          <t>avverkningsanmälan</t>
        </is>
      </c>
      <c r="C70" t="inlineStr">
        <is>
          <t>Föryngringsavverkning</t>
        </is>
      </c>
      <c r="D70" s="1" t="n">
        <v>46002</v>
      </c>
      <c r="E70" s="1" t="n">
        <v>46290</v>
      </c>
      <c r="F70" t="inlineStr">
        <is>
          <t>UPPSALA LÄN</t>
        </is>
      </c>
      <c r="G70" t="inlineStr">
        <is>
          <t>ÄLVKARLEBY</t>
        </is>
      </c>
      <c r="H70" t="inlineStr">
        <is>
          <t>Bergvik skog öst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61691-2025</t>
        </is>
      </c>
      <c r="B71" t="inlineStr">
        <is>
          <t>avverkningsanmälan</t>
        </is>
      </c>
      <c r="C71" t="inlineStr">
        <is>
          <t>Föryngringsavverkning</t>
        </is>
      </c>
      <c r="D71" s="1" t="n">
        <v>46002</v>
      </c>
      <c r="E71" s="1" t="n">
        <v>46290</v>
      </c>
      <c r="F71" t="inlineStr">
        <is>
          <t>UPPSALA LÄN</t>
        </is>
      </c>
      <c r="G71" t="inlineStr">
        <is>
          <t>ÄLVKARLEBY</t>
        </is>
      </c>
      <c r="H71" t="inlineStr">
        <is>
          <t>Bergvik skog öst AB</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63365-2025</t>
        </is>
      </c>
      <c r="B72" t="inlineStr">
        <is>
          <t>avverkningsanmälan</t>
        </is>
      </c>
      <c r="C72" t="inlineStr">
        <is>
          <t>Föryngringsavverkning</t>
        </is>
      </c>
      <c r="D72" s="1" t="n">
        <v>46010</v>
      </c>
      <c r="E72" s="1" t="n">
        <v>46290</v>
      </c>
      <c r="F72" t="inlineStr">
        <is>
          <t>UPPSALA LÄN</t>
        </is>
      </c>
      <c r="G72" t="inlineStr">
        <is>
          <t>ÄLVKARLEBY</t>
        </is>
      </c>
      <c r="H72" t="inlineStr">
        <is>
          <t>Bergvik skog väst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61839-2025</t>
        </is>
      </c>
      <c r="B73" t="inlineStr">
        <is>
          <t>avverkningsanmälan</t>
        </is>
      </c>
      <c r="C73" t="inlineStr">
        <is>
          <t>Föryngringsavverkning</t>
        </is>
      </c>
      <c r="D73" s="1" t="n">
        <v>46003</v>
      </c>
      <c r="E73" s="1" t="n">
        <v>46290</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16990-2022</t>
        </is>
      </c>
      <c r="B74" t="inlineStr">
        <is>
          <t>avverkningsanmälan</t>
        </is>
      </c>
      <c r="C74" t="inlineStr">
        <is>
          <t>Föryngringsavverkning</t>
        </is>
      </c>
      <c r="D74" s="1" t="n">
        <v>44676</v>
      </c>
      <c r="E74" s="1" t="n">
        <v>46290</v>
      </c>
      <c r="F74" t="inlineStr">
        <is>
          <t>UPPSALA LÄN</t>
        </is>
      </c>
      <c r="G74" t="inlineStr">
        <is>
          <t>ÄLVKARLEBY</t>
        </is>
      </c>
      <c r="H74" t="inlineStr">
        <is>
          <t>Bergvik skog väst AB</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4134-2026</t>
        </is>
      </c>
      <c r="B75" t="inlineStr">
        <is>
          <t>avverkningsanmälan</t>
        </is>
      </c>
      <c r="C75" t="inlineStr">
        <is>
          <t>Föryngringsavverkning</t>
        </is>
      </c>
      <c r="D75" s="1" t="n">
        <v>46044</v>
      </c>
      <c r="E75" s="1" t="n">
        <v>46290</v>
      </c>
      <c r="F75" t="inlineStr">
        <is>
          <t>UPPSALA LÄN</t>
        </is>
      </c>
      <c r="G75" t="inlineStr">
        <is>
          <t>ÄLVKARLEBY</t>
        </is>
      </c>
      <c r="H75" t="inlineStr">
        <is>
          <t>Bergvik skog öst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9394-2026</t>
        </is>
      </c>
      <c r="B76" t="inlineStr">
        <is>
          <t>avverkningsanmälan</t>
        </is>
      </c>
      <c r="C76" t="inlineStr">
        <is>
          <t>Föryngringsavverkning</t>
        </is>
      </c>
      <c r="D76" s="1" t="n">
        <v>46071</v>
      </c>
      <c r="E76" s="1" t="n">
        <v>46290</v>
      </c>
      <c r="F76" t="inlineStr">
        <is>
          <t>UPPSALA LÄN</t>
        </is>
      </c>
      <c r="G76" t="inlineStr">
        <is>
          <t>ÄLVKARLEBY</t>
        </is>
      </c>
      <c r="H76" t="inlineStr">
        <is>
          <t>Bergvik skog väst AB</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38226-2023</t>
        </is>
      </c>
      <c r="B77" t="inlineStr">
        <is>
          <t>avverkningsanmälan</t>
        </is>
      </c>
      <c r="C77" t="inlineStr">
        <is>
          <t>Föryngringsavverkning</t>
        </is>
      </c>
      <c r="D77" s="1" t="n">
        <v>45161</v>
      </c>
      <c r="E77" s="1" t="n">
        <v>46290</v>
      </c>
      <c r="F77" t="inlineStr">
        <is>
          <t>UPPSALA LÄN</t>
        </is>
      </c>
      <c r="G77" t="inlineStr">
        <is>
          <t>ÄLVKARLEBY</t>
        </is>
      </c>
      <c r="H77" t="inlineStr">
        <is>
          <t>Bergvik skog väst AB</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11467-2026</t>
        </is>
      </c>
      <c r="B78" t="inlineStr">
        <is>
          <t>avverkningsanmälan</t>
        </is>
      </c>
      <c r="C78" t="inlineStr">
        <is>
          <t>Föryngringsavverkning</t>
        </is>
      </c>
      <c r="D78" s="1" t="n">
        <v>46083</v>
      </c>
      <c r="E78" s="1" t="n">
        <v>46290</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11848-2026</t>
        </is>
      </c>
      <c r="B79" t="inlineStr">
        <is>
          <t>avverkningsanmälan</t>
        </is>
      </c>
      <c r="C79" t="inlineStr">
        <is>
          <t>Föryngringsavverkning</t>
        </is>
      </c>
      <c r="D79" s="1" t="n">
        <v>46085</v>
      </c>
      <c r="E79" s="1" t="n">
        <v>46290</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46290</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45372-2024</t>
        </is>
      </c>
      <c r="B81" t="inlineStr">
        <is>
          <t>avverkningsanmälan</t>
        </is>
      </c>
      <c r="C81" t="inlineStr">
        <is>
          <t>Föryngringsavverkning</t>
        </is>
      </c>
      <c r="D81" s="1" t="n">
        <v>45576</v>
      </c>
      <c r="E81" s="1" t="n">
        <v>46290</v>
      </c>
      <c r="F81" t="inlineStr">
        <is>
          <t>UPPSALA LÄN</t>
        </is>
      </c>
      <c r="G81" t="inlineStr">
        <is>
          <t>ÄLVKARLEBY</t>
        </is>
      </c>
      <c r="H81" t="inlineStr">
        <is>
          <t>Bergvik skog väst AB</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17851-2026</t>
        </is>
      </c>
      <c r="B82" t="inlineStr">
        <is>
          <t>avverkningsanmälan</t>
        </is>
      </c>
      <c r="C82" t="inlineStr">
        <is>
          <t>Föryngringsavverkning</t>
        </is>
      </c>
      <c r="D82" s="1" t="n">
        <v>46122</v>
      </c>
      <c r="E82" s="1" t="n">
        <v>46290</v>
      </c>
      <c r="F82" t="inlineStr">
        <is>
          <t>UPPSALA LÄN</t>
        </is>
      </c>
      <c r="G82" t="inlineStr">
        <is>
          <t>ÄLVKARLEBY</t>
        </is>
      </c>
      <c r="H82" t="inlineStr">
        <is>
          <t>Bergvik skog öst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41929-2024</t>
        </is>
      </c>
      <c r="B83" t="inlineStr">
        <is>
          <t>avverkningsanmälan</t>
        </is>
      </c>
      <c r="C83" t="inlineStr">
        <is>
          <t>Föryngringsavverkning</t>
        </is>
      </c>
      <c r="D83" s="1" t="n">
        <v>45561</v>
      </c>
      <c r="E83" s="1" t="n">
        <v>46290</v>
      </c>
      <c r="F83" t="inlineStr">
        <is>
          <t>UPPSALA LÄN</t>
        </is>
      </c>
      <c r="G83" t="inlineStr">
        <is>
          <t>ÄLVKARLEBY</t>
        </is>
      </c>
      <c r="H83" t="inlineStr">
        <is>
          <t>Bergvik skog väst AB</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26815-2022</t>
        </is>
      </c>
      <c r="B84" t="inlineStr">
        <is>
          <t>avverkningsanmälan</t>
        </is>
      </c>
      <c r="C84" t="inlineStr">
        <is>
          <t>Föryngringsavverkning</t>
        </is>
      </c>
      <c r="D84" s="1" t="n">
        <v>44740</v>
      </c>
      <c r="E84" s="1" t="n">
        <v>46290</v>
      </c>
      <c r="F84" t="inlineStr">
        <is>
          <t>UPPSALA LÄN</t>
        </is>
      </c>
      <c r="G84" t="inlineStr">
        <is>
          <t>ÄLVKARLEBY</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30238-2026</t>
        </is>
      </c>
      <c r="B85" t="inlineStr">
        <is>
          <t>avverkningsanmälan</t>
        </is>
      </c>
      <c r="C85" t="inlineStr">
        <is>
          <t>Föryngringsavverkning</t>
        </is>
      </c>
      <c r="D85" s="1" t="n">
        <v>46206</v>
      </c>
      <c r="E85" s="1" t="n">
        <v>46290</v>
      </c>
      <c r="F85" t="inlineStr">
        <is>
          <t>UPPSALA LÄN</t>
        </is>
      </c>
      <c r="G85" t="inlineStr">
        <is>
          <t>ÄLVKARLEBY</t>
        </is>
      </c>
      <c r="H85" t="inlineStr">
        <is>
          <t>Bergvik skog öst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30234-2026</t>
        </is>
      </c>
      <c r="B86" t="inlineStr">
        <is>
          <t>avverkningsanmälan</t>
        </is>
      </c>
      <c r="C86" t="inlineStr">
        <is>
          <t>Föryngringsavverkning</t>
        </is>
      </c>
      <c r="D86" s="1" t="n">
        <v>46206</v>
      </c>
      <c r="E86" s="1" t="n">
        <v>46290</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34575-2026</t>
        </is>
      </c>
      <c r="B87" t="inlineStr">
        <is>
          <t>avverkningsanmälan</t>
        </is>
      </c>
      <c r="C87" t="inlineStr">
        <is>
          <t>Föryngringsavverkning</t>
        </is>
      </c>
      <c r="D87" s="1" t="n">
        <v>46255</v>
      </c>
      <c r="E87" s="1" t="n">
        <v>46290</v>
      </c>
      <c r="F87" t="inlineStr">
        <is>
          <t>UPPSALA LÄN</t>
        </is>
      </c>
      <c r="G87" t="inlineStr">
        <is>
          <t>ÄLVKARLEBY</t>
        </is>
      </c>
      <c r="H87" t="inlineStr">
        <is>
          <t>Bergvik skog öst AB</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35356-2026</t>
        </is>
      </c>
      <c r="B88" t="inlineStr">
        <is>
          <t>avverkningsanmälan</t>
        </is>
      </c>
      <c r="C88" t="inlineStr">
        <is>
          <t>Föryngringsavverkning</t>
        </is>
      </c>
      <c r="D88" s="1" t="n">
        <v>46261</v>
      </c>
      <c r="E88" s="1" t="n">
        <v>46290</v>
      </c>
      <c r="F88" t="inlineStr">
        <is>
          <t>UPPSALA LÄN</t>
        </is>
      </c>
      <c r="G88" t="inlineStr">
        <is>
          <t>ÄLVKARLEBY</t>
        </is>
      </c>
      <c r="H88" t="inlineStr">
        <is>
          <t>Bergvik skog öst AB</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41272-2023</t>
        </is>
      </c>
      <c r="B89" t="inlineStr">
        <is>
          <t>avverkningsanmälan</t>
        </is>
      </c>
      <c r="C89" t="inlineStr">
        <is>
          <t>Föryngringsavverkning</t>
        </is>
      </c>
      <c r="D89" s="1" t="n">
        <v>45174</v>
      </c>
      <c r="E89" s="1" t="n">
        <v>46290</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41276-2023</t>
        </is>
      </c>
      <c r="B90" t="inlineStr">
        <is>
          <t>avverkningsanmälan</t>
        </is>
      </c>
      <c r="C90" t="inlineStr">
        <is>
          <t>Föryngringsavverkning</t>
        </is>
      </c>
      <c r="D90" s="1" t="n">
        <v>45174</v>
      </c>
      <c r="E90" s="1" t="n">
        <v>46290</v>
      </c>
      <c r="F90" t="inlineStr">
        <is>
          <t>UPPSALA LÄN</t>
        </is>
      </c>
      <c r="G90" t="inlineStr">
        <is>
          <t>ÄLVKARLEBY</t>
        </is>
      </c>
      <c r="H90" t="inlineStr">
        <is>
          <t>Bergvik skog väst AB</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38636-2026</t>
        </is>
      </c>
      <c r="B91" t="inlineStr">
        <is>
          <t>avverkningsanmälan</t>
        </is>
      </c>
      <c r="C91" t="inlineStr">
        <is>
          <t>Föryngringsavverkning</t>
        </is>
      </c>
      <c r="D91" s="1" t="n">
        <v>46283</v>
      </c>
      <c r="E91" s="1" t="n">
        <v>46290</v>
      </c>
      <c r="F91" t="inlineStr">
        <is>
          <t>UPPSALA LÄN</t>
        </is>
      </c>
      <c r="G91" t="inlineStr">
        <is>
          <t>ÄLVKARLEBY</t>
        </is>
      </c>
      <c r="H91" t="inlineStr">
        <is>
          <t>Bergvik skog väst AB</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38617-2026</t>
        </is>
      </c>
      <c r="B92" t="inlineStr">
        <is>
          <t>avverkningsanmälan</t>
        </is>
      </c>
      <c r="C92" t="inlineStr">
        <is>
          <t>Föryngringsavverkning</t>
        </is>
      </c>
      <c r="D92" s="1" t="n">
        <v>46283</v>
      </c>
      <c r="E92" s="1" t="n">
        <v>46290</v>
      </c>
      <c r="F92" t="inlineStr">
        <is>
          <t>UPPSALA LÄN</t>
        </is>
      </c>
      <c r="G92" t="inlineStr">
        <is>
          <t>ÄLVKARLEBY</t>
        </is>
      </c>
      <c r="H92" t="inlineStr">
        <is>
          <t>Bergvik skog väst AB</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33485-2026</t>
        </is>
      </c>
      <c r="B93" t="inlineStr">
        <is>
          <t>avverkningsanmälan</t>
        </is>
      </c>
      <c r="C93" t="inlineStr">
        <is>
          <t>Föryngringsavverkning</t>
        </is>
      </c>
      <c r="D93" s="1" t="n">
        <v>46247</v>
      </c>
      <c r="E93" s="1" t="n">
        <v>46290</v>
      </c>
      <c r="F93" t="inlineStr">
        <is>
          <t>UPPSALA LÄN</t>
        </is>
      </c>
      <c r="G93" t="inlineStr">
        <is>
          <t>ÄLVKARLEBY</t>
        </is>
      </c>
      <c r="H93" t="inlineStr">
        <is>
          <t>Bergvik skog öst AB</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25330-2025</t>
        </is>
      </c>
      <c r="B94" t="inlineStr">
        <is>
          <t>avverkningsanmälan</t>
        </is>
      </c>
      <c r="C94" t="inlineStr">
        <is>
          <t>Föryngringsavverkning</t>
        </is>
      </c>
      <c r="D94" s="1" t="n">
        <v>45800</v>
      </c>
      <c r="E94" s="1" t="n">
        <v>46290</v>
      </c>
      <c r="F94" t="inlineStr">
        <is>
          <t>UPPSALA LÄN</t>
        </is>
      </c>
      <c r="G94" t="inlineStr">
        <is>
          <t>ÄLVKARLEBY</t>
        </is>
      </c>
      <c r="H94" t="inlineStr">
        <is>
          <t>Bergvik skog väst AB</t>
        </is>
      </c>
      <c r="I94" t="n">
        <v>5</v>
      </c>
      <c r="J94" t="n">
        <v>0</v>
      </c>
      <c r="K94" t="n">
        <v>0</v>
      </c>
      <c r="L94" t="n">
        <v>0</v>
      </c>
      <c r="M94" t="n">
        <v>0</v>
      </c>
      <c r="N94" t="n">
        <v>0</v>
      </c>
      <c r="O94" t="n">
        <v>0</v>
      </c>
      <c r="P94" t="n">
        <v>0</v>
      </c>
      <c r="Q94" t="n">
        <v>0</v>
      </c>
      <c r="R94" t="n">
        <v>0</v>
      </c>
      <c r="S94" t="n">
        <v>0</v>
      </c>
      <c r="T94" t="n">
        <v>0</v>
      </c>
      <c r="U94" t="n">
        <v>0</v>
      </c>
      <c r="V94" s="2" t="inlineStr"/>
    </row>
    <row r="95">
      <c r="A95" t="inlineStr">
        <is>
          <t>A 32187-2025</t>
        </is>
      </c>
      <c r="B95" t="inlineStr">
        <is>
          <t>avverkningsanmälan</t>
        </is>
      </c>
      <c r="C95" t="inlineStr">
        <is>
          <t>Föryngringsavverkning</t>
        </is>
      </c>
      <c r="D95" s="1" t="n">
        <v>45835</v>
      </c>
      <c r="E95" s="1" t="n">
        <v>46290</v>
      </c>
      <c r="F95" t="inlineStr">
        <is>
          <t>UPPSALA LÄN</t>
        </is>
      </c>
      <c r="G95" t="inlineStr">
        <is>
          <t>ÄLVKARLEBY</t>
        </is>
      </c>
      <c r="H95" t="inlineStr">
        <is>
          <t>Bergvik skog väst AB</t>
        </is>
      </c>
      <c r="I95" t="n">
        <v>1.5</v>
      </c>
      <c r="J95" t="n">
        <v>0</v>
      </c>
      <c r="K95" t="n">
        <v>0</v>
      </c>
      <c r="L95" t="n">
        <v>0</v>
      </c>
      <c r="M95" t="n">
        <v>0</v>
      </c>
      <c r="N95" t="n">
        <v>0</v>
      </c>
      <c r="O95" t="n">
        <v>0</v>
      </c>
      <c r="P95" t="n">
        <v>0</v>
      </c>
      <c r="Q95" t="n">
        <v>0</v>
      </c>
      <c r="R95" t="n">
        <v>0</v>
      </c>
      <c r="S95" t="n">
        <v>0</v>
      </c>
      <c r="T95" t="n">
        <v>0</v>
      </c>
      <c r="U95" t="n">
        <v>0</v>
      </c>
      <c r="V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2026-09-25T02:08:21Z</dcterms:created>
  <dcterms:modified xmlns:dcterms="http://purl.org/dc/terms/" xmlns:xsi="http://www.w3.org/2001/XMLSchema-instance" xsi:type="dcterms:W3CDTF">2026-09-25T02:08:21Z</dcterms:modified>
</cp:coreProperties>
</file>