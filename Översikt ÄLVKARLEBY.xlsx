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45915</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45915</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45915</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45915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45915</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45915</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45915</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45915</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45915</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45915</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55555-2024</t>
        </is>
      </c>
      <c r="B13" s="1" t="n">
        <v>45622.51762731482</v>
      </c>
      <c r="C13" s="1" t="n">
        <v>45915</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30484-2025</t>
        </is>
      </c>
      <c r="B14" s="1" t="n">
        <v>45828.75157407407</v>
      </c>
      <c r="C14" s="1" t="n">
        <v>45915</v>
      </c>
      <c r="D14" t="inlineStr">
        <is>
          <t>UPPSALA LÄN</t>
        </is>
      </c>
      <c r="E14" t="inlineStr">
        <is>
          <t>ÄLVKARLEBY</t>
        </is>
      </c>
      <c r="F14" t="inlineStr">
        <is>
          <t>Bergvik skog väst AB</t>
        </is>
      </c>
      <c r="G14" t="n">
        <v>1.6</v>
      </c>
      <c r="H14" t="n">
        <v>1</v>
      </c>
      <c r="I14" t="n">
        <v>1</v>
      </c>
      <c r="J14" t="n">
        <v>1</v>
      </c>
      <c r="K14" t="n">
        <v>0</v>
      </c>
      <c r="L14" t="n">
        <v>0</v>
      </c>
      <c r="M14" t="n">
        <v>0</v>
      </c>
      <c r="N14" t="n">
        <v>0</v>
      </c>
      <c r="O14" t="n">
        <v>1</v>
      </c>
      <c r="P14" t="n">
        <v>0</v>
      </c>
      <c r="Q14" t="n">
        <v>3</v>
      </c>
      <c r="R14" s="2" t="inlineStr">
        <is>
          <t>Slåtterfibbla
Svart trolldruva
Gullviva</t>
        </is>
      </c>
      <c r="S14">
        <f>HYPERLINK("https://klasma.github.io/Logging_0319/artfynd/A 30484-2025 artfynd.xlsx", "A 30484-2025")</f>
        <v/>
      </c>
      <c r="T14">
        <f>HYPERLINK("https://klasma.github.io/Logging_0319/kartor/A 30484-2025 karta.png", "A 30484-2025")</f>
        <v/>
      </c>
      <c r="V14">
        <f>HYPERLINK("https://klasma.github.io/Logging_0319/klagomål/A 30484-2025 FSC-klagomål.docx", "A 30484-2025")</f>
        <v/>
      </c>
      <c r="W14">
        <f>HYPERLINK("https://klasma.github.io/Logging_0319/klagomålsmail/A 30484-2025 FSC-klagomål mail.docx", "A 30484-2025")</f>
        <v/>
      </c>
      <c r="X14">
        <f>HYPERLINK("https://klasma.github.io/Logging_0319/tillsyn/A 30484-2025 tillsynsbegäran.docx", "A 30484-2025")</f>
        <v/>
      </c>
      <c r="Y14">
        <f>HYPERLINK("https://klasma.github.io/Logging_0319/tillsynsmail/A 30484-2025 tillsynsbegäran mail.docx", "A 30484-2025")</f>
        <v/>
      </c>
    </row>
    <row r="15" ht="15" customHeight="1">
      <c r="A15" t="inlineStr">
        <is>
          <t>A 34798-2024</t>
        </is>
      </c>
      <c r="B15" s="1" t="n">
        <v>45526</v>
      </c>
      <c r="C15" s="1" t="n">
        <v>45915</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45915</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21007-2025</t>
        </is>
      </c>
      <c r="B17" s="1" t="n">
        <v>45777</v>
      </c>
      <c r="C17" s="1" t="n">
        <v>45915</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45915</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45915</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45915</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66277-2020</t>
        </is>
      </c>
      <c r="B21" s="1" t="n">
        <v>44176</v>
      </c>
      <c r="C21" s="1" t="n">
        <v>45915</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45915</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9521-2025</t>
        </is>
      </c>
      <c r="B23" s="1" t="n">
        <v>45715.56259259259</v>
      </c>
      <c r="C23" s="1" t="n">
        <v>45915</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21700-2024</t>
        </is>
      </c>
      <c r="B24" s="1" t="n">
        <v>45442</v>
      </c>
      <c r="C24" s="1" t="n">
        <v>45915</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45915</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39902-2025</t>
        </is>
      </c>
      <c r="B26" s="1" t="n">
        <v>45891.63597222222</v>
      </c>
      <c r="C26" s="1" t="n">
        <v>45915</v>
      </c>
      <c r="D26" t="inlineStr">
        <is>
          <t>UPPSALA LÄN</t>
        </is>
      </c>
      <c r="E26" t="inlineStr">
        <is>
          <t>ÄLVKARLEBY</t>
        </is>
      </c>
      <c r="F26" t="inlineStr">
        <is>
          <t>Bergvik skog väst AB</t>
        </is>
      </c>
      <c r="G26" t="n">
        <v>11.2</v>
      </c>
      <c r="H26" t="n">
        <v>0</v>
      </c>
      <c r="I26" t="n">
        <v>1</v>
      </c>
      <c r="J26" t="n">
        <v>0</v>
      </c>
      <c r="K26" t="n">
        <v>0</v>
      </c>
      <c r="L26" t="n">
        <v>0</v>
      </c>
      <c r="M26" t="n">
        <v>0</v>
      </c>
      <c r="N26" t="n">
        <v>0</v>
      </c>
      <c r="O26" t="n">
        <v>0</v>
      </c>
      <c r="P26" t="n">
        <v>0</v>
      </c>
      <c r="Q26" t="n">
        <v>1</v>
      </c>
      <c r="R26" s="2" t="inlineStr">
        <is>
          <t>Anisspindling</t>
        </is>
      </c>
      <c r="S26">
        <f>HYPERLINK("https://klasma.github.io/Logging_0319/artfynd/A 39902-2025 artfynd.xlsx", "A 39902-2025")</f>
        <v/>
      </c>
      <c r="T26">
        <f>HYPERLINK("https://klasma.github.io/Logging_0319/kartor/A 39902-2025 karta.png", "A 39902-2025")</f>
        <v/>
      </c>
      <c r="V26">
        <f>HYPERLINK("https://klasma.github.io/Logging_0319/klagomål/A 39902-2025 FSC-klagomål.docx", "A 39902-2025")</f>
        <v/>
      </c>
      <c r="W26">
        <f>HYPERLINK("https://klasma.github.io/Logging_0319/klagomålsmail/A 39902-2025 FSC-klagomål mail.docx", "A 39902-2025")</f>
        <v/>
      </c>
      <c r="X26">
        <f>HYPERLINK("https://klasma.github.io/Logging_0319/tillsyn/A 39902-2025 tillsynsbegäran.docx", "A 39902-2025")</f>
        <v/>
      </c>
      <c r="Y26">
        <f>HYPERLINK("https://klasma.github.io/Logging_0319/tillsynsmail/A 39902-2025 tillsynsbegäran mail.docx", "A 39902-2025")</f>
        <v/>
      </c>
    </row>
    <row r="27" ht="15" customHeight="1">
      <c r="A27" t="inlineStr">
        <is>
          <t>A 50416-2020</t>
        </is>
      </c>
      <c r="B27" s="1" t="n">
        <v>44110</v>
      </c>
      <c r="C27" s="1" t="n">
        <v>45915</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45915</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45915</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45915</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45915</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9533-2025</t>
        </is>
      </c>
      <c r="B32" s="1" t="n">
        <v>45715.57082175926</v>
      </c>
      <c r="C32" s="1" t="n">
        <v>45915</v>
      </c>
      <c r="D32" t="inlineStr">
        <is>
          <t>UPPSALA LÄN</t>
        </is>
      </c>
      <c r="E32" t="inlineStr">
        <is>
          <t>ÄLVKARLEBY</t>
        </is>
      </c>
      <c r="G32" t="n">
        <v>2.1</v>
      </c>
      <c r="H32" t="n">
        <v>0</v>
      </c>
      <c r="I32" t="n">
        <v>0</v>
      </c>
      <c r="J32" t="n">
        <v>0</v>
      </c>
      <c r="K32" t="n">
        <v>0</v>
      </c>
      <c r="L32" t="n">
        <v>0</v>
      </c>
      <c r="M32" t="n">
        <v>0</v>
      </c>
      <c r="N32" t="n">
        <v>0</v>
      </c>
      <c r="O32" t="n">
        <v>0</v>
      </c>
      <c r="P32" t="n">
        <v>0</v>
      </c>
      <c r="Q32" t="n">
        <v>0</v>
      </c>
      <c r="R32" s="2" t="inlineStr"/>
    </row>
    <row r="33" ht="15" customHeight="1">
      <c r="A33" t="inlineStr">
        <is>
          <t>A 19697-2025</t>
        </is>
      </c>
      <c r="B33" s="1" t="n">
        <v>45771</v>
      </c>
      <c r="C33" s="1" t="n">
        <v>45915</v>
      </c>
      <c r="D33" t="inlineStr">
        <is>
          <t>UPPSALA LÄN</t>
        </is>
      </c>
      <c r="E33" t="inlineStr">
        <is>
          <t>ÄLVKARLEBY</t>
        </is>
      </c>
      <c r="F33" t="inlineStr">
        <is>
          <t>Bergvik skog väst AB</t>
        </is>
      </c>
      <c r="G33" t="n">
        <v>3.3</v>
      </c>
      <c r="H33" t="n">
        <v>0</v>
      </c>
      <c r="I33" t="n">
        <v>0</v>
      </c>
      <c r="J33" t="n">
        <v>0</v>
      </c>
      <c r="K33" t="n">
        <v>0</v>
      </c>
      <c r="L33" t="n">
        <v>0</v>
      </c>
      <c r="M33" t="n">
        <v>0</v>
      </c>
      <c r="N33" t="n">
        <v>0</v>
      </c>
      <c r="O33" t="n">
        <v>0</v>
      </c>
      <c r="P33" t="n">
        <v>0</v>
      </c>
      <c r="Q33" t="n">
        <v>0</v>
      </c>
      <c r="R33" s="2" t="inlineStr"/>
    </row>
    <row r="34" ht="15" customHeight="1">
      <c r="A34" t="inlineStr">
        <is>
          <t>A 21012-2025</t>
        </is>
      </c>
      <c r="B34" s="1" t="n">
        <v>45777</v>
      </c>
      <c r="C34" s="1" t="n">
        <v>45915</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22223-2025</t>
        </is>
      </c>
      <c r="B35" s="1" t="n">
        <v>45785</v>
      </c>
      <c r="C35" s="1" t="n">
        <v>45915</v>
      </c>
      <c r="D35" t="inlineStr">
        <is>
          <t>UPPSALA LÄN</t>
        </is>
      </c>
      <c r="E35" t="inlineStr">
        <is>
          <t>ÄLVKARLEBY</t>
        </is>
      </c>
      <c r="F35" t="inlineStr">
        <is>
          <t>Bergvik skog väst AB</t>
        </is>
      </c>
      <c r="G35" t="n">
        <v>1.3</v>
      </c>
      <c r="H35" t="n">
        <v>0</v>
      </c>
      <c r="I35" t="n">
        <v>0</v>
      </c>
      <c r="J35" t="n">
        <v>0</v>
      </c>
      <c r="K35" t="n">
        <v>0</v>
      </c>
      <c r="L35" t="n">
        <v>0</v>
      </c>
      <c r="M35" t="n">
        <v>0</v>
      </c>
      <c r="N35" t="n">
        <v>0</v>
      </c>
      <c r="O35" t="n">
        <v>0</v>
      </c>
      <c r="P35" t="n">
        <v>0</v>
      </c>
      <c r="Q35" t="n">
        <v>0</v>
      </c>
      <c r="R35" s="2" t="inlineStr"/>
    </row>
    <row r="36" ht="15" customHeight="1">
      <c r="A36" t="inlineStr">
        <is>
          <t>A 41272-2023</t>
        </is>
      </c>
      <c r="B36" s="1" t="n">
        <v>45174</v>
      </c>
      <c r="C36" s="1" t="n">
        <v>45915</v>
      </c>
      <c r="D36" t="inlineStr">
        <is>
          <t>UPPSALA LÄN</t>
        </is>
      </c>
      <c r="E36" t="inlineStr">
        <is>
          <t>ÄLVKARLEBY</t>
        </is>
      </c>
      <c r="F36" t="inlineStr">
        <is>
          <t>Bergvik skog väst AB</t>
        </is>
      </c>
      <c r="G36" t="n">
        <v>0.9</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45915</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2184-2024</t>
        </is>
      </c>
      <c r="B38" s="1" t="n">
        <v>45309</v>
      </c>
      <c r="C38" s="1" t="n">
        <v>45915</v>
      </c>
      <c r="D38" t="inlineStr">
        <is>
          <t>UPPSALA LÄN</t>
        </is>
      </c>
      <c r="E38" t="inlineStr">
        <is>
          <t>ÄLVKARLEBY</t>
        </is>
      </c>
      <c r="G38" t="n">
        <v>0.6</v>
      </c>
      <c r="H38" t="n">
        <v>0</v>
      </c>
      <c r="I38" t="n">
        <v>0</v>
      </c>
      <c r="J38" t="n">
        <v>0</v>
      </c>
      <c r="K38" t="n">
        <v>0</v>
      </c>
      <c r="L38" t="n">
        <v>0</v>
      </c>
      <c r="M38" t="n">
        <v>0</v>
      </c>
      <c r="N38" t="n">
        <v>0</v>
      </c>
      <c r="O38" t="n">
        <v>0</v>
      </c>
      <c r="P38" t="n">
        <v>0</v>
      </c>
      <c r="Q38" t="n">
        <v>0</v>
      </c>
      <c r="R38" s="2" t="inlineStr"/>
    </row>
    <row r="39" ht="15" customHeight="1">
      <c r="A39" t="inlineStr">
        <is>
          <t>A 19303-2024</t>
        </is>
      </c>
      <c r="B39" s="1" t="n">
        <v>45428.70386574074</v>
      </c>
      <c r="C39" s="1" t="n">
        <v>45915</v>
      </c>
      <c r="D39" t="inlineStr">
        <is>
          <t>UPPSALA LÄN</t>
        </is>
      </c>
      <c r="E39" t="inlineStr">
        <is>
          <t>ÄLVKARLEBY</t>
        </is>
      </c>
      <c r="G39" t="n">
        <v>0.4</v>
      </c>
      <c r="H39" t="n">
        <v>0</v>
      </c>
      <c r="I39" t="n">
        <v>0</v>
      </c>
      <c r="J39" t="n">
        <v>0</v>
      </c>
      <c r="K39" t="n">
        <v>0</v>
      </c>
      <c r="L39" t="n">
        <v>0</v>
      </c>
      <c r="M39" t="n">
        <v>0</v>
      </c>
      <c r="N39" t="n">
        <v>0</v>
      </c>
      <c r="O39" t="n">
        <v>0</v>
      </c>
      <c r="P39" t="n">
        <v>0</v>
      </c>
      <c r="Q39" t="n">
        <v>0</v>
      </c>
      <c r="R39" s="2" t="inlineStr"/>
    </row>
    <row r="40" ht="15" customHeight="1">
      <c r="A40" t="inlineStr">
        <is>
          <t>A 19304-2024</t>
        </is>
      </c>
      <c r="B40" s="1" t="n">
        <v>45428</v>
      </c>
      <c r="C40" s="1" t="n">
        <v>45915</v>
      </c>
      <c r="D40" t="inlineStr">
        <is>
          <t>UPPSALA LÄN</t>
        </is>
      </c>
      <c r="E40" t="inlineStr">
        <is>
          <t>ÄLVKARLEBY</t>
        </is>
      </c>
      <c r="G40" t="n">
        <v>0.2</v>
      </c>
      <c r="H40" t="n">
        <v>0</v>
      </c>
      <c r="I40" t="n">
        <v>0</v>
      </c>
      <c r="J40" t="n">
        <v>0</v>
      </c>
      <c r="K40" t="n">
        <v>0</v>
      </c>
      <c r="L40" t="n">
        <v>0</v>
      </c>
      <c r="M40" t="n">
        <v>0</v>
      </c>
      <c r="N40" t="n">
        <v>0</v>
      </c>
      <c r="O40" t="n">
        <v>0</v>
      </c>
      <c r="P40" t="n">
        <v>0</v>
      </c>
      <c r="Q40" t="n">
        <v>0</v>
      </c>
      <c r="R40" s="2" t="inlineStr"/>
    </row>
    <row r="41" ht="15" customHeight="1">
      <c r="A41" t="inlineStr">
        <is>
          <t>A 24593-2025</t>
        </is>
      </c>
      <c r="B41" s="1" t="n">
        <v>45798</v>
      </c>
      <c r="C41" s="1" t="n">
        <v>45915</v>
      </c>
      <c r="D41" t="inlineStr">
        <is>
          <t>UPPSALA LÄN</t>
        </is>
      </c>
      <c r="E41" t="inlineStr">
        <is>
          <t>ÄLVKARLEBY</t>
        </is>
      </c>
      <c r="F41" t="inlineStr">
        <is>
          <t>Bergvik skog väst AB</t>
        </is>
      </c>
      <c r="G41" t="n">
        <v>0.6</v>
      </c>
      <c r="H41" t="n">
        <v>0</v>
      </c>
      <c r="I41" t="n">
        <v>0</v>
      </c>
      <c r="J41" t="n">
        <v>0</v>
      </c>
      <c r="K41" t="n">
        <v>0</v>
      </c>
      <c r="L41" t="n">
        <v>0</v>
      </c>
      <c r="M41" t="n">
        <v>0</v>
      </c>
      <c r="N41" t="n">
        <v>0</v>
      </c>
      <c r="O41" t="n">
        <v>0</v>
      </c>
      <c r="P41" t="n">
        <v>0</v>
      </c>
      <c r="Q41" t="n">
        <v>0</v>
      </c>
      <c r="R41" s="2" t="inlineStr"/>
    </row>
    <row r="42" ht="15" customHeight="1">
      <c r="A42" t="inlineStr">
        <is>
          <t>A 24591-2025</t>
        </is>
      </c>
      <c r="B42" s="1" t="n">
        <v>45798.53666666667</v>
      </c>
      <c r="C42" s="1" t="n">
        <v>45915</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24592-2025</t>
        </is>
      </c>
      <c r="B43" s="1" t="n">
        <v>45798.54337962963</v>
      </c>
      <c r="C43" s="1" t="n">
        <v>45915</v>
      </c>
      <c r="D43" t="inlineStr">
        <is>
          <t>UPPSALA LÄN</t>
        </is>
      </c>
      <c r="E43" t="inlineStr">
        <is>
          <t>ÄLVKARLEBY</t>
        </is>
      </c>
      <c r="F43" t="inlineStr">
        <is>
          <t>Bergvik skog väst AB</t>
        </is>
      </c>
      <c r="G43" t="n">
        <v>2.5</v>
      </c>
      <c r="H43" t="n">
        <v>0</v>
      </c>
      <c r="I43" t="n">
        <v>0</v>
      </c>
      <c r="J43" t="n">
        <v>0</v>
      </c>
      <c r="K43" t="n">
        <v>0</v>
      </c>
      <c r="L43" t="n">
        <v>0</v>
      </c>
      <c r="M43" t="n">
        <v>0</v>
      </c>
      <c r="N43" t="n">
        <v>0</v>
      </c>
      <c r="O43" t="n">
        <v>0</v>
      </c>
      <c r="P43" t="n">
        <v>0</v>
      </c>
      <c r="Q43" t="n">
        <v>0</v>
      </c>
      <c r="R43" s="2" t="inlineStr"/>
    </row>
    <row r="44" ht="15" customHeight="1">
      <c r="A44" t="inlineStr">
        <is>
          <t>A 25330-2025</t>
        </is>
      </c>
      <c r="B44" s="1" t="n">
        <v>45800.59114583334</v>
      </c>
      <c r="C44" s="1" t="n">
        <v>45915</v>
      </c>
      <c r="D44" t="inlineStr">
        <is>
          <t>UPPSALA LÄN</t>
        </is>
      </c>
      <c r="E44" t="inlineStr">
        <is>
          <t>ÄLVKARLEBY</t>
        </is>
      </c>
      <c r="F44" t="inlineStr">
        <is>
          <t>Bergvik skog väst AB</t>
        </is>
      </c>
      <c r="G44" t="n">
        <v>5</v>
      </c>
      <c r="H44" t="n">
        <v>0</v>
      </c>
      <c r="I44" t="n">
        <v>0</v>
      </c>
      <c r="J44" t="n">
        <v>0</v>
      </c>
      <c r="K44" t="n">
        <v>0</v>
      </c>
      <c r="L44" t="n">
        <v>0</v>
      </c>
      <c r="M44" t="n">
        <v>0</v>
      </c>
      <c r="N44" t="n">
        <v>0</v>
      </c>
      <c r="O44" t="n">
        <v>0</v>
      </c>
      <c r="P44" t="n">
        <v>0</v>
      </c>
      <c r="Q44" t="n">
        <v>0</v>
      </c>
      <c r="R44" s="2" t="inlineStr"/>
    </row>
    <row r="45" ht="15" customHeight="1">
      <c r="A45" t="inlineStr">
        <is>
          <t>A 25264-2025</t>
        </is>
      </c>
      <c r="B45" s="1" t="n">
        <v>45800.5334375</v>
      </c>
      <c r="C45" s="1" t="n">
        <v>45915</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45915</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45915</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26670-2025</t>
        </is>
      </c>
      <c r="B48" s="1" t="n">
        <v>45810.41489583333</v>
      </c>
      <c r="C48" s="1" t="n">
        <v>45915</v>
      </c>
      <c r="D48" t="inlineStr">
        <is>
          <t>UPPSALA LÄN</t>
        </is>
      </c>
      <c r="E48" t="inlineStr">
        <is>
          <t>ÄLVKARLEBY</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26668-2025</t>
        </is>
      </c>
      <c r="B49" s="1" t="n">
        <v>45810.41017361111</v>
      </c>
      <c r="C49" s="1" t="n">
        <v>45915</v>
      </c>
      <c r="D49" t="inlineStr">
        <is>
          <t>UPPSALA LÄN</t>
        </is>
      </c>
      <c r="E49" t="inlineStr">
        <is>
          <t>ÄLVKARLEBY</t>
        </is>
      </c>
      <c r="F49" t="inlineStr">
        <is>
          <t>Bergvik skog väst AB</t>
        </is>
      </c>
      <c r="G49" t="n">
        <v>2.6</v>
      </c>
      <c r="H49" t="n">
        <v>0</v>
      </c>
      <c r="I49" t="n">
        <v>0</v>
      </c>
      <c r="J49" t="n">
        <v>0</v>
      </c>
      <c r="K49" t="n">
        <v>0</v>
      </c>
      <c r="L49" t="n">
        <v>0</v>
      </c>
      <c r="M49" t="n">
        <v>0</v>
      </c>
      <c r="N49" t="n">
        <v>0</v>
      </c>
      <c r="O49" t="n">
        <v>0</v>
      </c>
      <c r="P49" t="n">
        <v>0</v>
      </c>
      <c r="Q49" t="n">
        <v>0</v>
      </c>
      <c r="R49" s="2" t="inlineStr"/>
    </row>
    <row r="50" ht="15" customHeight="1">
      <c r="A50" t="inlineStr">
        <is>
          <t>A 27330-2025</t>
        </is>
      </c>
      <c r="B50" s="1" t="n">
        <v>45812.60934027778</v>
      </c>
      <c r="C50" s="1" t="n">
        <v>45915</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11553-2021</t>
        </is>
      </c>
      <c r="B51" s="1" t="n">
        <v>44264.48725694444</v>
      </c>
      <c r="C51" s="1" t="n">
        <v>45915</v>
      </c>
      <c r="D51" t="inlineStr">
        <is>
          <t>UPPSALA LÄN</t>
        </is>
      </c>
      <c r="E51" t="inlineStr">
        <is>
          <t>ÄLVKARLEBY</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45372-2024</t>
        </is>
      </c>
      <c r="B52" s="1" t="n">
        <v>45576.51116898148</v>
      </c>
      <c r="C52" s="1" t="n">
        <v>45915</v>
      </c>
      <c r="D52" t="inlineStr">
        <is>
          <t>UPPSALA LÄN</t>
        </is>
      </c>
      <c r="E52" t="inlineStr">
        <is>
          <t>ÄLVKARLEBY</t>
        </is>
      </c>
      <c r="F52" t="inlineStr">
        <is>
          <t>Bergvik skog väst AB</t>
        </is>
      </c>
      <c r="G52" t="n">
        <v>3.4</v>
      </c>
      <c r="H52" t="n">
        <v>0</v>
      </c>
      <c r="I52" t="n">
        <v>0</v>
      </c>
      <c r="J52" t="n">
        <v>0</v>
      </c>
      <c r="K52" t="n">
        <v>0</v>
      </c>
      <c r="L52" t="n">
        <v>0</v>
      </c>
      <c r="M52" t="n">
        <v>0</v>
      </c>
      <c r="N52" t="n">
        <v>0</v>
      </c>
      <c r="O52" t="n">
        <v>0</v>
      </c>
      <c r="P52" t="n">
        <v>0</v>
      </c>
      <c r="Q52" t="n">
        <v>0</v>
      </c>
      <c r="R52" s="2" t="inlineStr"/>
    </row>
    <row r="53" ht="15" customHeight="1">
      <c r="A53" t="inlineStr">
        <is>
          <t>A 27743-2025</t>
        </is>
      </c>
      <c r="B53" s="1" t="n">
        <v>45815.53981481482</v>
      </c>
      <c r="C53" s="1" t="n">
        <v>45915</v>
      </c>
      <c r="D53" t="inlineStr">
        <is>
          <t>UPPSALA LÄN</t>
        </is>
      </c>
      <c r="E53" t="inlineStr">
        <is>
          <t>ÄLVKARLEBY</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27742-2025</t>
        </is>
      </c>
      <c r="B54" s="1" t="n">
        <v>45815.53724537037</v>
      </c>
      <c r="C54" s="1" t="n">
        <v>45915</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27741-2025</t>
        </is>
      </c>
      <c r="B55" s="1" t="n">
        <v>45815.5346875</v>
      </c>
      <c r="C55" s="1" t="n">
        <v>45915</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43285-2023</t>
        </is>
      </c>
      <c r="B56" s="1" t="n">
        <v>45183.5630787037</v>
      </c>
      <c r="C56" s="1" t="n">
        <v>45915</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3950-2025</t>
        </is>
      </c>
      <c r="B57" s="1" t="n">
        <v>45684</v>
      </c>
      <c r="C57" s="1" t="n">
        <v>45915</v>
      </c>
      <c r="D57" t="inlineStr">
        <is>
          <t>UPPSALA LÄN</t>
        </is>
      </c>
      <c r="E57" t="inlineStr">
        <is>
          <t>ÄLVKARLEBY</t>
        </is>
      </c>
      <c r="G57" t="n">
        <v>3.1</v>
      </c>
      <c r="H57" t="n">
        <v>0</v>
      </c>
      <c r="I57" t="n">
        <v>0</v>
      </c>
      <c r="J57" t="n">
        <v>0</v>
      </c>
      <c r="K57" t="n">
        <v>0</v>
      </c>
      <c r="L57" t="n">
        <v>0</v>
      </c>
      <c r="M57" t="n">
        <v>0</v>
      </c>
      <c r="N57" t="n">
        <v>0</v>
      </c>
      <c r="O57" t="n">
        <v>0</v>
      </c>
      <c r="P57" t="n">
        <v>0</v>
      </c>
      <c r="Q57" t="n">
        <v>0</v>
      </c>
      <c r="R57" s="2" t="inlineStr"/>
    </row>
    <row r="58" ht="15" customHeight="1">
      <c r="A58" t="inlineStr">
        <is>
          <t>A 28670-2025</t>
        </is>
      </c>
      <c r="B58" s="1" t="n">
        <v>45819.67130787037</v>
      </c>
      <c r="C58" s="1" t="n">
        <v>45915</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16990-2022</t>
        </is>
      </c>
      <c r="B59" s="1" t="n">
        <v>44676.6122337963</v>
      </c>
      <c r="C59" s="1" t="n">
        <v>45915</v>
      </c>
      <c r="D59" t="inlineStr">
        <is>
          <t>UPPSALA LÄN</t>
        </is>
      </c>
      <c r="E59" t="inlineStr">
        <is>
          <t>ÄLVKARLEBY</t>
        </is>
      </c>
      <c r="F59" t="inlineStr">
        <is>
          <t>Bergvik skog väst AB</t>
        </is>
      </c>
      <c r="G59" t="n">
        <v>2.6</v>
      </c>
      <c r="H59" t="n">
        <v>0</v>
      </c>
      <c r="I59" t="n">
        <v>0</v>
      </c>
      <c r="J59" t="n">
        <v>0</v>
      </c>
      <c r="K59" t="n">
        <v>0</v>
      </c>
      <c r="L59" t="n">
        <v>0</v>
      </c>
      <c r="M59" t="n">
        <v>0</v>
      </c>
      <c r="N59" t="n">
        <v>0</v>
      </c>
      <c r="O59" t="n">
        <v>0</v>
      </c>
      <c r="P59" t="n">
        <v>0</v>
      </c>
      <c r="Q59" t="n">
        <v>0</v>
      </c>
      <c r="R59" s="2" t="inlineStr"/>
    </row>
    <row r="60" ht="15" customHeight="1">
      <c r="A60" t="inlineStr">
        <is>
          <t>A 28668-2025</t>
        </is>
      </c>
      <c r="B60" s="1" t="n">
        <v>45819.66650462963</v>
      </c>
      <c r="C60" s="1" t="n">
        <v>45915</v>
      </c>
      <c r="D60" t="inlineStr">
        <is>
          <t>UPPSALA LÄN</t>
        </is>
      </c>
      <c r="E60" t="inlineStr">
        <is>
          <t>ÄLVKARLEBY</t>
        </is>
      </c>
      <c r="F60" t="inlineStr">
        <is>
          <t>Bergvik skog väst AB</t>
        </is>
      </c>
      <c r="G60" t="n">
        <v>8.300000000000001</v>
      </c>
      <c r="H60" t="n">
        <v>0</v>
      </c>
      <c r="I60" t="n">
        <v>0</v>
      </c>
      <c r="J60" t="n">
        <v>0</v>
      </c>
      <c r="K60" t="n">
        <v>0</v>
      </c>
      <c r="L60" t="n">
        <v>0</v>
      </c>
      <c r="M60" t="n">
        <v>0</v>
      </c>
      <c r="N60" t="n">
        <v>0</v>
      </c>
      <c r="O60" t="n">
        <v>0</v>
      </c>
      <c r="P60" t="n">
        <v>0</v>
      </c>
      <c r="Q60" t="n">
        <v>0</v>
      </c>
      <c r="R60" s="2" t="inlineStr"/>
    </row>
    <row r="61" ht="15" customHeight="1">
      <c r="A61" t="inlineStr">
        <is>
          <t>A 8030-2025</t>
        </is>
      </c>
      <c r="B61" s="1" t="n">
        <v>45707.59064814815</v>
      </c>
      <c r="C61" s="1" t="n">
        <v>45915</v>
      </c>
      <c r="D61" t="inlineStr">
        <is>
          <t>UPPSALA LÄN</t>
        </is>
      </c>
      <c r="E61" t="inlineStr">
        <is>
          <t>ÄLVKARLEBY</t>
        </is>
      </c>
      <c r="F61" t="inlineStr">
        <is>
          <t>Bergvik skog väst AB</t>
        </is>
      </c>
      <c r="G61" t="n">
        <v>3.6</v>
      </c>
      <c r="H61" t="n">
        <v>0</v>
      </c>
      <c r="I61" t="n">
        <v>0</v>
      </c>
      <c r="J61" t="n">
        <v>0</v>
      </c>
      <c r="K61" t="n">
        <v>0</v>
      </c>
      <c r="L61" t="n">
        <v>0</v>
      </c>
      <c r="M61" t="n">
        <v>0</v>
      </c>
      <c r="N61" t="n">
        <v>0</v>
      </c>
      <c r="O61" t="n">
        <v>0</v>
      </c>
      <c r="P61" t="n">
        <v>0</v>
      </c>
      <c r="Q61" t="n">
        <v>0</v>
      </c>
      <c r="R61" s="2" t="inlineStr"/>
    </row>
    <row r="62" ht="15" customHeight="1">
      <c r="A62" t="inlineStr">
        <is>
          <t>A 30483-2025</t>
        </is>
      </c>
      <c r="B62" s="1" t="n">
        <v>45828.68988425926</v>
      </c>
      <c r="C62" s="1" t="n">
        <v>45915</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45915</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30936-2025</t>
        </is>
      </c>
      <c r="B64" s="1" t="n">
        <v>45832.40586805555</v>
      </c>
      <c r="C64" s="1" t="n">
        <v>45915</v>
      </c>
      <c r="D64" t="inlineStr">
        <is>
          <t>UPPSALA LÄN</t>
        </is>
      </c>
      <c r="E64" t="inlineStr">
        <is>
          <t>ÄLVKARLEBY</t>
        </is>
      </c>
      <c r="F64" t="inlineStr">
        <is>
          <t>Bergvik skog öst AB</t>
        </is>
      </c>
      <c r="G64" t="n">
        <v>7.2</v>
      </c>
      <c r="H64" t="n">
        <v>0</v>
      </c>
      <c r="I64" t="n">
        <v>0</v>
      </c>
      <c r="J64" t="n">
        <v>0</v>
      </c>
      <c r="K64" t="n">
        <v>0</v>
      </c>
      <c r="L64" t="n">
        <v>0</v>
      </c>
      <c r="M64" t="n">
        <v>0</v>
      </c>
      <c r="N64" t="n">
        <v>0</v>
      </c>
      <c r="O64" t="n">
        <v>0</v>
      </c>
      <c r="P64" t="n">
        <v>0</v>
      </c>
      <c r="Q64" t="n">
        <v>0</v>
      </c>
      <c r="R64" s="2" t="inlineStr"/>
    </row>
    <row r="65" ht="15" customHeight="1">
      <c r="A65" t="inlineStr">
        <is>
          <t>A 32221-2025</t>
        </is>
      </c>
      <c r="B65" s="1" t="n">
        <v>45835.5909837963</v>
      </c>
      <c r="C65" s="1" t="n">
        <v>45915</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45915</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19703-2025</t>
        </is>
      </c>
      <c r="B67" s="1" t="n">
        <v>45771</v>
      </c>
      <c r="C67" s="1" t="n">
        <v>45915</v>
      </c>
      <c r="D67" t="inlineStr">
        <is>
          <t>UPPSALA LÄN</t>
        </is>
      </c>
      <c r="E67" t="inlineStr">
        <is>
          <t>ÄLVKARLEBY</t>
        </is>
      </c>
      <c r="F67" t="inlineStr">
        <is>
          <t>Bergvik skog väst AB</t>
        </is>
      </c>
      <c r="G67" t="n">
        <v>3.8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45915</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32187-2025</t>
        </is>
      </c>
      <c r="B69" s="1" t="n">
        <v>45835.56949074074</v>
      </c>
      <c r="C69" s="1" t="n">
        <v>45915</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32212-2025</t>
        </is>
      </c>
      <c r="B70" s="1" t="n">
        <v>45835.58509259259</v>
      </c>
      <c r="C70" s="1" t="n">
        <v>45915</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46113-2023</t>
        </is>
      </c>
      <c r="B71" s="1" t="n">
        <v>45196.54938657407</v>
      </c>
      <c r="C71" s="1" t="n">
        <v>45915</v>
      </c>
      <c r="D71" t="inlineStr">
        <is>
          <t>UPPSALA LÄN</t>
        </is>
      </c>
      <c r="E71" t="inlineStr">
        <is>
          <t>ÄLVKARLEBY</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50409-2020</t>
        </is>
      </c>
      <c r="B72" s="1" t="n">
        <v>44110</v>
      </c>
      <c r="C72" s="1" t="n">
        <v>45915</v>
      </c>
      <c r="D72" t="inlineStr">
        <is>
          <t>UPPSALA LÄN</t>
        </is>
      </c>
      <c r="E72" t="inlineStr">
        <is>
          <t>ÄLVKARLEBY</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967-2021</t>
        </is>
      </c>
      <c r="B73" s="1" t="n">
        <v>44207</v>
      </c>
      <c r="C73" s="1" t="n">
        <v>45915</v>
      </c>
      <c r="D73" t="inlineStr">
        <is>
          <t>UPPSALA LÄN</t>
        </is>
      </c>
      <c r="E73" t="inlineStr">
        <is>
          <t>ÄLVKARLEBY</t>
        </is>
      </c>
      <c r="G73" t="n">
        <v>0.7</v>
      </c>
      <c r="H73" t="n">
        <v>0</v>
      </c>
      <c r="I73" t="n">
        <v>0</v>
      </c>
      <c r="J73" t="n">
        <v>0</v>
      </c>
      <c r="K73" t="n">
        <v>0</v>
      </c>
      <c r="L73" t="n">
        <v>0</v>
      </c>
      <c r="M73" t="n">
        <v>0</v>
      </c>
      <c r="N73" t="n">
        <v>0</v>
      </c>
      <c r="O73" t="n">
        <v>0</v>
      </c>
      <c r="P73" t="n">
        <v>0</v>
      </c>
      <c r="Q73" t="n">
        <v>0</v>
      </c>
      <c r="R73" s="2" t="inlineStr"/>
    </row>
    <row r="74" ht="15" customHeight="1">
      <c r="A74" t="inlineStr">
        <is>
          <t>A 14004-2025</t>
        </is>
      </c>
      <c r="B74" s="1" t="n">
        <v>45740.2997337963</v>
      </c>
      <c r="C74" s="1" t="n">
        <v>45915</v>
      </c>
      <c r="D74" t="inlineStr">
        <is>
          <t>UPPSALA LÄN</t>
        </is>
      </c>
      <c r="E74" t="inlineStr">
        <is>
          <t>ÄLVKARLEBY</t>
        </is>
      </c>
      <c r="F74" t="inlineStr">
        <is>
          <t>Bergvik skog öst AB</t>
        </is>
      </c>
      <c r="G74" t="n">
        <v>10.1</v>
      </c>
      <c r="H74" t="n">
        <v>0</v>
      </c>
      <c r="I74" t="n">
        <v>0</v>
      </c>
      <c r="J74" t="n">
        <v>0</v>
      </c>
      <c r="K74" t="n">
        <v>0</v>
      </c>
      <c r="L74" t="n">
        <v>0</v>
      </c>
      <c r="M74" t="n">
        <v>0</v>
      </c>
      <c r="N74" t="n">
        <v>0</v>
      </c>
      <c r="O74" t="n">
        <v>0</v>
      </c>
      <c r="P74" t="n">
        <v>0</v>
      </c>
      <c r="Q74" t="n">
        <v>0</v>
      </c>
      <c r="R74" s="2" t="inlineStr"/>
    </row>
    <row r="75" ht="15" customHeight="1">
      <c r="A75" t="inlineStr">
        <is>
          <t>A 8031-2025</t>
        </is>
      </c>
      <c r="B75" s="1" t="n">
        <v>45707.59112268518</v>
      </c>
      <c r="C75" s="1" t="n">
        <v>45915</v>
      </c>
      <c r="D75" t="inlineStr">
        <is>
          <t>UPPSALA LÄN</t>
        </is>
      </c>
      <c r="E75" t="inlineStr">
        <is>
          <t>ÄLVKARLEBY</t>
        </is>
      </c>
      <c r="F75" t="inlineStr">
        <is>
          <t>Bergvik skog väst AB</t>
        </is>
      </c>
      <c r="G75" t="n">
        <v>4</v>
      </c>
      <c r="H75" t="n">
        <v>0</v>
      </c>
      <c r="I75" t="n">
        <v>0</v>
      </c>
      <c r="J75" t="n">
        <v>0</v>
      </c>
      <c r="K75" t="n">
        <v>0</v>
      </c>
      <c r="L75" t="n">
        <v>0</v>
      </c>
      <c r="M75" t="n">
        <v>0</v>
      </c>
      <c r="N75" t="n">
        <v>0</v>
      </c>
      <c r="O75" t="n">
        <v>0</v>
      </c>
      <c r="P75" t="n">
        <v>0</v>
      </c>
      <c r="Q75" t="n">
        <v>0</v>
      </c>
      <c r="R75" s="2" t="inlineStr"/>
    </row>
    <row r="76" ht="15" customHeight="1">
      <c r="A76" t="inlineStr">
        <is>
          <t>A 7286-2023</t>
        </is>
      </c>
      <c r="B76" s="1" t="n">
        <v>44970</v>
      </c>
      <c r="C76" s="1" t="n">
        <v>45915</v>
      </c>
      <c r="D76" t="inlineStr">
        <is>
          <t>UPPSALA LÄN</t>
        </is>
      </c>
      <c r="E76" t="inlineStr">
        <is>
          <t>ÄLVKARLEBY</t>
        </is>
      </c>
      <c r="F76" t="inlineStr">
        <is>
          <t>Bergvik skog väst AB</t>
        </is>
      </c>
      <c r="G76" t="n">
        <v>2.5</v>
      </c>
      <c r="H76" t="n">
        <v>0</v>
      </c>
      <c r="I76" t="n">
        <v>0</v>
      </c>
      <c r="J76" t="n">
        <v>0</v>
      </c>
      <c r="K76" t="n">
        <v>0</v>
      </c>
      <c r="L76" t="n">
        <v>0</v>
      </c>
      <c r="M76" t="n">
        <v>0</v>
      </c>
      <c r="N76" t="n">
        <v>0</v>
      </c>
      <c r="O76" t="n">
        <v>0</v>
      </c>
      <c r="P76" t="n">
        <v>0</v>
      </c>
      <c r="Q76" t="n">
        <v>0</v>
      </c>
      <c r="R76" s="2" t="inlineStr"/>
    </row>
    <row r="77" ht="15" customHeight="1">
      <c r="A77" t="inlineStr">
        <is>
          <t>A 26815-2022</t>
        </is>
      </c>
      <c r="B77" s="1" t="n">
        <v>44740.44644675926</v>
      </c>
      <c r="C77" s="1" t="n">
        <v>45915</v>
      </c>
      <c r="D77" t="inlineStr">
        <is>
          <t>UPPSALA LÄN</t>
        </is>
      </c>
      <c r="E77" t="inlineStr">
        <is>
          <t>ÄLVKARLEBY</t>
        </is>
      </c>
      <c r="G77" t="n">
        <v>5.8</v>
      </c>
      <c r="H77" t="n">
        <v>0</v>
      </c>
      <c r="I77" t="n">
        <v>0</v>
      </c>
      <c r="J77" t="n">
        <v>0</v>
      </c>
      <c r="K77" t="n">
        <v>0</v>
      </c>
      <c r="L77" t="n">
        <v>0</v>
      </c>
      <c r="M77" t="n">
        <v>0</v>
      </c>
      <c r="N77" t="n">
        <v>0</v>
      </c>
      <c r="O77" t="n">
        <v>0</v>
      </c>
      <c r="P77" t="n">
        <v>0</v>
      </c>
      <c r="Q77" t="n">
        <v>0</v>
      </c>
      <c r="R77" s="2" t="inlineStr"/>
    </row>
    <row r="78" ht="15" customHeight="1">
      <c r="A78" t="inlineStr">
        <is>
          <t>A 19740-2025</t>
        </is>
      </c>
      <c r="B78" s="1" t="n">
        <v>45771</v>
      </c>
      <c r="C78" s="1" t="n">
        <v>45915</v>
      </c>
      <c r="D78" t="inlineStr">
        <is>
          <t>UPPSALA LÄN</t>
        </is>
      </c>
      <c r="E78" t="inlineStr">
        <is>
          <t>ÄLVKARLEBY</t>
        </is>
      </c>
      <c r="F78" t="inlineStr">
        <is>
          <t>Bergvik skog väst AB</t>
        </is>
      </c>
      <c r="G78" t="n">
        <v>0.7</v>
      </c>
      <c r="H78" t="n">
        <v>0</v>
      </c>
      <c r="I78" t="n">
        <v>0</v>
      </c>
      <c r="J78" t="n">
        <v>0</v>
      </c>
      <c r="K78" t="n">
        <v>0</v>
      </c>
      <c r="L78" t="n">
        <v>0</v>
      </c>
      <c r="M78" t="n">
        <v>0</v>
      </c>
      <c r="N78" t="n">
        <v>0</v>
      </c>
      <c r="O78" t="n">
        <v>0</v>
      </c>
      <c r="P78" t="n">
        <v>0</v>
      </c>
      <c r="Q78" t="n">
        <v>0</v>
      </c>
      <c r="R78" s="2" t="inlineStr"/>
    </row>
    <row r="79" ht="15" customHeight="1">
      <c r="A79" t="inlineStr">
        <is>
          <t>A 41979-2024</t>
        </is>
      </c>
      <c r="B79" s="1" t="n">
        <v>45561</v>
      </c>
      <c r="C79" s="1" t="n">
        <v>45915</v>
      </c>
      <c r="D79" t="inlineStr">
        <is>
          <t>UPPSALA LÄN</t>
        </is>
      </c>
      <c r="E79" t="inlineStr">
        <is>
          <t>ÄLVKARLEBY</t>
        </is>
      </c>
      <c r="F79" t="inlineStr">
        <is>
          <t>Bergvik skog väst AB</t>
        </is>
      </c>
      <c r="G79" t="n">
        <v>2.8</v>
      </c>
      <c r="H79" t="n">
        <v>0</v>
      </c>
      <c r="I79" t="n">
        <v>0</v>
      </c>
      <c r="J79" t="n">
        <v>0</v>
      </c>
      <c r="K79" t="n">
        <v>0</v>
      </c>
      <c r="L79" t="n">
        <v>0</v>
      </c>
      <c r="M79" t="n">
        <v>0</v>
      </c>
      <c r="N79" t="n">
        <v>0</v>
      </c>
      <c r="O79" t="n">
        <v>0</v>
      </c>
      <c r="P79" t="n">
        <v>0</v>
      </c>
      <c r="Q79" t="n">
        <v>0</v>
      </c>
      <c r="R79" s="2" t="inlineStr"/>
    </row>
    <row r="80" ht="15" customHeight="1">
      <c r="A80" t="inlineStr">
        <is>
          <t>A 19862-2025</t>
        </is>
      </c>
      <c r="B80" s="1" t="n">
        <v>45771.53560185185</v>
      </c>
      <c r="C80" s="1" t="n">
        <v>45915</v>
      </c>
      <c r="D80" t="inlineStr">
        <is>
          <t>UPPSALA LÄN</t>
        </is>
      </c>
      <c r="E80" t="inlineStr">
        <is>
          <t>ÄLVKARLEBY</t>
        </is>
      </c>
      <c r="F80" t="inlineStr">
        <is>
          <t>Kyrkan</t>
        </is>
      </c>
      <c r="G80" t="n">
        <v>3</v>
      </c>
      <c r="H80" t="n">
        <v>0</v>
      </c>
      <c r="I80" t="n">
        <v>0</v>
      </c>
      <c r="J80" t="n">
        <v>0</v>
      </c>
      <c r="K80" t="n">
        <v>0</v>
      </c>
      <c r="L80" t="n">
        <v>0</v>
      </c>
      <c r="M80" t="n">
        <v>0</v>
      </c>
      <c r="N80" t="n">
        <v>0</v>
      </c>
      <c r="O80" t="n">
        <v>0</v>
      </c>
      <c r="P80" t="n">
        <v>0</v>
      </c>
      <c r="Q80" t="n">
        <v>0</v>
      </c>
      <c r="R80" s="2" t="inlineStr"/>
    </row>
    <row r="81" ht="15" customHeight="1">
      <c r="A81" t="inlineStr">
        <is>
          <t>A 39791-2021</t>
        </is>
      </c>
      <c r="B81" s="1" t="n">
        <v>44417</v>
      </c>
      <c r="C81" s="1" t="n">
        <v>45915</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45915</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41929-2024</t>
        </is>
      </c>
      <c r="B83" s="1" t="n">
        <v>45561</v>
      </c>
      <c r="C83" s="1" t="n">
        <v>45915</v>
      </c>
      <c r="D83" t="inlineStr">
        <is>
          <t>UPPSALA LÄN</t>
        </is>
      </c>
      <c r="E83" t="inlineStr">
        <is>
          <t>ÄLVKARLEBY</t>
        </is>
      </c>
      <c r="F83" t="inlineStr">
        <is>
          <t>Bergvik skog väst AB</t>
        </is>
      </c>
      <c r="G83" t="n">
        <v>4.9</v>
      </c>
      <c r="H83" t="n">
        <v>0</v>
      </c>
      <c r="I83" t="n">
        <v>0</v>
      </c>
      <c r="J83" t="n">
        <v>0</v>
      </c>
      <c r="K83" t="n">
        <v>0</v>
      </c>
      <c r="L83" t="n">
        <v>0</v>
      </c>
      <c r="M83" t="n">
        <v>0</v>
      </c>
      <c r="N83" t="n">
        <v>0</v>
      </c>
      <c r="O83" t="n">
        <v>0</v>
      </c>
      <c r="P83" t="n">
        <v>0</v>
      </c>
      <c r="Q83" t="n">
        <v>0</v>
      </c>
      <c r="R83" s="2" t="inlineStr"/>
    </row>
    <row r="84" ht="15" customHeight="1">
      <c r="A84" t="inlineStr">
        <is>
          <t>A 41847-2025</t>
        </is>
      </c>
      <c r="B84" s="1" t="n">
        <v>45902.75265046296</v>
      </c>
      <c r="C84" s="1" t="n">
        <v>45915</v>
      </c>
      <c r="D84" t="inlineStr">
        <is>
          <t>UPPSALA LÄN</t>
        </is>
      </c>
      <c r="E84" t="inlineStr">
        <is>
          <t>ÄLVKARLEBY</t>
        </is>
      </c>
      <c r="F84" t="inlineStr">
        <is>
          <t>Bergvik skog väst AB</t>
        </is>
      </c>
      <c r="G84" t="n">
        <v>3.6</v>
      </c>
      <c r="H84" t="n">
        <v>0</v>
      </c>
      <c r="I84" t="n">
        <v>0</v>
      </c>
      <c r="J84" t="n">
        <v>0</v>
      </c>
      <c r="K84" t="n">
        <v>0</v>
      </c>
      <c r="L84" t="n">
        <v>0</v>
      </c>
      <c r="M84" t="n">
        <v>0</v>
      </c>
      <c r="N84" t="n">
        <v>0</v>
      </c>
      <c r="O84" t="n">
        <v>0</v>
      </c>
      <c r="P84" t="n">
        <v>0</v>
      </c>
      <c r="Q84" t="n">
        <v>0</v>
      </c>
      <c r="R84" s="2" t="inlineStr"/>
    </row>
    <row r="85" ht="15" customHeight="1">
      <c r="A85" t="inlineStr">
        <is>
          <t>A 41615-2025</t>
        </is>
      </c>
      <c r="B85" s="1" t="n">
        <v>45901.69556712963</v>
      </c>
      <c r="C85" s="1" t="n">
        <v>45915</v>
      </c>
      <c r="D85" t="inlineStr">
        <is>
          <t>UPPSALA LÄN</t>
        </is>
      </c>
      <c r="E85" t="inlineStr">
        <is>
          <t>ÄLVKARLEBY</t>
        </is>
      </c>
      <c r="F85" t="inlineStr">
        <is>
          <t>Bergvik skog väst AB</t>
        </is>
      </c>
      <c r="G85" t="n">
        <v>3</v>
      </c>
      <c r="H85" t="n">
        <v>0</v>
      </c>
      <c r="I85" t="n">
        <v>0</v>
      </c>
      <c r="J85" t="n">
        <v>0</v>
      </c>
      <c r="K85" t="n">
        <v>0</v>
      </c>
      <c r="L85" t="n">
        <v>0</v>
      </c>
      <c r="M85" t="n">
        <v>0</v>
      </c>
      <c r="N85" t="n">
        <v>0</v>
      </c>
      <c r="O85" t="n">
        <v>0</v>
      </c>
      <c r="P85" t="n">
        <v>0</v>
      </c>
      <c r="Q85" t="n">
        <v>0</v>
      </c>
      <c r="R85" s="2" t="inlineStr"/>
    </row>
    <row r="86" ht="15" customHeight="1">
      <c r="A86" t="inlineStr">
        <is>
          <t>A 26664-2025</t>
        </is>
      </c>
      <c r="B86" s="1" t="n">
        <v>45810</v>
      </c>
      <c r="C86" s="1" t="n">
        <v>45915</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18451-2025</t>
        </is>
      </c>
      <c r="B87" s="1" t="n">
        <v>45762</v>
      </c>
      <c r="C87" s="1" t="n">
        <v>45915</v>
      </c>
      <c r="D87" t="inlineStr">
        <is>
          <t>UPPSALA LÄN</t>
        </is>
      </c>
      <c r="E87" t="inlineStr">
        <is>
          <t>ÄLVKARLEBY</t>
        </is>
      </c>
      <c r="F87" t="inlineStr">
        <is>
          <t>Bergvik skog väst AB</t>
        </is>
      </c>
      <c r="G87" t="n">
        <v>1.2</v>
      </c>
      <c r="H87" t="n">
        <v>0</v>
      </c>
      <c r="I87" t="n">
        <v>0</v>
      </c>
      <c r="J87" t="n">
        <v>0</v>
      </c>
      <c r="K87" t="n">
        <v>0</v>
      </c>
      <c r="L87" t="n">
        <v>0</v>
      </c>
      <c r="M87" t="n">
        <v>0</v>
      </c>
      <c r="N87" t="n">
        <v>0</v>
      </c>
      <c r="O87" t="n">
        <v>0</v>
      </c>
      <c r="P87" t="n">
        <v>0</v>
      </c>
      <c r="Q87" t="n">
        <v>0</v>
      </c>
      <c r="R87" s="2" t="inlineStr"/>
    </row>
    <row r="88" ht="15" customHeight="1">
      <c r="A88" t="inlineStr">
        <is>
          <t>A 36626-2025</t>
        </is>
      </c>
      <c r="B88" s="1" t="n">
        <v>45870.66732638889</v>
      </c>
      <c r="C88" s="1" t="n">
        <v>45915</v>
      </c>
      <c r="D88" t="inlineStr">
        <is>
          <t>UPPSALA LÄN</t>
        </is>
      </c>
      <c r="E88" t="inlineStr">
        <is>
          <t>ÄLVKARLEBY</t>
        </is>
      </c>
      <c r="F88" t="inlineStr">
        <is>
          <t>Bergvik skog väst AB</t>
        </is>
      </c>
      <c r="G88" t="n">
        <v>2.7</v>
      </c>
      <c r="H88" t="n">
        <v>0</v>
      </c>
      <c r="I88" t="n">
        <v>0</v>
      </c>
      <c r="J88" t="n">
        <v>0</v>
      </c>
      <c r="K88" t="n">
        <v>0</v>
      </c>
      <c r="L88" t="n">
        <v>0</v>
      </c>
      <c r="M88" t="n">
        <v>0</v>
      </c>
      <c r="N88" t="n">
        <v>0</v>
      </c>
      <c r="O88" t="n">
        <v>0</v>
      </c>
      <c r="P88" t="n">
        <v>0</v>
      </c>
      <c r="Q88" t="n">
        <v>0</v>
      </c>
      <c r="R88" s="2" t="inlineStr"/>
    </row>
    <row r="89" ht="15" customHeight="1">
      <c r="A89" t="inlineStr">
        <is>
          <t>A 43662-2025</t>
        </is>
      </c>
      <c r="B89" s="1" t="n">
        <v>45912.34446759259</v>
      </c>
      <c r="C89" s="1" t="n">
        <v>45915</v>
      </c>
      <c r="D89" t="inlineStr">
        <is>
          <t>UPPSALA LÄN</t>
        </is>
      </c>
      <c r="E89" t="inlineStr">
        <is>
          <t>ÄLVKARLEBY</t>
        </is>
      </c>
      <c r="F89" t="inlineStr">
        <is>
          <t>Kyrkan</t>
        </is>
      </c>
      <c r="G89" t="n">
        <v>4.5</v>
      </c>
      <c r="H89" t="n">
        <v>0</v>
      </c>
      <c r="I89" t="n">
        <v>0</v>
      </c>
      <c r="J89" t="n">
        <v>0</v>
      </c>
      <c r="K89" t="n">
        <v>0</v>
      </c>
      <c r="L89" t="n">
        <v>0</v>
      </c>
      <c r="M89" t="n">
        <v>0</v>
      </c>
      <c r="N89" t="n">
        <v>0</v>
      </c>
      <c r="O89" t="n">
        <v>0</v>
      </c>
      <c r="P89" t="n">
        <v>0</v>
      </c>
      <c r="Q89" t="n">
        <v>0</v>
      </c>
      <c r="R89" s="2" t="inlineStr"/>
    </row>
    <row r="90" ht="15" customHeight="1">
      <c r="A90" t="inlineStr">
        <is>
          <t>A 43577-2025</t>
        </is>
      </c>
      <c r="B90" s="1" t="n">
        <v>45911.64219907407</v>
      </c>
      <c r="C90" s="1" t="n">
        <v>45915</v>
      </c>
      <c r="D90" t="inlineStr">
        <is>
          <t>UPPSALA LÄN</t>
        </is>
      </c>
      <c r="E90" t="inlineStr">
        <is>
          <t>ÄLVKARLEBY</t>
        </is>
      </c>
      <c r="F90" t="inlineStr">
        <is>
          <t>Bergvik skog väst AB</t>
        </is>
      </c>
      <c r="G90" t="n">
        <v>3</v>
      </c>
      <c r="H90" t="n">
        <v>0</v>
      </c>
      <c r="I90" t="n">
        <v>0</v>
      </c>
      <c r="J90" t="n">
        <v>0</v>
      </c>
      <c r="K90" t="n">
        <v>0</v>
      </c>
      <c r="L90" t="n">
        <v>0</v>
      </c>
      <c r="M90" t="n">
        <v>0</v>
      </c>
      <c r="N90" t="n">
        <v>0</v>
      </c>
      <c r="O90" t="n">
        <v>0</v>
      </c>
      <c r="P90" t="n">
        <v>0</v>
      </c>
      <c r="Q90" t="n">
        <v>0</v>
      </c>
      <c r="R90" s="2" t="inlineStr"/>
    </row>
    <row r="91">
      <c r="A91" t="inlineStr">
        <is>
          <t>A 14590-2023</t>
        </is>
      </c>
      <c r="B91" s="1" t="n">
        <v>45013.54621527778</v>
      </c>
      <c r="C91" s="1" t="n">
        <v>45915</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2025-09-15T08:51:50Z</dcterms:created>
  <dcterms:modified xmlns:dcterms="http://purl.org/dc/terms/" xmlns:xsi="http://www.w3.org/2001/XMLSchema-instance" xsi:type="dcterms:W3CDTF">2025-09-15T08:51:50Z</dcterms:modified>
</cp:coreProperties>
</file>