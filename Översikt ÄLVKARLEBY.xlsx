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45734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45734</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45734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45734</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45734</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45734</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45734</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45734</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45734</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45734</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45734</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25724-2023</t>
        </is>
      </c>
      <c r="B13" s="1" t="n">
        <v>45090</v>
      </c>
      <c r="C13" s="1" t="n">
        <v>45734</v>
      </c>
      <c r="D13" t="inlineStr">
        <is>
          <t>UPPSALA LÄN</t>
        </is>
      </c>
      <c r="E13" t="inlineStr">
        <is>
          <t>ÄLVKARLEBY</t>
        </is>
      </c>
      <c r="F13" t="inlineStr">
        <is>
          <t>Bergvik skog väst AB</t>
        </is>
      </c>
      <c r="G13" t="n">
        <v>18.6</v>
      </c>
      <c r="H13" t="n">
        <v>1</v>
      </c>
      <c r="I13" t="n">
        <v>2</v>
      </c>
      <c r="J13" t="n">
        <v>0</v>
      </c>
      <c r="K13" t="n">
        <v>1</v>
      </c>
      <c r="L13" t="n">
        <v>0</v>
      </c>
      <c r="M13" t="n">
        <v>0</v>
      </c>
      <c r="N13" t="n">
        <v>0</v>
      </c>
      <c r="O13" t="n">
        <v>1</v>
      </c>
      <c r="P13" t="n">
        <v>1</v>
      </c>
      <c r="Q13" t="n">
        <v>3</v>
      </c>
      <c r="R13" s="2" t="inlineStr">
        <is>
          <t>Väddnätfjäril
Anisspindling
Tibast</t>
        </is>
      </c>
      <c r="S13">
        <f>HYPERLINK("https://klasma.github.io/Logging_0319/artfynd/A 25724-2023 artfynd.xlsx", "A 25724-2023")</f>
        <v/>
      </c>
      <c r="T13">
        <f>HYPERLINK("https://klasma.github.io/Logging_0319/kartor/A 25724-2023 karta.png", "A 25724-2023")</f>
        <v/>
      </c>
      <c r="V13">
        <f>HYPERLINK("https://klasma.github.io/Logging_0319/klagomål/A 25724-2023 FSC-klagomål.docx", "A 25724-2023")</f>
        <v/>
      </c>
      <c r="W13">
        <f>HYPERLINK("https://klasma.github.io/Logging_0319/klagomålsmail/A 25724-2023 FSC-klagomål mail.docx", "A 25724-2023")</f>
        <v/>
      </c>
      <c r="X13">
        <f>HYPERLINK("https://klasma.github.io/Logging_0319/tillsyn/A 25724-2023 tillsynsbegäran.docx", "A 25724-2023")</f>
        <v/>
      </c>
      <c r="Y13">
        <f>HYPERLINK("https://klasma.github.io/Logging_0319/tillsynsmail/A 25724-2023 tillsynsbegäran mail.docx", "A 25724-2023")</f>
        <v/>
      </c>
    </row>
    <row r="14" ht="15" customHeight="1">
      <c r="A14" t="inlineStr">
        <is>
          <t>A 45895-2023</t>
        </is>
      </c>
      <c r="B14" s="1" t="n">
        <v>45195</v>
      </c>
      <c r="C14" s="1" t="n">
        <v>45734</v>
      </c>
      <c r="D14" t="inlineStr">
        <is>
          <t>UPPSALA LÄN</t>
        </is>
      </c>
      <c r="E14" t="inlineStr">
        <is>
          <t>ÄLVKARLEBY</t>
        </is>
      </c>
      <c r="G14" t="n">
        <v>6.7</v>
      </c>
      <c r="H14" t="n">
        <v>0</v>
      </c>
      <c r="I14" t="n">
        <v>2</v>
      </c>
      <c r="J14" t="n">
        <v>1</v>
      </c>
      <c r="K14" t="n">
        <v>0</v>
      </c>
      <c r="L14" t="n">
        <v>0</v>
      </c>
      <c r="M14" t="n">
        <v>0</v>
      </c>
      <c r="N14" t="n">
        <v>0</v>
      </c>
      <c r="O14" t="n">
        <v>1</v>
      </c>
      <c r="P14" t="n">
        <v>0</v>
      </c>
      <c r="Q14" t="n">
        <v>3</v>
      </c>
      <c r="R14" s="2" t="inlineStr">
        <is>
          <t>Flattoppad klubbsvamp
Sårläka
Trådfräken</t>
        </is>
      </c>
      <c r="S14">
        <f>HYPERLINK("https://klasma.github.io/Logging_0319/artfynd/A 45895-2023 artfynd.xlsx", "A 45895-2023")</f>
        <v/>
      </c>
      <c r="T14">
        <f>HYPERLINK("https://klasma.github.io/Logging_0319/kartor/A 45895-2023 karta.png", "A 45895-2023")</f>
        <v/>
      </c>
      <c r="V14">
        <f>HYPERLINK("https://klasma.github.io/Logging_0319/klagomål/A 45895-2023 FSC-klagomål.docx", "A 45895-2023")</f>
        <v/>
      </c>
      <c r="W14">
        <f>HYPERLINK("https://klasma.github.io/Logging_0319/klagomålsmail/A 45895-2023 FSC-klagomål mail.docx", "A 45895-2023")</f>
        <v/>
      </c>
      <c r="X14">
        <f>HYPERLINK("https://klasma.github.io/Logging_0319/tillsyn/A 45895-2023 tillsynsbegäran.docx", "A 45895-2023")</f>
        <v/>
      </c>
      <c r="Y14">
        <f>HYPERLINK("https://klasma.github.io/Logging_0319/tillsynsmail/A 45895-2023 tillsynsbegäran mail.docx", "A 45895-2023")</f>
        <v/>
      </c>
    </row>
    <row r="15" ht="15" customHeight="1">
      <c r="A15" t="inlineStr">
        <is>
          <t>A 33803-2024</t>
        </is>
      </c>
      <c r="B15" s="1" t="n">
        <v>45520</v>
      </c>
      <c r="C15" s="1" t="n">
        <v>45734</v>
      </c>
      <c r="D15" t="inlineStr">
        <is>
          <t>UPPSALA LÄN</t>
        </is>
      </c>
      <c r="E15" t="inlineStr">
        <is>
          <t>ÄLVKARLEBY</t>
        </is>
      </c>
      <c r="F15" t="inlineStr">
        <is>
          <t>Bergvik skog väst AB</t>
        </is>
      </c>
      <c r="G15" t="n">
        <v>1.6</v>
      </c>
      <c r="H15" t="n">
        <v>0</v>
      </c>
      <c r="I15" t="n">
        <v>3</v>
      </c>
      <c r="J15" t="n">
        <v>0</v>
      </c>
      <c r="K15" t="n">
        <v>0</v>
      </c>
      <c r="L15" t="n">
        <v>0</v>
      </c>
      <c r="M15" t="n">
        <v>0</v>
      </c>
      <c r="N15" t="n">
        <v>0</v>
      </c>
      <c r="O15" t="n">
        <v>0</v>
      </c>
      <c r="P15" t="n">
        <v>0</v>
      </c>
      <c r="Q15" t="n">
        <v>3</v>
      </c>
      <c r="R15" s="2" t="inlineStr">
        <is>
          <t>Bronshjon
Thomsons trägnagare
Tibast</t>
        </is>
      </c>
      <c r="S15">
        <f>HYPERLINK("https://klasma.github.io/Logging_0319/artfynd/A 33803-2024 artfynd.xlsx", "A 33803-2024")</f>
        <v/>
      </c>
      <c r="T15">
        <f>HYPERLINK("https://klasma.github.io/Logging_0319/kartor/A 33803-2024 karta.png", "A 33803-2024")</f>
        <v/>
      </c>
      <c r="V15">
        <f>HYPERLINK("https://klasma.github.io/Logging_0319/klagomål/A 33803-2024 FSC-klagomål.docx", "A 33803-2024")</f>
        <v/>
      </c>
      <c r="W15">
        <f>HYPERLINK("https://klasma.github.io/Logging_0319/klagomålsmail/A 33803-2024 FSC-klagomål mail.docx", "A 33803-2024")</f>
        <v/>
      </c>
      <c r="X15">
        <f>HYPERLINK("https://klasma.github.io/Logging_0319/tillsyn/A 33803-2024 tillsynsbegäran.docx", "A 33803-2024")</f>
        <v/>
      </c>
      <c r="Y15">
        <f>HYPERLINK("https://klasma.github.io/Logging_0319/tillsynsmail/A 33803-2024 tillsynsbegäran mail.docx", "A 33803-2024")</f>
        <v/>
      </c>
    </row>
    <row r="16" ht="15" customHeight="1">
      <c r="A16" t="inlineStr">
        <is>
          <t>A 34798-2024</t>
        </is>
      </c>
      <c r="B16" s="1" t="n">
        <v>45526</v>
      </c>
      <c r="C16" s="1" t="n">
        <v>45734</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55547-2024</t>
        </is>
      </c>
      <c r="B17" s="1" t="n">
        <v>45622</v>
      </c>
      <c r="C17" s="1" t="n">
        <v>45734</v>
      </c>
      <c r="D17" t="inlineStr">
        <is>
          <t>UPPSALA LÄN</t>
        </is>
      </c>
      <c r="E17" t="inlineStr">
        <is>
          <t>ÄLVKARLEBY</t>
        </is>
      </c>
      <c r="F17" t="inlineStr">
        <is>
          <t>Bergvik skog väst AB</t>
        </is>
      </c>
      <c r="G17" t="n">
        <v>0.9</v>
      </c>
      <c r="H17" t="n">
        <v>2</v>
      </c>
      <c r="I17" t="n">
        <v>1</v>
      </c>
      <c r="J17" t="n">
        <v>0</v>
      </c>
      <c r="K17" t="n">
        <v>1</v>
      </c>
      <c r="L17" t="n">
        <v>0</v>
      </c>
      <c r="M17" t="n">
        <v>0</v>
      </c>
      <c r="N17" t="n">
        <v>0</v>
      </c>
      <c r="O17" t="n">
        <v>1</v>
      </c>
      <c r="P17" t="n">
        <v>1</v>
      </c>
      <c r="Q17" t="n">
        <v>3</v>
      </c>
      <c r="R17" s="2" t="inlineStr">
        <is>
          <t>Knärot
Vedticka
Sparvuggla</t>
        </is>
      </c>
      <c r="S17">
        <f>HYPERLINK("https://klasma.github.io/Logging_0319/artfynd/A 55547-2024 artfynd.xlsx", "A 55547-2024")</f>
        <v/>
      </c>
      <c r="T17">
        <f>HYPERLINK("https://klasma.github.io/Logging_0319/kartor/A 55547-2024 karta.png", "A 55547-2024")</f>
        <v/>
      </c>
      <c r="U17">
        <f>HYPERLINK("https://klasma.github.io/Logging_0319/knärot/A 55547-2024 karta knärot.png", "A 55547-2024")</f>
        <v/>
      </c>
      <c r="V17">
        <f>HYPERLINK("https://klasma.github.io/Logging_0319/klagomål/A 55547-2024 FSC-klagomål.docx", "A 55547-2024")</f>
        <v/>
      </c>
      <c r="W17">
        <f>HYPERLINK("https://klasma.github.io/Logging_0319/klagomålsmail/A 55547-2024 FSC-klagomål mail.docx", "A 55547-2024")</f>
        <v/>
      </c>
      <c r="X17">
        <f>HYPERLINK("https://klasma.github.io/Logging_0319/tillsyn/A 55547-2024 tillsynsbegäran.docx", "A 55547-2024")</f>
        <v/>
      </c>
      <c r="Y17">
        <f>HYPERLINK("https://klasma.github.io/Logging_0319/tillsynsmail/A 55547-2024 tillsynsbegäran mail.docx", "A 55547-2024")</f>
        <v/>
      </c>
      <c r="Z17">
        <f>HYPERLINK("https://klasma.github.io/Logging_0319/fåglar/A 55547-2024 prioriterade fågelarter.docx", "A 55547-2024")</f>
        <v/>
      </c>
    </row>
    <row r="18" ht="15" customHeight="1">
      <c r="A18" t="inlineStr">
        <is>
          <t>A 55555-2024</t>
        </is>
      </c>
      <c r="B18" s="1" t="n">
        <v>45622</v>
      </c>
      <c r="C18" s="1" t="n">
        <v>45734</v>
      </c>
      <c r="D18" t="inlineStr">
        <is>
          <t>UPPSALA LÄN</t>
        </is>
      </c>
      <c r="E18" t="inlineStr">
        <is>
          <t>ÄLVKARLEBY</t>
        </is>
      </c>
      <c r="F18" t="inlineStr">
        <is>
          <t>Bergvik skog väst AB</t>
        </is>
      </c>
      <c r="G18" t="n">
        <v>0.7</v>
      </c>
      <c r="H18" t="n">
        <v>1</v>
      </c>
      <c r="I18" t="n">
        <v>0</v>
      </c>
      <c r="J18" t="n">
        <v>1</v>
      </c>
      <c r="K18" t="n">
        <v>1</v>
      </c>
      <c r="L18" t="n">
        <v>1</v>
      </c>
      <c r="M18" t="n">
        <v>0</v>
      </c>
      <c r="N18" t="n">
        <v>0</v>
      </c>
      <c r="O18" t="n">
        <v>3</v>
      </c>
      <c r="P18" t="n">
        <v>2</v>
      </c>
      <c r="Q18" t="n">
        <v>3</v>
      </c>
      <c r="R18" s="2" t="inlineStr">
        <is>
          <t>Skeletocutis jelicii
Knärot
Vedtrappmossa</t>
        </is>
      </c>
      <c r="S18">
        <f>HYPERLINK("https://klasma.github.io/Logging_0319/artfynd/A 55555-2024 artfynd.xlsx", "A 55555-2024")</f>
        <v/>
      </c>
      <c r="T18">
        <f>HYPERLINK("https://klasma.github.io/Logging_0319/kartor/A 55555-2024 karta.png", "A 55555-2024")</f>
        <v/>
      </c>
      <c r="U18">
        <f>HYPERLINK("https://klasma.github.io/Logging_0319/knärot/A 55555-2024 karta knärot.png", "A 55555-2024")</f>
        <v/>
      </c>
      <c r="V18">
        <f>HYPERLINK("https://klasma.github.io/Logging_0319/klagomål/A 55555-2024 FSC-klagomål.docx", "A 55555-2024")</f>
        <v/>
      </c>
      <c r="W18">
        <f>HYPERLINK("https://klasma.github.io/Logging_0319/klagomålsmail/A 55555-2024 FSC-klagomål mail.docx", "A 55555-2024")</f>
        <v/>
      </c>
      <c r="X18">
        <f>HYPERLINK("https://klasma.github.io/Logging_0319/tillsyn/A 55555-2024 tillsynsbegäran.docx", "A 55555-2024")</f>
        <v/>
      </c>
      <c r="Y18">
        <f>HYPERLINK("https://klasma.github.io/Logging_0319/tillsynsmail/A 55555-2024 tillsynsbegäran mail.docx", "A 55555-2024")</f>
        <v/>
      </c>
    </row>
    <row r="19" ht="15" customHeight="1">
      <c r="A19" t="inlineStr">
        <is>
          <t>A 50415-2020</t>
        </is>
      </c>
      <c r="B19" s="1" t="n">
        <v>44110</v>
      </c>
      <c r="C19" s="1" t="n">
        <v>45734</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22025-2021</t>
        </is>
      </c>
      <c r="B20" s="1" t="n">
        <v>44323</v>
      </c>
      <c r="C20" s="1" t="n">
        <v>45734</v>
      </c>
      <c r="D20" t="inlineStr">
        <is>
          <t>UPPSALA LÄN</t>
        </is>
      </c>
      <c r="E20" t="inlineStr">
        <is>
          <t>ÄLVKARLEBY</t>
        </is>
      </c>
      <c r="F20" t="inlineStr">
        <is>
          <t>Bergvik skog väst AB</t>
        </is>
      </c>
      <c r="G20" t="n">
        <v>15.8</v>
      </c>
      <c r="H20" t="n">
        <v>0</v>
      </c>
      <c r="I20" t="n">
        <v>0</v>
      </c>
      <c r="J20" t="n">
        <v>2</v>
      </c>
      <c r="K20" t="n">
        <v>0</v>
      </c>
      <c r="L20" t="n">
        <v>0</v>
      </c>
      <c r="M20" t="n">
        <v>0</v>
      </c>
      <c r="N20" t="n">
        <v>0</v>
      </c>
      <c r="O20" t="n">
        <v>2</v>
      </c>
      <c r="P20" t="n">
        <v>0</v>
      </c>
      <c r="Q20" t="n">
        <v>2</v>
      </c>
      <c r="R20" s="2" t="inlineStr">
        <is>
          <t>Ekticka
Rödbrun blekspik</t>
        </is>
      </c>
      <c r="S20">
        <f>HYPERLINK("https://klasma.github.io/Logging_0319/artfynd/A 22025-2021 artfynd.xlsx", "A 22025-2021")</f>
        <v/>
      </c>
      <c r="T20">
        <f>HYPERLINK("https://klasma.github.io/Logging_0319/kartor/A 22025-2021 karta.png", "A 22025-2021")</f>
        <v/>
      </c>
      <c r="V20">
        <f>HYPERLINK("https://klasma.github.io/Logging_0319/klagomål/A 22025-2021 FSC-klagomål.docx", "A 22025-2021")</f>
        <v/>
      </c>
      <c r="W20">
        <f>HYPERLINK("https://klasma.github.io/Logging_0319/klagomålsmail/A 22025-2021 FSC-klagomål mail.docx", "A 22025-2021")</f>
        <v/>
      </c>
      <c r="X20">
        <f>HYPERLINK("https://klasma.github.io/Logging_0319/tillsyn/A 22025-2021 tillsynsbegäran.docx", "A 22025-2021")</f>
        <v/>
      </c>
      <c r="Y20">
        <f>HYPERLINK("https://klasma.github.io/Logging_0319/tillsynsmail/A 22025-2021 tillsynsbegäran mail.docx", "A 22025-2021")</f>
        <v/>
      </c>
    </row>
    <row r="21" ht="15" customHeight="1">
      <c r="A21" t="inlineStr">
        <is>
          <t>A 70017-2021</t>
        </is>
      </c>
      <c r="B21" s="1" t="n">
        <v>44533</v>
      </c>
      <c r="C21" s="1" t="n">
        <v>45734</v>
      </c>
      <c r="D21" t="inlineStr">
        <is>
          <t>UPPSALA LÄN</t>
        </is>
      </c>
      <c r="E21" t="inlineStr">
        <is>
          <t>ÄLVKARLEBY</t>
        </is>
      </c>
      <c r="G21" t="n">
        <v>2.1</v>
      </c>
      <c r="H21" t="n">
        <v>2</v>
      </c>
      <c r="I21" t="n">
        <v>0</v>
      </c>
      <c r="J21" t="n">
        <v>0</v>
      </c>
      <c r="K21" t="n">
        <v>1</v>
      </c>
      <c r="L21" t="n">
        <v>0</v>
      </c>
      <c r="M21" t="n">
        <v>0</v>
      </c>
      <c r="N21" t="n">
        <v>0</v>
      </c>
      <c r="O21" t="n">
        <v>1</v>
      </c>
      <c r="P21" t="n">
        <v>1</v>
      </c>
      <c r="Q21" t="n">
        <v>2</v>
      </c>
      <c r="R21" s="2" t="inlineStr">
        <is>
          <t>Gölgroda
Trana</t>
        </is>
      </c>
      <c r="S21">
        <f>HYPERLINK("https://klasma.github.io/Logging_0319/artfynd/A 70017-2021 artfynd.xlsx", "A 70017-2021")</f>
        <v/>
      </c>
      <c r="T21">
        <f>HYPERLINK("https://klasma.github.io/Logging_0319/kartor/A 70017-2021 karta.png", "A 70017-2021")</f>
        <v/>
      </c>
      <c r="V21">
        <f>HYPERLINK("https://klasma.github.io/Logging_0319/klagomål/A 70017-2021 FSC-klagomål.docx", "A 70017-2021")</f>
        <v/>
      </c>
      <c r="W21">
        <f>HYPERLINK("https://klasma.github.io/Logging_0319/klagomålsmail/A 70017-2021 FSC-klagomål mail.docx", "A 70017-2021")</f>
        <v/>
      </c>
      <c r="X21">
        <f>HYPERLINK("https://klasma.github.io/Logging_0319/tillsyn/A 70017-2021 tillsynsbegäran.docx", "A 70017-2021")</f>
        <v/>
      </c>
      <c r="Y21">
        <f>HYPERLINK("https://klasma.github.io/Logging_0319/tillsynsmail/A 70017-2021 tillsynsbegäran mail.docx", "A 70017-2021")</f>
        <v/>
      </c>
      <c r="Z21">
        <f>HYPERLINK("https://klasma.github.io/Logging_0319/fåglar/A 70017-2021 prioriterade fågelarter.docx", "A 70017-2021")</f>
        <v/>
      </c>
    </row>
    <row r="22" ht="15" customHeight="1">
      <c r="A22" t="inlineStr">
        <is>
          <t>A 6832-2023</t>
        </is>
      </c>
      <c r="B22" s="1" t="n">
        <v>44967</v>
      </c>
      <c r="C22" s="1" t="n">
        <v>45734</v>
      </c>
      <c r="D22" t="inlineStr">
        <is>
          <t>UPPSALA LÄN</t>
        </is>
      </c>
      <c r="E22" t="inlineStr">
        <is>
          <t>ÄLVKARLEBY</t>
        </is>
      </c>
      <c r="F22" t="inlineStr">
        <is>
          <t>Bergvik skog väst AB</t>
        </is>
      </c>
      <c r="G22" t="n">
        <v>8.9</v>
      </c>
      <c r="H22" t="n">
        <v>0</v>
      </c>
      <c r="I22" t="n">
        <v>0</v>
      </c>
      <c r="J22" t="n">
        <v>0</v>
      </c>
      <c r="K22" t="n">
        <v>2</v>
      </c>
      <c r="L22" t="n">
        <v>0</v>
      </c>
      <c r="M22" t="n">
        <v>0</v>
      </c>
      <c r="N22" t="n">
        <v>0</v>
      </c>
      <c r="O22" t="n">
        <v>2</v>
      </c>
      <c r="P22" t="n">
        <v>2</v>
      </c>
      <c r="Q22" t="n">
        <v>2</v>
      </c>
      <c r="R22" s="2" t="inlineStr">
        <is>
          <t>Grangråticka
Koppartaggsvamp</t>
        </is>
      </c>
      <c r="S22">
        <f>HYPERLINK("https://klasma.github.io/Logging_0319/artfynd/A 6832-2023 artfynd.xlsx", "A 6832-2023")</f>
        <v/>
      </c>
      <c r="T22">
        <f>HYPERLINK("https://klasma.github.io/Logging_0319/kartor/A 6832-2023 karta.png", "A 6832-2023")</f>
        <v/>
      </c>
      <c r="V22">
        <f>HYPERLINK("https://klasma.github.io/Logging_0319/klagomål/A 6832-2023 FSC-klagomål.docx", "A 6832-2023")</f>
        <v/>
      </c>
      <c r="W22">
        <f>HYPERLINK("https://klasma.github.io/Logging_0319/klagomålsmail/A 6832-2023 FSC-klagomål mail.docx", "A 6832-2023")</f>
        <v/>
      </c>
      <c r="X22">
        <f>HYPERLINK("https://klasma.github.io/Logging_0319/tillsyn/A 6832-2023 tillsynsbegäran.docx", "A 6832-2023")</f>
        <v/>
      </c>
      <c r="Y22">
        <f>HYPERLINK("https://klasma.github.io/Logging_0319/tillsynsmail/A 6832-2023 tillsynsbegäran mail.docx", "A 6832-2023")</f>
        <v/>
      </c>
    </row>
    <row r="23" ht="15" customHeight="1">
      <c r="A23" t="inlineStr">
        <is>
          <t>A 46363-2023</t>
        </is>
      </c>
      <c r="B23" s="1" t="n">
        <v>45197</v>
      </c>
      <c r="C23" s="1" t="n">
        <v>45734</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45734</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45734</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45734</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45734</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45734</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61147-2019</t>
        </is>
      </c>
      <c r="B29" s="1" t="n">
        <v>43782</v>
      </c>
      <c r="C29" s="1" t="n">
        <v>45734</v>
      </c>
      <c r="D29" t="inlineStr">
        <is>
          <t>UPPSALA LÄN</t>
        </is>
      </c>
      <c r="E29" t="inlineStr">
        <is>
          <t>ÄLVKARLEBY</t>
        </is>
      </c>
      <c r="F29" t="inlineStr">
        <is>
          <t>Bergvik skog väst AB</t>
        </is>
      </c>
      <c r="G29" t="n">
        <v>0.9</v>
      </c>
      <c r="H29" t="n">
        <v>0</v>
      </c>
      <c r="I29" t="n">
        <v>0</v>
      </c>
      <c r="J29" t="n">
        <v>0</v>
      </c>
      <c r="K29" t="n">
        <v>1</v>
      </c>
      <c r="L29" t="n">
        <v>0</v>
      </c>
      <c r="M29" t="n">
        <v>0</v>
      </c>
      <c r="N29" t="n">
        <v>0</v>
      </c>
      <c r="O29" t="n">
        <v>1</v>
      </c>
      <c r="P29" t="n">
        <v>1</v>
      </c>
      <c r="Q29" t="n">
        <v>1</v>
      </c>
      <c r="R29" s="2" t="inlineStr">
        <is>
          <t>Violgubbe</t>
        </is>
      </c>
      <c r="S29">
        <f>HYPERLINK("https://klasma.github.io/Logging_0319/artfynd/A 61147-2019 artfynd.xlsx", "A 61147-2019")</f>
        <v/>
      </c>
      <c r="T29">
        <f>HYPERLINK("https://klasma.github.io/Logging_0319/kartor/A 61147-2019 karta.png", "A 61147-2019")</f>
        <v/>
      </c>
      <c r="V29">
        <f>HYPERLINK("https://klasma.github.io/Logging_0319/klagomål/A 61147-2019 FSC-klagomål.docx", "A 61147-2019")</f>
        <v/>
      </c>
      <c r="W29">
        <f>HYPERLINK("https://klasma.github.io/Logging_0319/klagomålsmail/A 61147-2019 FSC-klagomål mail.docx", "A 61147-2019")</f>
        <v/>
      </c>
      <c r="X29">
        <f>HYPERLINK("https://klasma.github.io/Logging_0319/tillsyn/A 61147-2019 tillsynsbegäran.docx", "A 61147-2019")</f>
        <v/>
      </c>
      <c r="Y29">
        <f>HYPERLINK("https://klasma.github.io/Logging_0319/tillsynsmail/A 61147-2019 tillsynsbegäran mail.docx", "A 61147-2019")</f>
        <v/>
      </c>
    </row>
    <row r="30" ht="15" customHeight="1">
      <c r="A30" t="inlineStr">
        <is>
          <t>A 42895-2020</t>
        </is>
      </c>
      <c r="B30" s="1" t="n">
        <v>44078</v>
      </c>
      <c r="C30" s="1" t="n">
        <v>45734</v>
      </c>
      <c r="D30" t="inlineStr">
        <is>
          <t>UPPSALA LÄN</t>
        </is>
      </c>
      <c r="E30" t="inlineStr">
        <is>
          <t>ÄLVKARLEBY</t>
        </is>
      </c>
      <c r="F30" t="inlineStr">
        <is>
          <t>Bergvik skog väst AB</t>
        </is>
      </c>
      <c r="G30" t="n">
        <v>21.9</v>
      </c>
      <c r="H30" t="n">
        <v>1</v>
      </c>
      <c r="I30" t="n">
        <v>0</v>
      </c>
      <c r="J30" t="n">
        <v>0</v>
      </c>
      <c r="K30" t="n">
        <v>1</v>
      </c>
      <c r="L30" t="n">
        <v>0</v>
      </c>
      <c r="M30" t="n">
        <v>0</v>
      </c>
      <c r="N30" t="n">
        <v>0</v>
      </c>
      <c r="O30" t="n">
        <v>1</v>
      </c>
      <c r="P30" t="n">
        <v>1</v>
      </c>
      <c r="Q30" t="n">
        <v>1</v>
      </c>
      <c r="R30" s="2" t="inlineStr">
        <is>
          <t>Gölgroda</t>
        </is>
      </c>
      <c r="S30">
        <f>HYPERLINK("https://klasma.github.io/Logging_0319/artfynd/A 42895-2020 artfynd.xlsx", "A 42895-2020")</f>
        <v/>
      </c>
      <c r="T30">
        <f>HYPERLINK("https://klasma.github.io/Logging_0319/kartor/A 42895-2020 karta.png", "A 42895-2020")</f>
        <v/>
      </c>
      <c r="V30">
        <f>HYPERLINK("https://klasma.github.io/Logging_0319/klagomål/A 42895-2020 FSC-klagomål.docx", "A 42895-2020")</f>
        <v/>
      </c>
      <c r="W30">
        <f>HYPERLINK("https://klasma.github.io/Logging_0319/klagomålsmail/A 42895-2020 FSC-klagomål mail.docx", "A 42895-2020")</f>
        <v/>
      </c>
      <c r="X30">
        <f>HYPERLINK("https://klasma.github.io/Logging_0319/tillsyn/A 42895-2020 tillsynsbegäran.docx", "A 42895-2020")</f>
        <v/>
      </c>
      <c r="Y30">
        <f>HYPERLINK("https://klasma.github.io/Logging_0319/tillsynsmail/A 42895-2020 tillsynsbegäran mail.docx", "A 42895-2020")</f>
        <v/>
      </c>
    </row>
    <row r="31" ht="15" customHeight="1">
      <c r="A31" t="inlineStr">
        <is>
          <t>A 66277-2020</t>
        </is>
      </c>
      <c r="B31" s="1" t="n">
        <v>44176</v>
      </c>
      <c r="C31" s="1" t="n">
        <v>45734</v>
      </c>
      <c r="D31" t="inlineStr">
        <is>
          <t>UPPSALA LÄN</t>
        </is>
      </c>
      <c r="E31" t="inlineStr">
        <is>
          <t>ÄLVKARLEBY</t>
        </is>
      </c>
      <c r="F31" t="inlineStr">
        <is>
          <t>Bergvik skog väst AB</t>
        </is>
      </c>
      <c r="G31" t="n">
        <v>2.6</v>
      </c>
      <c r="H31" t="n">
        <v>1</v>
      </c>
      <c r="I31" t="n">
        <v>0</v>
      </c>
      <c r="J31" t="n">
        <v>0</v>
      </c>
      <c r="K31" t="n">
        <v>0</v>
      </c>
      <c r="L31" t="n">
        <v>0</v>
      </c>
      <c r="M31" t="n">
        <v>0</v>
      </c>
      <c r="N31" t="n">
        <v>0</v>
      </c>
      <c r="O31" t="n">
        <v>0</v>
      </c>
      <c r="P31" t="n">
        <v>0</v>
      </c>
      <c r="Q31" t="n">
        <v>1</v>
      </c>
      <c r="R31" s="2" t="inlineStr">
        <is>
          <t>Vanlig padda</t>
        </is>
      </c>
      <c r="S31">
        <f>HYPERLINK("https://klasma.github.io/Logging_0319/artfynd/A 66277-2020 artfynd.xlsx", "A 66277-2020")</f>
        <v/>
      </c>
      <c r="T31">
        <f>HYPERLINK("https://klasma.github.io/Logging_0319/kartor/A 66277-2020 karta.png", "A 66277-2020")</f>
        <v/>
      </c>
      <c r="V31">
        <f>HYPERLINK("https://klasma.github.io/Logging_0319/klagomål/A 66277-2020 FSC-klagomål.docx", "A 66277-2020")</f>
        <v/>
      </c>
      <c r="W31">
        <f>HYPERLINK("https://klasma.github.io/Logging_0319/klagomålsmail/A 66277-2020 FSC-klagomål mail.docx", "A 66277-2020")</f>
        <v/>
      </c>
      <c r="X31">
        <f>HYPERLINK("https://klasma.github.io/Logging_0319/tillsyn/A 66277-2020 tillsynsbegäran.docx", "A 66277-2020")</f>
        <v/>
      </c>
      <c r="Y31">
        <f>HYPERLINK("https://klasma.github.io/Logging_0319/tillsynsmail/A 66277-2020 tillsynsbegäran mail.docx", "A 66277-2020")</f>
        <v/>
      </c>
    </row>
    <row r="32" ht="15" customHeight="1">
      <c r="A32" t="inlineStr">
        <is>
          <t>A 10455-2022</t>
        </is>
      </c>
      <c r="B32" s="1" t="n">
        <v>44623</v>
      </c>
      <c r="C32" s="1" t="n">
        <v>45734</v>
      </c>
      <c r="D32" t="inlineStr">
        <is>
          <t>UPPSALA LÄN</t>
        </is>
      </c>
      <c r="E32" t="inlineStr">
        <is>
          <t>ÄLVKARLEBY</t>
        </is>
      </c>
      <c r="F32" t="inlineStr">
        <is>
          <t>Bergvik skog öst AB</t>
        </is>
      </c>
      <c r="G32" t="n">
        <v>1.1</v>
      </c>
      <c r="H32" t="n">
        <v>0</v>
      </c>
      <c r="I32" t="n">
        <v>0</v>
      </c>
      <c r="J32" t="n">
        <v>1</v>
      </c>
      <c r="K32" t="n">
        <v>0</v>
      </c>
      <c r="L32" t="n">
        <v>0</v>
      </c>
      <c r="M32" t="n">
        <v>0</v>
      </c>
      <c r="N32" t="n">
        <v>0</v>
      </c>
      <c r="O32" t="n">
        <v>1</v>
      </c>
      <c r="P32" t="n">
        <v>0</v>
      </c>
      <c r="Q32" t="n">
        <v>1</v>
      </c>
      <c r="R32" s="2" t="inlineStr">
        <is>
          <t>Sandviol</t>
        </is>
      </c>
      <c r="S32">
        <f>HYPERLINK("https://klasma.github.io/Logging_0319/artfynd/A 10455-2022 artfynd.xlsx", "A 10455-2022")</f>
        <v/>
      </c>
      <c r="T32">
        <f>HYPERLINK("https://klasma.github.io/Logging_0319/kartor/A 10455-2022 karta.png", "A 10455-2022")</f>
        <v/>
      </c>
      <c r="V32">
        <f>HYPERLINK("https://klasma.github.io/Logging_0319/klagomål/A 10455-2022 FSC-klagomål.docx", "A 10455-2022")</f>
        <v/>
      </c>
      <c r="W32">
        <f>HYPERLINK("https://klasma.github.io/Logging_0319/klagomålsmail/A 10455-2022 FSC-klagomål mail.docx", "A 10455-2022")</f>
        <v/>
      </c>
      <c r="X32">
        <f>HYPERLINK("https://klasma.github.io/Logging_0319/tillsyn/A 10455-2022 tillsynsbegäran.docx", "A 10455-2022")</f>
        <v/>
      </c>
      <c r="Y32">
        <f>HYPERLINK("https://klasma.github.io/Logging_0319/tillsynsmail/A 10455-2022 tillsynsbegäran mail.docx", "A 10455-2022")</f>
        <v/>
      </c>
    </row>
    <row r="33" ht="15" customHeight="1">
      <c r="A33" t="inlineStr">
        <is>
          <t>A 29748-2022</t>
        </is>
      </c>
      <c r="B33" s="1" t="n">
        <v>44755</v>
      </c>
      <c r="C33" s="1" t="n">
        <v>45734</v>
      </c>
      <c r="D33" t="inlineStr">
        <is>
          <t>UPPSALA LÄN</t>
        </is>
      </c>
      <c r="E33" t="inlineStr">
        <is>
          <t>ÄLVKARLEBY</t>
        </is>
      </c>
      <c r="F33" t="inlineStr">
        <is>
          <t>Bergvik skog väst AB</t>
        </is>
      </c>
      <c r="G33" t="n">
        <v>2</v>
      </c>
      <c r="H33" t="n">
        <v>0</v>
      </c>
      <c r="I33" t="n">
        <v>0</v>
      </c>
      <c r="J33" t="n">
        <v>0</v>
      </c>
      <c r="K33" t="n">
        <v>0</v>
      </c>
      <c r="L33" t="n">
        <v>1</v>
      </c>
      <c r="M33" t="n">
        <v>0</v>
      </c>
      <c r="N33" t="n">
        <v>0</v>
      </c>
      <c r="O33" t="n">
        <v>1</v>
      </c>
      <c r="P33" t="n">
        <v>1</v>
      </c>
      <c r="Q33" t="n">
        <v>1</v>
      </c>
      <c r="R33" s="2" t="inlineStr">
        <is>
          <t>Stor bockrot</t>
        </is>
      </c>
      <c r="S33">
        <f>HYPERLINK("https://klasma.github.io/Logging_0319/artfynd/A 29748-2022 artfynd.xlsx", "A 29748-2022")</f>
        <v/>
      </c>
      <c r="T33">
        <f>HYPERLINK("https://klasma.github.io/Logging_0319/kartor/A 29748-2022 karta.png", "A 29748-2022")</f>
        <v/>
      </c>
      <c r="V33">
        <f>HYPERLINK("https://klasma.github.io/Logging_0319/klagomål/A 29748-2022 FSC-klagomål.docx", "A 29748-2022")</f>
        <v/>
      </c>
      <c r="W33">
        <f>HYPERLINK("https://klasma.github.io/Logging_0319/klagomålsmail/A 29748-2022 FSC-klagomål mail.docx", "A 29748-2022")</f>
        <v/>
      </c>
      <c r="X33">
        <f>HYPERLINK("https://klasma.github.io/Logging_0319/tillsyn/A 29748-2022 tillsynsbegäran.docx", "A 29748-2022")</f>
        <v/>
      </c>
      <c r="Y33">
        <f>HYPERLINK("https://klasma.github.io/Logging_0319/tillsynsmail/A 29748-2022 tillsynsbegäran mail.docx", "A 29748-2022")</f>
        <v/>
      </c>
    </row>
    <row r="34" ht="15" customHeight="1">
      <c r="A34" t="inlineStr">
        <is>
          <t>A 12415-2023</t>
        </is>
      </c>
      <c r="B34" s="1" t="n">
        <v>44999</v>
      </c>
      <c r="C34" s="1" t="n">
        <v>45734</v>
      </c>
      <c r="D34" t="inlineStr">
        <is>
          <t>UPPSALA LÄN</t>
        </is>
      </c>
      <c r="E34" t="inlineStr">
        <is>
          <t>ÄLVKARLEBY</t>
        </is>
      </c>
      <c r="F34" t="inlineStr">
        <is>
          <t>Bergvik skog väst AB</t>
        </is>
      </c>
      <c r="G34" t="n">
        <v>7.2</v>
      </c>
      <c r="H34" t="n">
        <v>0</v>
      </c>
      <c r="I34" t="n">
        <v>1</v>
      </c>
      <c r="J34" t="n">
        <v>0</v>
      </c>
      <c r="K34" t="n">
        <v>0</v>
      </c>
      <c r="L34" t="n">
        <v>0</v>
      </c>
      <c r="M34" t="n">
        <v>0</v>
      </c>
      <c r="N34" t="n">
        <v>0</v>
      </c>
      <c r="O34" t="n">
        <v>0</v>
      </c>
      <c r="P34" t="n">
        <v>0</v>
      </c>
      <c r="Q34" t="n">
        <v>1</v>
      </c>
      <c r="R34" s="2" t="inlineStr">
        <is>
          <t>Sårläka</t>
        </is>
      </c>
      <c r="S34">
        <f>HYPERLINK("https://klasma.github.io/Logging_0319/artfynd/A 12415-2023 artfynd.xlsx", "A 12415-2023")</f>
        <v/>
      </c>
      <c r="T34">
        <f>HYPERLINK("https://klasma.github.io/Logging_0319/kartor/A 12415-2023 karta.png", "A 12415-2023")</f>
        <v/>
      </c>
      <c r="V34">
        <f>HYPERLINK("https://klasma.github.io/Logging_0319/klagomål/A 12415-2023 FSC-klagomål.docx", "A 12415-2023")</f>
        <v/>
      </c>
      <c r="W34">
        <f>HYPERLINK("https://klasma.github.io/Logging_0319/klagomålsmail/A 12415-2023 FSC-klagomål mail.docx", "A 12415-2023")</f>
        <v/>
      </c>
      <c r="X34">
        <f>HYPERLINK("https://klasma.github.io/Logging_0319/tillsyn/A 12415-2023 tillsynsbegäran.docx", "A 12415-2023")</f>
        <v/>
      </c>
      <c r="Y34">
        <f>HYPERLINK("https://klasma.github.io/Logging_0319/tillsynsmail/A 12415-2023 tillsynsbegäran mail.docx", "A 12415-2023")</f>
        <v/>
      </c>
    </row>
    <row r="35" ht="15" customHeight="1">
      <c r="A35" t="inlineStr">
        <is>
          <t>A 46354-2023</t>
        </is>
      </c>
      <c r="B35" s="1" t="n">
        <v>45197</v>
      </c>
      <c r="C35" s="1" t="n">
        <v>45734</v>
      </c>
      <c r="D35" t="inlineStr">
        <is>
          <t>UPPSALA LÄN</t>
        </is>
      </c>
      <c r="E35" t="inlineStr">
        <is>
          <t>ÄLVKARLEBY</t>
        </is>
      </c>
      <c r="F35" t="inlineStr">
        <is>
          <t>Bergvik skog öst AB</t>
        </is>
      </c>
      <c r="G35" t="n">
        <v>2.3</v>
      </c>
      <c r="H35" t="n">
        <v>1</v>
      </c>
      <c r="I35" t="n">
        <v>1</v>
      </c>
      <c r="J35" t="n">
        <v>0</v>
      </c>
      <c r="K35" t="n">
        <v>0</v>
      </c>
      <c r="L35" t="n">
        <v>0</v>
      </c>
      <c r="M35" t="n">
        <v>0</v>
      </c>
      <c r="N35" t="n">
        <v>0</v>
      </c>
      <c r="O35" t="n">
        <v>0</v>
      </c>
      <c r="P35" t="n">
        <v>0</v>
      </c>
      <c r="Q35" t="n">
        <v>1</v>
      </c>
      <c r="R35" s="2" t="inlineStr">
        <is>
          <t>Skogsknipprot</t>
        </is>
      </c>
      <c r="S35">
        <f>HYPERLINK("https://klasma.github.io/Logging_0319/artfynd/A 46354-2023 artfynd.xlsx", "A 46354-2023")</f>
        <v/>
      </c>
      <c r="T35">
        <f>HYPERLINK("https://klasma.github.io/Logging_0319/kartor/A 46354-2023 karta.png", "A 46354-2023")</f>
        <v/>
      </c>
      <c r="V35">
        <f>HYPERLINK("https://klasma.github.io/Logging_0319/klagomål/A 46354-2023 FSC-klagomål.docx", "A 46354-2023")</f>
        <v/>
      </c>
      <c r="W35">
        <f>HYPERLINK("https://klasma.github.io/Logging_0319/klagomålsmail/A 46354-2023 FSC-klagomål mail.docx", "A 46354-2023")</f>
        <v/>
      </c>
      <c r="X35">
        <f>HYPERLINK("https://klasma.github.io/Logging_0319/tillsyn/A 46354-2023 tillsynsbegäran.docx", "A 46354-2023")</f>
        <v/>
      </c>
      <c r="Y35">
        <f>HYPERLINK("https://klasma.github.io/Logging_0319/tillsynsmail/A 46354-2023 tillsynsbegäran mail.docx", "A 46354-2023")</f>
        <v/>
      </c>
    </row>
    <row r="36" ht="15" customHeight="1">
      <c r="A36" t="inlineStr">
        <is>
          <t>A 5209-2024</t>
        </is>
      </c>
      <c r="B36" s="1" t="n">
        <v>45330</v>
      </c>
      <c r="C36" s="1" t="n">
        <v>45734</v>
      </c>
      <c r="D36" t="inlineStr">
        <is>
          <t>UPPSALA LÄN</t>
        </is>
      </c>
      <c r="E36" t="inlineStr">
        <is>
          <t>ÄLVKARLEBY</t>
        </is>
      </c>
      <c r="G36" t="n">
        <v>6.3</v>
      </c>
      <c r="H36" t="n">
        <v>1</v>
      </c>
      <c r="I36" t="n">
        <v>1</v>
      </c>
      <c r="J36" t="n">
        <v>0</v>
      </c>
      <c r="K36" t="n">
        <v>0</v>
      </c>
      <c r="L36" t="n">
        <v>0</v>
      </c>
      <c r="M36" t="n">
        <v>0</v>
      </c>
      <c r="N36" t="n">
        <v>0</v>
      </c>
      <c r="O36" t="n">
        <v>0</v>
      </c>
      <c r="P36" t="n">
        <v>0</v>
      </c>
      <c r="Q36" t="n">
        <v>1</v>
      </c>
      <c r="R36" s="2" t="inlineStr">
        <is>
          <t>Guckusko</t>
        </is>
      </c>
      <c r="S36">
        <f>HYPERLINK("https://klasma.github.io/Logging_0319/artfynd/A 5209-2024 artfynd.xlsx", "A 5209-2024")</f>
        <v/>
      </c>
      <c r="T36">
        <f>HYPERLINK("https://klasma.github.io/Logging_0319/kartor/A 5209-2024 karta.png", "A 5209-2024")</f>
        <v/>
      </c>
      <c r="V36">
        <f>HYPERLINK("https://klasma.github.io/Logging_0319/klagomål/A 5209-2024 FSC-klagomål.docx", "A 5209-2024")</f>
        <v/>
      </c>
      <c r="W36">
        <f>HYPERLINK("https://klasma.github.io/Logging_0319/klagomålsmail/A 5209-2024 FSC-klagomål mail.docx", "A 5209-2024")</f>
        <v/>
      </c>
      <c r="X36">
        <f>HYPERLINK("https://klasma.github.io/Logging_0319/tillsyn/A 5209-2024 tillsynsbegäran.docx", "A 5209-2024")</f>
        <v/>
      </c>
      <c r="Y36">
        <f>HYPERLINK("https://klasma.github.io/Logging_0319/tillsynsmail/A 5209-2024 tillsynsbegäran mail.docx", "A 5209-2024")</f>
        <v/>
      </c>
    </row>
    <row r="37" ht="15" customHeight="1">
      <c r="A37" t="inlineStr">
        <is>
          <t>A 19300-2024</t>
        </is>
      </c>
      <c r="B37" s="1" t="n">
        <v>45428</v>
      </c>
      <c r="C37" s="1" t="n">
        <v>45734</v>
      </c>
      <c r="D37" t="inlineStr">
        <is>
          <t>UPPSALA LÄN</t>
        </is>
      </c>
      <c r="E37" t="inlineStr">
        <is>
          <t>ÄLVKARLEBY</t>
        </is>
      </c>
      <c r="G37" t="n">
        <v>0.9</v>
      </c>
      <c r="H37" t="n">
        <v>1</v>
      </c>
      <c r="I37" t="n">
        <v>0</v>
      </c>
      <c r="J37" t="n">
        <v>0</v>
      </c>
      <c r="K37" t="n">
        <v>1</v>
      </c>
      <c r="L37" t="n">
        <v>0</v>
      </c>
      <c r="M37" t="n">
        <v>0</v>
      </c>
      <c r="N37" t="n">
        <v>0</v>
      </c>
      <c r="O37" t="n">
        <v>1</v>
      </c>
      <c r="P37" t="n">
        <v>1</v>
      </c>
      <c r="Q37" t="n">
        <v>1</v>
      </c>
      <c r="R37" s="2" t="inlineStr">
        <is>
          <t>Kricka</t>
        </is>
      </c>
      <c r="S37">
        <f>HYPERLINK("https://klasma.github.io/Logging_0319/artfynd/A 19300-2024 artfynd.xlsx", "A 19300-2024")</f>
        <v/>
      </c>
      <c r="T37">
        <f>HYPERLINK("https://klasma.github.io/Logging_0319/kartor/A 19300-2024 karta.png", "A 19300-2024")</f>
        <v/>
      </c>
      <c r="V37">
        <f>HYPERLINK("https://klasma.github.io/Logging_0319/klagomål/A 19300-2024 FSC-klagomål.docx", "A 19300-2024")</f>
        <v/>
      </c>
      <c r="W37">
        <f>HYPERLINK("https://klasma.github.io/Logging_0319/klagomålsmail/A 19300-2024 FSC-klagomål mail.docx", "A 19300-2024")</f>
        <v/>
      </c>
      <c r="X37">
        <f>HYPERLINK("https://klasma.github.io/Logging_0319/tillsyn/A 19300-2024 tillsynsbegäran.docx", "A 19300-2024")</f>
        <v/>
      </c>
      <c r="Y37">
        <f>HYPERLINK("https://klasma.github.io/Logging_0319/tillsynsmail/A 19300-2024 tillsynsbegäran mail.docx", "A 19300-2024")</f>
        <v/>
      </c>
      <c r="Z37">
        <f>HYPERLINK("https://klasma.github.io/Logging_0319/fåglar/A 19300-2024 prioriterade fågelarter.docx", "A 19300-2024")</f>
        <v/>
      </c>
    </row>
    <row r="38" ht="15" customHeight="1">
      <c r="A38" t="inlineStr">
        <is>
          <t>A 21700-2024</t>
        </is>
      </c>
      <c r="B38" s="1" t="n">
        <v>45442</v>
      </c>
      <c r="C38" s="1" t="n">
        <v>45734</v>
      </c>
      <c r="D38" t="inlineStr">
        <is>
          <t>UPPSALA LÄN</t>
        </is>
      </c>
      <c r="E38" t="inlineStr">
        <is>
          <t>ÄLVKARLEBY</t>
        </is>
      </c>
      <c r="F38" t="inlineStr">
        <is>
          <t>Bergvik skog väst AB</t>
        </is>
      </c>
      <c r="G38" t="n">
        <v>1.1</v>
      </c>
      <c r="H38" t="n">
        <v>0</v>
      </c>
      <c r="I38" t="n">
        <v>0</v>
      </c>
      <c r="J38" t="n">
        <v>0</v>
      </c>
      <c r="K38" t="n">
        <v>1</v>
      </c>
      <c r="L38" t="n">
        <v>0</v>
      </c>
      <c r="M38" t="n">
        <v>0</v>
      </c>
      <c r="N38" t="n">
        <v>0</v>
      </c>
      <c r="O38" t="n">
        <v>1</v>
      </c>
      <c r="P38" t="n">
        <v>1</v>
      </c>
      <c r="Q38" t="n">
        <v>1</v>
      </c>
      <c r="R38" s="2" t="inlineStr">
        <is>
          <t>Töcknig trymal</t>
        </is>
      </c>
      <c r="S38">
        <f>HYPERLINK("https://klasma.github.io/Logging_0319/artfynd/A 21700-2024 artfynd.xlsx", "A 21700-2024")</f>
        <v/>
      </c>
      <c r="T38">
        <f>HYPERLINK("https://klasma.github.io/Logging_0319/kartor/A 21700-2024 karta.png", "A 21700-2024")</f>
        <v/>
      </c>
      <c r="V38">
        <f>HYPERLINK("https://klasma.github.io/Logging_0319/klagomål/A 21700-2024 FSC-klagomål.docx", "A 21700-2024")</f>
        <v/>
      </c>
      <c r="W38">
        <f>HYPERLINK("https://klasma.github.io/Logging_0319/klagomålsmail/A 21700-2024 FSC-klagomål mail.docx", "A 21700-2024")</f>
        <v/>
      </c>
      <c r="X38">
        <f>HYPERLINK("https://klasma.github.io/Logging_0319/tillsyn/A 21700-2024 tillsynsbegäran.docx", "A 21700-2024")</f>
        <v/>
      </c>
      <c r="Y38">
        <f>HYPERLINK("https://klasma.github.io/Logging_0319/tillsynsmail/A 21700-2024 tillsynsbegäran mail.docx", "A 21700-2024")</f>
        <v/>
      </c>
    </row>
    <row r="39" ht="15" customHeight="1">
      <c r="A39" t="inlineStr">
        <is>
          <t>A 26471-2024</t>
        </is>
      </c>
      <c r="B39" s="1" t="n">
        <v>45469</v>
      </c>
      <c r="C39" s="1" t="n">
        <v>45734</v>
      </c>
      <c r="D39" t="inlineStr">
        <is>
          <t>UPPSALA LÄN</t>
        </is>
      </c>
      <c r="E39" t="inlineStr">
        <is>
          <t>ÄLVKARLEBY</t>
        </is>
      </c>
      <c r="F39" t="inlineStr">
        <is>
          <t>Bergvik skog väst AB</t>
        </is>
      </c>
      <c r="G39" t="n">
        <v>5.3</v>
      </c>
      <c r="H39" t="n">
        <v>1</v>
      </c>
      <c r="I39" t="n">
        <v>0</v>
      </c>
      <c r="J39" t="n">
        <v>1</v>
      </c>
      <c r="K39" t="n">
        <v>0</v>
      </c>
      <c r="L39" t="n">
        <v>0</v>
      </c>
      <c r="M39" t="n">
        <v>0</v>
      </c>
      <c r="N39" t="n">
        <v>0</v>
      </c>
      <c r="O39" t="n">
        <v>1</v>
      </c>
      <c r="P39" t="n">
        <v>0</v>
      </c>
      <c r="Q39" t="n">
        <v>1</v>
      </c>
      <c r="R39" s="2" t="inlineStr">
        <is>
          <t>Slaguggla</t>
        </is>
      </c>
      <c r="S39">
        <f>HYPERLINK("https://klasma.github.io/Logging_0319/artfynd/A 26471-2024 artfynd.xlsx", "A 26471-2024")</f>
        <v/>
      </c>
      <c r="T39">
        <f>HYPERLINK("https://klasma.github.io/Logging_0319/kartor/A 26471-2024 karta.png", "A 26471-2024")</f>
        <v/>
      </c>
      <c r="V39">
        <f>HYPERLINK("https://klasma.github.io/Logging_0319/klagomål/A 26471-2024 FSC-klagomål.docx", "A 26471-2024")</f>
        <v/>
      </c>
      <c r="W39">
        <f>HYPERLINK("https://klasma.github.io/Logging_0319/klagomålsmail/A 26471-2024 FSC-klagomål mail.docx", "A 26471-2024")</f>
        <v/>
      </c>
      <c r="X39">
        <f>HYPERLINK("https://klasma.github.io/Logging_0319/tillsyn/A 26471-2024 tillsynsbegäran.docx", "A 26471-2024")</f>
        <v/>
      </c>
      <c r="Y39">
        <f>HYPERLINK("https://klasma.github.io/Logging_0319/tillsynsmail/A 26471-2024 tillsynsbegäran mail.docx", "A 26471-2024")</f>
        <v/>
      </c>
      <c r="Z39">
        <f>HYPERLINK("https://klasma.github.io/Logging_0319/fåglar/A 26471-2024 prioriterade fågelarter.docx", "A 26471-2024")</f>
        <v/>
      </c>
    </row>
    <row r="40" ht="15" customHeight="1">
      <c r="A40" t="inlineStr">
        <is>
          <t>A 33775-2024</t>
        </is>
      </c>
      <c r="B40" s="1" t="n">
        <v>45520</v>
      </c>
      <c r="C40" s="1" t="n">
        <v>45734</v>
      </c>
      <c r="D40" t="inlineStr">
        <is>
          <t>UPPSALA LÄN</t>
        </is>
      </c>
      <c r="E40" t="inlineStr">
        <is>
          <t>ÄLVKARLEBY</t>
        </is>
      </c>
      <c r="F40" t="inlineStr">
        <is>
          <t>Bergvik skog väst AB</t>
        </is>
      </c>
      <c r="G40" t="n">
        <v>5.6</v>
      </c>
      <c r="H40" t="n">
        <v>0</v>
      </c>
      <c r="I40" t="n">
        <v>1</v>
      </c>
      <c r="J40" t="n">
        <v>0</v>
      </c>
      <c r="K40" t="n">
        <v>0</v>
      </c>
      <c r="L40" t="n">
        <v>0</v>
      </c>
      <c r="M40" t="n">
        <v>0</v>
      </c>
      <c r="N40" t="n">
        <v>0</v>
      </c>
      <c r="O40" t="n">
        <v>0</v>
      </c>
      <c r="P40" t="n">
        <v>0</v>
      </c>
      <c r="Q40" t="n">
        <v>1</v>
      </c>
      <c r="R40" s="2" t="inlineStr">
        <is>
          <t>Tibast</t>
        </is>
      </c>
      <c r="S40">
        <f>HYPERLINK("https://klasma.github.io/Logging_0319/artfynd/A 33775-2024 artfynd.xlsx", "A 33775-2024")</f>
        <v/>
      </c>
      <c r="T40">
        <f>HYPERLINK("https://klasma.github.io/Logging_0319/kartor/A 33775-2024 karta.png", "A 33775-2024")</f>
        <v/>
      </c>
      <c r="V40">
        <f>HYPERLINK("https://klasma.github.io/Logging_0319/klagomål/A 33775-2024 FSC-klagomål.docx", "A 33775-2024")</f>
        <v/>
      </c>
      <c r="W40">
        <f>HYPERLINK("https://klasma.github.io/Logging_0319/klagomålsmail/A 33775-2024 FSC-klagomål mail.docx", "A 33775-2024")</f>
        <v/>
      </c>
      <c r="X40">
        <f>HYPERLINK("https://klasma.github.io/Logging_0319/tillsyn/A 33775-2024 tillsynsbegäran.docx", "A 33775-2024")</f>
        <v/>
      </c>
      <c r="Y40">
        <f>HYPERLINK("https://klasma.github.io/Logging_0319/tillsynsmail/A 33775-2024 tillsynsbegäran mail.docx", "A 33775-2024")</f>
        <v/>
      </c>
    </row>
    <row r="41" ht="15" customHeight="1">
      <c r="A41" t="inlineStr">
        <is>
          <t>A 33796-2024</t>
        </is>
      </c>
      <c r="B41" s="1" t="n">
        <v>45520</v>
      </c>
      <c r="C41" s="1" t="n">
        <v>45734</v>
      </c>
      <c r="D41" t="inlineStr">
        <is>
          <t>UPPSALA LÄN</t>
        </is>
      </c>
      <c r="E41" t="inlineStr">
        <is>
          <t>ÄLVKARLEBY</t>
        </is>
      </c>
      <c r="F41" t="inlineStr">
        <is>
          <t>Bergvik skog väst AB</t>
        </is>
      </c>
      <c r="G41" t="n">
        <v>4.6</v>
      </c>
      <c r="H41" t="n">
        <v>1</v>
      </c>
      <c r="I41" t="n">
        <v>0</v>
      </c>
      <c r="J41" t="n">
        <v>0</v>
      </c>
      <c r="K41" t="n">
        <v>0</v>
      </c>
      <c r="L41" t="n">
        <v>0</v>
      </c>
      <c r="M41" t="n">
        <v>0</v>
      </c>
      <c r="N41" t="n">
        <v>0</v>
      </c>
      <c r="O41" t="n">
        <v>0</v>
      </c>
      <c r="P41" t="n">
        <v>0</v>
      </c>
      <c r="Q41" t="n">
        <v>1</v>
      </c>
      <c r="R41" s="2" t="inlineStr">
        <is>
          <t>Revlummer</t>
        </is>
      </c>
      <c r="S41">
        <f>HYPERLINK("https://klasma.github.io/Logging_0319/artfynd/A 33796-2024 artfynd.xlsx", "A 33796-2024")</f>
        <v/>
      </c>
      <c r="T41">
        <f>HYPERLINK("https://klasma.github.io/Logging_0319/kartor/A 33796-2024 karta.png", "A 33796-2024")</f>
        <v/>
      </c>
      <c r="V41">
        <f>HYPERLINK("https://klasma.github.io/Logging_0319/klagomål/A 33796-2024 FSC-klagomål.docx", "A 33796-2024")</f>
        <v/>
      </c>
      <c r="W41">
        <f>HYPERLINK("https://klasma.github.io/Logging_0319/klagomålsmail/A 33796-2024 FSC-klagomål mail.docx", "A 33796-2024")</f>
        <v/>
      </c>
      <c r="X41">
        <f>HYPERLINK("https://klasma.github.io/Logging_0319/tillsyn/A 33796-2024 tillsynsbegäran.docx", "A 33796-2024")</f>
        <v/>
      </c>
      <c r="Y41">
        <f>HYPERLINK("https://klasma.github.io/Logging_0319/tillsynsmail/A 33796-2024 tillsynsbegäran mail.docx", "A 33796-2024")</f>
        <v/>
      </c>
    </row>
    <row r="42" ht="15" customHeight="1">
      <c r="A42" t="inlineStr">
        <is>
          <t>A 55554-2024</t>
        </is>
      </c>
      <c r="B42" s="1" t="n">
        <v>45622</v>
      </c>
      <c r="C42" s="1" t="n">
        <v>45734</v>
      </c>
      <c r="D42" t="inlineStr">
        <is>
          <t>UPPSALA LÄN</t>
        </is>
      </c>
      <c r="E42" t="inlineStr">
        <is>
          <t>ÄLVKARLEBY</t>
        </is>
      </c>
      <c r="F42" t="inlineStr">
        <is>
          <t>Bergvik skog väst AB</t>
        </is>
      </c>
      <c r="G42" t="n">
        <v>1.2</v>
      </c>
      <c r="H42" t="n">
        <v>1</v>
      </c>
      <c r="I42" t="n">
        <v>0</v>
      </c>
      <c r="J42" t="n">
        <v>0</v>
      </c>
      <c r="K42" t="n">
        <v>1</v>
      </c>
      <c r="L42" t="n">
        <v>0</v>
      </c>
      <c r="M42" t="n">
        <v>0</v>
      </c>
      <c r="N42" t="n">
        <v>0</v>
      </c>
      <c r="O42" t="n">
        <v>1</v>
      </c>
      <c r="P42" t="n">
        <v>1</v>
      </c>
      <c r="Q42" t="n">
        <v>1</v>
      </c>
      <c r="R42" s="2" t="inlineStr">
        <is>
          <t>Knärot</t>
        </is>
      </c>
      <c r="S42">
        <f>HYPERLINK("https://klasma.github.io/Logging_0319/artfynd/A 55554-2024 artfynd.xlsx", "A 55554-2024")</f>
        <v/>
      </c>
      <c r="T42">
        <f>HYPERLINK("https://klasma.github.io/Logging_0319/kartor/A 55554-2024 karta.png", "A 55554-2024")</f>
        <v/>
      </c>
      <c r="U42">
        <f>HYPERLINK("https://klasma.github.io/Logging_0319/knärot/A 55554-2024 karta knärot.png", "A 55554-2024")</f>
        <v/>
      </c>
      <c r="V42">
        <f>HYPERLINK("https://klasma.github.io/Logging_0319/klagomål/A 55554-2024 FSC-klagomål.docx", "A 55554-2024")</f>
        <v/>
      </c>
      <c r="W42">
        <f>HYPERLINK("https://klasma.github.io/Logging_0319/klagomålsmail/A 55554-2024 FSC-klagomål mail.docx", "A 55554-2024")</f>
        <v/>
      </c>
      <c r="X42">
        <f>HYPERLINK("https://klasma.github.io/Logging_0319/tillsyn/A 55554-2024 tillsynsbegäran.docx", "A 55554-2024")</f>
        <v/>
      </c>
      <c r="Y42">
        <f>HYPERLINK("https://klasma.github.io/Logging_0319/tillsynsmail/A 55554-2024 tillsynsbegäran mail.docx", "A 55554-2024")</f>
        <v/>
      </c>
    </row>
    <row r="43" ht="15" customHeight="1">
      <c r="A43" t="inlineStr">
        <is>
          <t>A 55560-2024</t>
        </is>
      </c>
      <c r="B43" s="1" t="n">
        <v>45622</v>
      </c>
      <c r="C43" s="1" t="n">
        <v>45734</v>
      </c>
      <c r="D43" t="inlineStr">
        <is>
          <t>UPPSALA LÄN</t>
        </is>
      </c>
      <c r="E43" t="inlineStr">
        <is>
          <t>ÄLVKARLEBY</t>
        </is>
      </c>
      <c r="F43" t="inlineStr">
        <is>
          <t>Bergvik skog väst AB</t>
        </is>
      </c>
      <c r="G43" t="n">
        <v>1</v>
      </c>
      <c r="H43" t="n">
        <v>1</v>
      </c>
      <c r="I43" t="n">
        <v>0</v>
      </c>
      <c r="J43" t="n">
        <v>0</v>
      </c>
      <c r="K43" t="n">
        <v>1</v>
      </c>
      <c r="L43" t="n">
        <v>0</v>
      </c>
      <c r="M43" t="n">
        <v>0</v>
      </c>
      <c r="N43" t="n">
        <v>0</v>
      </c>
      <c r="O43" t="n">
        <v>1</v>
      </c>
      <c r="P43" t="n">
        <v>1</v>
      </c>
      <c r="Q43" t="n">
        <v>1</v>
      </c>
      <c r="R43" s="2" t="inlineStr">
        <is>
          <t>Knärot</t>
        </is>
      </c>
      <c r="S43">
        <f>HYPERLINK("https://klasma.github.io/Logging_0319/artfynd/A 55560-2024 artfynd.xlsx", "A 55560-2024")</f>
        <v/>
      </c>
      <c r="T43">
        <f>HYPERLINK("https://klasma.github.io/Logging_0319/kartor/A 55560-2024 karta.png", "A 55560-2024")</f>
        <v/>
      </c>
      <c r="U43">
        <f>HYPERLINK("https://klasma.github.io/Logging_0319/knärot/A 55560-2024 karta knärot.png", "A 55560-2024")</f>
        <v/>
      </c>
      <c r="V43">
        <f>HYPERLINK("https://klasma.github.io/Logging_0319/klagomål/A 55560-2024 FSC-klagomål.docx", "A 55560-2024")</f>
        <v/>
      </c>
      <c r="W43">
        <f>HYPERLINK("https://klasma.github.io/Logging_0319/klagomålsmail/A 55560-2024 FSC-klagomål mail.docx", "A 55560-2024")</f>
        <v/>
      </c>
      <c r="X43">
        <f>HYPERLINK("https://klasma.github.io/Logging_0319/tillsyn/A 55560-2024 tillsynsbegäran.docx", "A 55560-2024")</f>
        <v/>
      </c>
      <c r="Y43">
        <f>HYPERLINK("https://klasma.github.io/Logging_0319/tillsynsmail/A 55560-2024 tillsynsbegäran mail.docx", "A 55560-2024")</f>
        <v/>
      </c>
    </row>
    <row r="44" ht="15" customHeight="1">
      <c r="A44" t="inlineStr">
        <is>
          <t>A 9521-2025</t>
        </is>
      </c>
      <c r="B44" s="1" t="n">
        <v>45715</v>
      </c>
      <c r="C44" s="1" t="n">
        <v>45734</v>
      </c>
      <c r="D44" t="inlineStr">
        <is>
          <t>UPPSALA LÄN</t>
        </is>
      </c>
      <c r="E44" t="inlineStr">
        <is>
          <t>ÄLVKARLEBY</t>
        </is>
      </c>
      <c r="G44" t="n">
        <v>6.3</v>
      </c>
      <c r="H44" t="n">
        <v>0</v>
      </c>
      <c r="I44" t="n">
        <v>1</v>
      </c>
      <c r="J44" t="n">
        <v>0</v>
      </c>
      <c r="K44" t="n">
        <v>0</v>
      </c>
      <c r="L44" t="n">
        <v>0</v>
      </c>
      <c r="M44" t="n">
        <v>0</v>
      </c>
      <c r="N44" t="n">
        <v>0</v>
      </c>
      <c r="O44" t="n">
        <v>0</v>
      </c>
      <c r="P44" t="n">
        <v>0</v>
      </c>
      <c r="Q44" t="n">
        <v>1</v>
      </c>
      <c r="R44" s="2" t="inlineStr">
        <is>
          <t>Rödgul trumpetsvamp</t>
        </is>
      </c>
      <c r="S44">
        <f>HYPERLINK("https://klasma.github.io/Logging_0319/artfynd/A 9521-2025 artfynd.xlsx", "A 9521-2025")</f>
        <v/>
      </c>
      <c r="T44">
        <f>HYPERLINK("https://klasma.github.io/Logging_0319/kartor/A 9521-2025 karta.png", "A 9521-2025")</f>
        <v/>
      </c>
      <c r="V44">
        <f>HYPERLINK("https://klasma.github.io/Logging_0319/klagomål/A 9521-2025 FSC-klagomål.docx", "A 9521-2025")</f>
        <v/>
      </c>
      <c r="W44">
        <f>HYPERLINK("https://klasma.github.io/Logging_0319/klagomålsmail/A 9521-2025 FSC-klagomål mail.docx", "A 9521-2025")</f>
        <v/>
      </c>
      <c r="X44">
        <f>HYPERLINK("https://klasma.github.io/Logging_0319/tillsyn/A 9521-2025 tillsynsbegäran.docx", "A 9521-2025")</f>
        <v/>
      </c>
      <c r="Y44">
        <f>HYPERLINK("https://klasma.github.io/Logging_0319/tillsynsmail/A 9521-2025 tillsynsbegäran mail.docx", "A 9521-2025")</f>
        <v/>
      </c>
    </row>
    <row r="45" ht="15" customHeight="1">
      <c r="A45" t="inlineStr">
        <is>
          <t>A 12427-2025</t>
        </is>
      </c>
      <c r="B45" s="1" t="n">
        <v>45730</v>
      </c>
      <c r="C45" s="1" t="n">
        <v>45734</v>
      </c>
      <c r="D45" t="inlineStr">
        <is>
          <t>UPPSALA LÄN</t>
        </is>
      </c>
      <c r="E45" t="inlineStr">
        <is>
          <t>ÄLVKARLEBY</t>
        </is>
      </c>
      <c r="F45" t="inlineStr">
        <is>
          <t>Bergvik skog öst AB</t>
        </is>
      </c>
      <c r="G45" t="n">
        <v>9.300000000000001</v>
      </c>
      <c r="H45" t="n">
        <v>1</v>
      </c>
      <c r="I45" t="n">
        <v>1</v>
      </c>
      <c r="J45" t="n">
        <v>0</v>
      </c>
      <c r="K45" t="n">
        <v>0</v>
      </c>
      <c r="L45" t="n">
        <v>0</v>
      </c>
      <c r="M45" t="n">
        <v>0</v>
      </c>
      <c r="N45" t="n">
        <v>0</v>
      </c>
      <c r="O45" t="n">
        <v>0</v>
      </c>
      <c r="P45" t="n">
        <v>0</v>
      </c>
      <c r="Q45" t="n">
        <v>1</v>
      </c>
      <c r="R45" s="2" t="inlineStr">
        <is>
          <t>Guckusko</t>
        </is>
      </c>
      <c r="S45">
        <f>HYPERLINK("https://klasma.github.io/Logging_0319/artfynd/A 12427-2025 artfynd.xlsx", "A 12427-2025")</f>
        <v/>
      </c>
      <c r="T45">
        <f>HYPERLINK("https://klasma.github.io/Logging_0319/kartor/A 12427-2025 karta.png", "A 12427-2025")</f>
        <v/>
      </c>
      <c r="V45">
        <f>HYPERLINK("https://klasma.github.io/Logging_0319/klagomål/A 12427-2025 FSC-klagomål.docx", "A 12427-2025")</f>
        <v/>
      </c>
      <c r="W45">
        <f>HYPERLINK("https://klasma.github.io/Logging_0319/klagomålsmail/A 12427-2025 FSC-klagomål mail.docx", "A 12427-2025")</f>
        <v/>
      </c>
      <c r="X45">
        <f>HYPERLINK("https://klasma.github.io/Logging_0319/tillsyn/A 12427-2025 tillsynsbegäran.docx", "A 12427-2025")</f>
        <v/>
      </c>
      <c r="Y45">
        <f>HYPERLINK("https://klasma.github.io/Logging_0319/tillsynsmail/A 12427-2025 tillsynsbegäran mail.docx", "A 12427-2025")</f>
        <v/>
      </c>
    </row>
    <row r="46" ht="15" customHeight="1">
      <c r="A46" t="inlineStr">
        <is>
          <t>A 19969-2019</t>
        </is>
      </c>
      <c r="B46" s="1" t="n">
        <v>43570</v>
      </c>
      <c r="C46" s="1" t="n">
        <v>45734</v>
      </c>
      <c r="D46" t="inlineStr">
        <is>
          <t>UPPSALA LÄN</t>
        </is>
      </c>
      <c r="E46" t="inlineStr">
        <is>
          <t>ÄLVKARLEBY</t>
        </is>
      </c>
      <c r="F46" t="inlineStr">
        <is>
          <t>Bergvik skog väst AB</t>
        </is>
      </c>
      <c r="G46" t="n">
        <v>3.6</v>
      </c>
      <c r="H46" t="n">
        <v>0</v>
      </c>
      <c r="I46" t="n">
        <v>0</v>
      </c>
      <c r="J46" t="n">
        <v>0</v>
      </c>
      <c r="K46" t="n">
        <v>0</v>
      </c>
      <c r="L46" t="n">
        <v>0</v>
      </c>
      <c r="M46" t="n">
        <v>0</v>
      </c>
      <c r="N46" t="n">
        <v>0</v>
      </c>
      <c r="O46" t="n">
        <v>0</v>
      </c>
      <c r="P46" t="n">
        <v>0</v>
      </c>
      <c r="Q46" t="n">
        <v>0</v>
      </c>
      <c r="R46" s="2" t="inlineStr"/>
    </row>
    <row r="47" ht="15" customHeight="1">
      <c r="A47" t="inlineStr">
        <is>
          <t>A 24105-2019</t>
        </is>
      </c>
      <c r="B47" s="1" t="n">
        <v>43598</v>
      </c>
      <c r="C47" s="1" t="n">
        <v>45734</v>
      </c>
      <c r="D47" t="inlineStr">
        <is>
          <t>UPPSALA LÄN</t>
        </is>
      </c>
      <c r="E47" t="inlineStr">
        <is>
          <t>ÄLVKARLEBY</t>
        </is>
      </c>
      <c r="F47" t="inlineStr">
        <is>
          <t>Kyrkan</t>
        </is>
      </c>
      <c r="G47" t="n">
        <v>0.6</v>
      </c>
      <c r="H47" t="n">
        <v>0</v>
      </c>
      <c r="I47" t="n">
        <v>0</v>
      </c>
      <c r="J47" t="n">
        <v>0</v>
      </c>
      <c r="K47" t="n">
        <v>0</v>
      </c>
      <c r="L47" t="n">
        <v>0</v>
      </c>
      <c r="M47" t="n">
        <v>0</v>
      </c>
      <c r="N47" t="n">
        <v>0</v>
      </c>
      <c r="O47" t="n">
        <v>0</v>
      </c>
      <c r="P47" t="n">
        <v>0</v>
      </c>
      <c r="Q47" t="n">
        <v>0</v>
      </c>
      <c r="R47" s="2" t="inlineStr"/>
    </row>
    <row r="48" ht="15" customHeight="1">
      <c r="A48" t="inlineStr">
        <is>
          <t>A 25340-2019</t>
        </is>
      </c>
      <c r="B48" s="1" t="n">
        <v>43606</v>
      </c>
      <c r="C48" s="1" t="n">
        <v>45734</v>
      </c>
      <c r="D48" t="inlineStr">
        <is>
          <t>UPPSALA LÄN</t>
        </is>
      </c>
      <c r="E48" t="inlineStr">
        <is>
          <t>ÄLVKARLEBY</t>
        </is>
      </c>
      <c r="F48" t="inlineStr">
        <is>
          <t>Bergvik skog väst AB</t>
        </is>
      </c>
      <c r="G48" t="n">
        <v>2.9</v>
      </c>
      <c r="H48" t="n">
        <v>0</v>
      </c>
      <c r="I48" t="n">
        <v>0</v>
      </c>
      <c r="J48" t="n">
        <v>0</v>
      </c>
      <c r="K48" t="n">
        <v>0</v>
      </c>
      <c r="L48" t="n">
        <v>0</v>
      </c>
      <c r="M48" t="n">
        <v>0</v>
      </c>
      <c r="N48" t="n">
        <v>0</v>
      </c>
      <c r="O48" t="n">
        <v>0</v>
      </c>
      <c r="P48" t="n">
        <v>0</v>
      </c>
      <c r="Q48" t="n">
        <v>0</v>
      </c>
      <c r="R48" s="2" t="inlineStr"/>
    </row>
    <row r="49" ht="15" customHeight="1">
      <c r="A49" t="inlineStr">
        <is>
          <t>A 44457-2019</t>
        </is>
      </c>
      <c r="B49" s="1" t="n">
        <v>43711</v>
      </c>
      <c r="C49" s="1" t="n">
        <v>45734</v>
      </c>
      <c r="D49" t="inlineStr">
        <is>
          <t>UPPSALA LÄN</t>
        </is>
      </c>
      <c r="E49" t="inlineStr">
        <is>
          <t>ÄLVKARLEBY</t>
        </is>
      </c>
      <c r="F49" t="inlineStr">
        <is>
          <t>Bergvik skog väst AB</t>
        </is>
      </c>
      <c r="G49" t="n">
        <v>8.699999999999999</v>
      </c>
      <c r="H49" t="n">
        <v>0</v>
      </c>
      <c r="I49" t="n">
        <v>0</v>
      </c>
      <c r="J49" t="n">
        <v>0</v>
      </c>
      <c r="K49" t="n">
        <v>0</v>
      </c>
      <c r="L49" t="n">
        <v>0</v>
      </c>
      <c r="M49" t="n">
        <v>0</v>
      </c>
      <c r="N49" t="n">
        <v>0</v>
      </c>
      <c r="O49" t="n">
        <v>0</v>
      </c>
      <c r="P49" t="n">
        <v>0</v>
      </c>
      <c r="Q49" t="n">
        <v>0</v>
      </c>
      <c r="R49" s="2" t="inlineStr"/>
    </row>
    <row r="50" ht="15" customHeight="1">
      <c r="A50" t="inlineStr">
        <is>
          <t>A 48822-2019</t>
        </is>
      </c>
      <c r="B50" s="1" t="n">
        <v>43728</v>
      </c>
      <c r="C50" s="1" t="n">
        <v>45734</v>
      </c>
      <c r="D50" t="inlineStr">
        <is>
          <t>UPPSALA LÄN</t>
        </is>
      </c>
      <c r="E50" t="inlineStr">
        <is>
          <t>ÄLVKARLEBY</t>
        </is>
      </c>
      <c r="F50" t="inlineStr">
        <is>
          <t>Bergvik skog väst AB</t>
        </is>
      </c>
      <c r="G50" t="n">
        <v>3</v>
      </c>
      <c r="H50" t="n">
        <v>0</v>
      </c>
      <c r="I50" t="n">
        <v>0</v>
      </c>
      <c r="J50" t="n">
        <v>0</v>
      </c>
      <c r="K50" t="n">
        <v>0</v>
      </c>
      <c r="L50" t="n">
        <v>0</v>
      </c>
      <c r="M50" t="n">
        <v>0</v>
      </c>
      <c r="N50" t="n">
        <v>0</v>
      </c>
      <c r="O50" t="n">
        <v>0</v>
      </c>
      <c r="P50" t="n">
        <v>0</v>
      </c>
      <c r="Q50" t="n">
        <v>0</v>
      </c>
      <c r="R50" s="2" t="inlineStr"/>
    </row>
    <row r="51" ht="15" customHeight="1">
      <c r="A51" t="inlineStr">
        <is>
          <t>A 57745-2019</t>
        </is>
      </c>
      <c r="B51" s="1" t="n">
        <v>43768</v>
      </c>
      <c r="C51" s="1" t="n">
        <v>45734</v>
      </c>
      <c r="D51" t="inlineStr">
        <is>
          <t>UPPSALA LÄN</t>
        </is>
      </c>
      <c r="E51" t="inlineStr">
        <is>
          <t>ÄLVKARLEBY</t>
        </is>
      </c>
      <c r="F51" t="inlineStr">
        <is>
          <t>Bergvik skog väst AB</t>
        </is>
      </c>
      <c r="G51" t="n">
        <v>0.5</v>
      </c>
      <c r="H51" t="n">
        <v>0</v>
      </c>
      <c r="I51" t="n">
        <v>0</v>
      </c>
      <c r="J51" t="n">
        <v>0</v>
      </c>
      <c r="K51" t="n">
        <v>0</v>
      </c>
      <c r="L51" t="n">
        <v>0</v>
      </c>
      <c r="M51" t="n">
        <v>0</v>
      </c>
      <c r="N51" t="n">
        <v>0</v>
      </c>
      <c r="O51" t="n">
        <v>0</v>
      </c>
      <c r="P51" t="n">
        <v>0</v>
      </c>
      <c r="Q51" t="n">
        <v>0</v>
      </c>
      <c r="R51" s="2" t="inlineStr"/>
    </row>
    <row r="52" ht="15" customHeight="1">
      <c r="A52" t="inlineStr">
        <is>
          <t>A 5511-2020</t>
        </is>
      </c>
      <c r="B52" s="1" t="n">
        <v>43861</v>
      </c>
      <c r="C52" s="1" t="n">
        <v>45734</v>
      </c>
      <c r="D52" t="inlineStr">
        <is>
          <t>UPPSALA LÄN</t>
        </is>
      </c>
      <c r="E52" t="inlineStr">
        <is>
          <t>ÄLVKARLEBY</t>
        </is>
      </c>
      <c r="G52" t="n">
        <v>1.2</v>
      </c>
      <c r="H52" t="n">
        <v>0</v>
      </c>
      <c r="I52" t="n">
        <v>0</v>
      </c>
      <c r="J52" t="n">
        <v>0</v>
      </c>
      <c r="K52" t="n">
        <v>0</v>
      </c>
      <c r="L52" t="n">
        <v>0</v>
      </c>
      <c r="M52" t="n">
        <v>0</v>
      </c>
      <c r="N52" t="n">
        <v>0</v>
      </c>
      <c r="O52" t="n">
        <v>0</v>
      </c>
      <c r="P52" t="n">
        <v>0</v>
      </c>
      <c r="Q52" t="n">
        <v>0</v>
      </c>
      <c r="R52" s="2" t="inlineStr"/>
    </row>
    <row r="53" ht="15" customHeight="1">
      <c r="A53" t="inlineStr">
        <is>
          <t>A 15213-2020</t>
        </is>
      </c>
      <c r="B53" s="1" t="n">
        <v>43913</v>
      </c>
      <c r="C53" s="1" t="n">
        <v>45734</v>
      </c>
      <c r="D53" t="inlineStr">
        <is>
          <t>UPPSALA LÄN</t>
        </is>
      </c>
      <c r="E53" t="inlineStr">
        <is>
          <t>ÄLVKARLEBY</t>
        </is>
      </c>
      <c r="G53" t="n">
        <v>5</v>
      </c>
      <c r="H53" t="n">
        <v>0</v>
      </c>
      <c r="I53" t="n">
        <v>0</v>
      </c>
      <c r="J53" t="n">
        <v>0</v>
      </c>
      <c r="K53" t="n">
        <v>0</v>
      </c>
      <c r="L53" t="n">
        <v>0</v>
      </c>
      <c r="M53" t="n">
        <v>0</v>
      </c>
      <c r="N53" t="n">
        <v>0</v>
      </c>
      <c r="O53" t="n">
        <v>0</v>
      </c>
      <c r="P53" t="n">
        <v>0</v>
      </c>
      <c r="Q53" t="n">
        <v>0</v>
      </c>
      <c r="R53" s="2" t="inlineStr"/>
    </row>
    <row r="54" ht="15" customHeight="1">
      <c r="A54" t="inlineStr">
        <is>
          <t>A 32416-2020</t>
        </is>
      </c>
      <c r="B54" s="1" t="n">
        <v>44018</v>
      </c>
      <c r="C54" s="1" t="n">
        <v>45734</v>
      </c>
      <c r="D54" t="inlineStr">
        <is>
          <t>UPPSALA LÄN</t>
        </is>
      </c>
      <c r="E54" t="inlineStr">
        <is>
          <t>ÄLVKARLEBY</t>
        </is>
      </c>
      <c r="F54" t="inlineStr">
        <is>
          <t>Bergvik skog väst AB</t>
        </is>
      </c>
      <c r="G54" t="n">
        <v>1</v>
      </c>
      <c r="H54" t="n">
        <v>0</v>
      </c>
      <c r="I54" t="n">
        <v>0</v>
      </c>
      <c r="J54" t="n">
        <v>0</v>
      </c>
      <c r="K54" t="n">
        <v>0</v>
      </c>
      <c r="L54" t="n">
        <v>0</v>
      </c>
      <c r="M54" t="n">
        <v>0</v>
      </c>
      <c r="N54" t="n">
        <v>0</v>
      </c>
      <c r="O54" t="n">
        <v>0</v>
      </c>
      <c r="P54" t="n">
        <v>0</v>
      </c>
      <c r="Q54" t="n">
        <v>0</v>
      </c>
      <c r="R54" s="2" t="inlineStr"/>
    </row>
    <row r="55" ht="15" customHeight="1">
      <c r="A55" t="inlineStr">
        <is>
          <t>A 37193-2020</t>
        </is>
      </c>
      <c r="B55" s="1" t="n">
        <v>44054</v>
      </c>
      <c r="C55" s="1" t="n">
        <v>45734</v>
      </c>
      <c r="D55" t="inlineStr">
        <is>
          <t>UPPSALA LÄN</t>
        </is>
      </c>
      <c r="E55" t="inlineStr">
        <is>
          <t>ÄLVKARLEBY</t>
        </is>
      </c>
      <c r="F55" t="inlineStr">
        <is>
          <t>Bergvik skog väst AB</t>
        </is>
      </c>
      <c r="G55" t="n">
        <v>2.3</v>
      </c>
      <c r="H55" t="n">
        <v>0</v>
      </c>
      <c r="I55" t="n">
        <v>0</v>
      </c>
      <c r="J55" t="n">
        <v>0</v>
      </c>
      <c r="K55" t="n">
        <v>0</v>
      </c>
      <c r="L55" t="n">
        <v>0</v>
      </c>
      <c r="M55" t="n">
        <v>0</v>
      </c>
      <c r="N55" t="n">
        <v>0</v>
      </c>
      <c r="O55" t="n">
        <v>0</v>
      </c>
      <c r="P55" t="n">
        <v>0</v>
      </c>
      <c r="Q55" t="n">
        <v>0</v>
      </c>
      <c r="R55" s="2" t="inlineStr"/>
    </row>
    <row r="56" ht="15" customHeight="1">
      <c r="A56" t="inlineStr">
        <is>
          <t>A 40667-2020</t>
        </is>
      </c>
      <c r="B56" s="1" t="n">
        <v>44069</v>
      </c>
      <c r="C56" s="1" t="n">
        <v>45734</v>
      </c>
      <c r="D56" t="inlineStr">
        <is>
          <t>UPPSALA LÄN</t>
        </is>
      </c>
      <c r="E56" t="inlineStr">
        <is>
          <t>ÄLVKARLEBY</t>
        </is>
      </c>
      <c r="F56" t="inlineStr">
        <is>
          <t>Bergvik skog väst AB</t>
        </is>
      </c>
      <c r="G56" t="n">
        <v>20.7</v>
      </c>
      <c r="H56" t="n">
        <v>0</v>
      </c>
      <c r="I56" t="n">
        <v>0</v>
      </c>
      <c r="J56" t="n">
        <v>0</v>
      </c>
      <c r="K56" t="n">
        <v>0</v>
      </c>
      <c r="L56" t="n">
        <v>0</v>
      </c>
      <c r="M56" t="n">
        <v>0</v>
      </c>
      <c r="N56" t="n">
        <v>0</v>
      </c>
      <c r="O56" t="n">
        <v>0</v>
      </c>
      <c r="P56" t="n">
        <v>0</v>
      </c>
      <c r="Q56" t="n">
        <v>0</v>
      </c>
      <c r="R56" s="2" t="inlineStr"/>
    </row>
    <row r="57" ht="15" customHeight="1">
      <c r="A57" t="inlineStr">
        <is>
          <t>A 50413-2020</t>
        </is>
      </c>
      <c r="B57" s="1" t="n">
        <v>44110</v>
      </c>
      <c r="C57" s="1" t="n">
        <v>45734</v>
      </c>
      <c r="D57" t="inlineStr">
        <is>
          <t>UPPSALA LÄN</t>
        </is>
      </c>
      <c r="E57" t="inlineStr">
        <is>
          <t>ÄLVKARLEBY</t>
        </is>
      </c>
      <c r="F57" t="inlineStr">
        <is>
          <t>Bergvik skog väst AB</t>
        </is>
      </c>
      <c r="G57" t="n">
        <v>2.1</v>
      </c>
      <c r="H57" t="n">
        <v>0</v>
      </c>
      <c r="I57" t="n">
        <v>0</v>
      </c>
      <c r="J57" t="n">
        <v>0</v>
      </c>
      <c r="K57" t="n">
        <v>0</v>
      </c>
      <c r="L57" t="n">
        <v>0</v>
      </c>
      <c r="M57" t="n">
        <v>0</v>
      </c>
      <c r="N57" t="n">
        <v>0</v>
      </c>
      <c r="O57" t="n">
        <v>0</v>
      </c>
      <c r="P57" t="n">
        <v>0</v>
      </c>
      <c r="Q57" t="n">
        <v>0</v>
      </c>
      <c r="R57" s="2" t="inlineStr"/>
    </row>
    <row r="58" ht="15" customHeight="1">
      <c r="A58" t="inlineStr">
        <is>
          <t>A 50416-2020</t>
        </is>
      </c>
      <c r="B58" s="1" t="n">
        <v>44110</v>
      </c>
      <c r="C58" s="1" t="n">
        <v>45734</v>
      </c>
      <c r="D58" t="inlineStr">
        <is>
          <t>UPPSALA LÄN</t>
        </is>
      </c>
      <c r="E58" t="inlineStr">
        <is>
          <t>ÄLVKARLEBY</t>
        </is>
      </c>
      <c r="F58" t="inlineStr">
        <is>
          <t>Bergvik skog väst AB</t>
        </is>
      </c>
      <c r="G58" t="n">
        <v>0.8</v>
      </c>
      <c r="H58" t="n">
        <v>0</v>
      </c>
      <c r="I58" t="n">
        <v>0</v>
      </c>
      <c r="J58" t="n">
        <v>0</v>
      </c>
      <c r="K58" t="n">
        <v>0</v>
      </c>
      <c r="L58" t="n">
        <v>0</v>
      </c>
      <c r="M58" t="n">
        <v>0</v>
      </c>
      <c r="N58" t="n">
        <v>0</v>
      </c>
      <c r="O58" t="n">
        <v>0</v>
      </c>
      <c r="P58" t="n">
        <v>0</v>
      </c>
      <c r="Q58" t="n">
        <v>0</v>
      </c>
      <c r="R58" s="2" t="inlineStr"/>
    </row>
    <row r="59" ht="15" customHeight="1">
      <c r="A59" t="inlineStr">
        <is>
          <t>A 50409-2020</t>
        </is>
      </c>
      <c r="B59" s="1" t="n">
        <v>44110</v>
      </c>
      <c r="C59" s="1" t="n">
        <v>45734</v>
      </c>
      <c r="D59" t="inlineStr">
        <is>
          <t>UPPSALA LÄN</t>
        </is>
      </c>
      <c r="E59" t="inlineStr">
        <is>
          <t>ÄLVKARLEBY</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66278-2020</t>
        </is>
      </c>
      <c r="B60" s="1" t="n">
        <v>44176</v>
      </c>
      <c r="C60" s="1" t="n">
        <v>45734</v>
      </c>
      <c r="D60" t="inlineStr">
        <is>
          <t>UPPSALA LÄN</t>
        </is>
      </c>
      <c r="E60" t="inlineStr">
        <is>
          <t>ÄLVKARLEBY</t>
        </is>
      </c>
      <c r="F60" t="inlineStr">
        <is>
          <t>Bergvik skog väst AB</t>
        </is>
      </c>
      <c r="G60" t="n">
        <v>4.1</v>
      </c>
      <c r="H60" t="n">
        <v>0</v>
      </c>
      <c r="I60" t="n">
        <v>0</v>
      </c>
      <c r="J60" t="n">
        <v>0</v>
      </c>
      <c r="K60" t="n">
        <v>0</v>
      </c>
      <c r="L60" t="n">
        <v>0</v>
      </c>
      <c r="M60" t="n">
        <v>0</v>
      </c>
      <c r="N60" t="n">
        <v>0</v>
      </c>
      <c r="O60" t="n">
        <v>0</v>
      </c>
      <c r="P60" t="n">
        <v>0</v>
      </c>
      <c r="Q60" t="n">
        <v>0</v>
      </c>
      <c r="R60" s="2" t="inlineStr"/>
    </row>
    <row r="61" ht="15" customHeight="1">
      <c r="A61" t="inlineStr">
        <is>
          <t>A 967-2021</t>
        </is>
      </c>
      <c r="B61" s="1" t="n">
        <v>44207</v>
      </c>
      <c r="C61" s="1" t="n">
        <v>45734</v>
      </c>
      <c r="D61" t="inlineStr">
        <is>
          <t>UPPSALA LÄN</t>
        </is>
      </c>
      <c r="E61" t="inlineStr">
        <is>
          <t>ÄLVKARLEBY</t>
        </is>
      </c>
      <c r="G61" t="n">
        <v>0.7</v>
      </c>
      <c r="H61" t="n">
        <v>0</v>
      </c>
      <c r="I61" t="n">
        <v>0</v>
      </c>
      <c r="J61" t="n">
        <v>0</v>
      </c>
      <c r="K61" t="n">
        <v>0</v>
      </c>
      <c r="L61" t="n">
        <v>0</v>
      </c>
      <c r="M61" t="n">
        <v>0</v>
      </c>
      <c r="N61" t="n">
        <v>0</v>
      </c>
      <c r="O61" t="n">
        <v>0</v>
      </c>
      <c r="P61" t="n">
        <v>0</v>
      </c>
      <c r="Q61" t="n">
        <v>0</v>
      </c>
      <c r="R61" s="2" t="inlineStr"/>
    </row>
    <row r="62" ht="15" customHeight="1">
      <c r="A62" t="inlineStr">
        <is>
          <t>A 11553-2021</t>
        </is>
      </c>
      <c r="B62" s="1" t="n">
        <v>44264</v>
      </c>
      <c r="C62" s="1" t="n">
        <v>45734</v>
      </c>
      <c r="D62" t="inlineStr">
        <is>
          <t>UPPSALA LÄN</t>
        </is>
      </c>
      <c r="E62" t="inlineStr">
        <is>
          <t>ÄLVKARLEBY</t>
        </is>
      </c>
      <c r="F62" t="inlineStr">
        <is>
          <t>Bergvik skog väst AB</t>
        </is>
      </c>
      <c r="G62" t="n">
        <v>1.7</v>
      </c>
      <c r="H62" t="n">
        <v>0</v>
      </c>
      <c r="I62" t="n">
        <v>0</v>
      </c>
      <c r="J62" t="n">
        <v>0</v>
      </c>
      <c r="K62" t="n">
        <v>0</v>
      </c>
      <c r="L62" t="n">
        <v>0</v>
      </c>
      <c r="M62" t="n">
        <v>0</v>
      </c>
      <c r="N62" t="n">
        <v>0</v>
      </c>
      <c r="O62" t="n">
        <v>0</v>
      </c>
      <c r="P62" t="n">
        <v>0</v>
      </c>
      <c r="Q62" t="n">
        <v>0</v>
      </c>
      <c r="R62" s="2" t="inlineStr"/>
    </row>
    <row r="63" ht="15" customHeight="1">
      <c r="A63" t="inlineStr">
        <is>
          <t>A 13476-2021</t>
        </is>
      </c>
      <c r="B63" s="1" t="n">
        <v>44273</v>
      </c>
      <c r="C63" s="1" t="n">
        <v>45734</v>
      </c>
      <c r="D63" t="inlineStr">
        <is>
          <t>UPPSALA LÄN</t>
        </is>
      </c>
      <c r="E63" t="inlineStr">
        <is>
          <t>ÄLVKARLEBY</t>
        </is>
      </c>
      <c r="F63" t="inlineStr">
        <is>
          <t>Bergvik skog väst AB</t>
        </is>
      </c>
      <c r="G63" t="n">
        <v>12.1</v>
      </c>
      <c r="H63" t="n">
        <v>0</v>
      </c>
      <c r="I63" t="n">
        <v>0</v>
      </c>
      <c r="J63" t="n">
        <v>0</v>
      </c>
      <c r="K63" t="n">
        <v>0</v>
      </c>
      <c r="L63" t="n">
        <v>0</v>
      </c>
      <c r="M63" t="n">
        <v>0</v>
      </c>
      <c r="N63" t="n">
        <v>0</v>
      </c>
      <c r="O63" t="n">
        <v>0</v>
      </c>
      <c r="P63" t="n">
        <v>0</v>
      </c>
      <c r="Q63" t="n">
        <v>0</v>
      </c>
      <c r="R63" s="2" t="inlineStr"/>
    </row>
    <row r="64" ht="15" customHeight="1">
      <c r="A64" t="inlineStr">
        <is>
          <t>A 39791-2021</t>
        </is>
      </c>
      <c r="B64" s="1" t="n">
        <v>44417</v>
      </c>
      <c r="C64" s="1" t="n">
        <v>45734</v>
      </c>
      <c r="D64" t="inlineStr">
        <is>
          <t>UPPSALA LÄN</t>
        </is>
      </c>
      <c r="E64" t="inlineStr">
        <is>
          <t>ÄLVKARLEBY</t>
        </is>
      </c>
      <c r="G64" t="n">
        <v>1.8</v>
      </c>
      <c r="H64" t="n">
        <v>0</v>
      </c>
      <c r="I64" t="n">
        <v>0</v>
      </c>
      <c r="J64" t="n">
        <v>0</v>
      </c>
      <c r="K64" t="n">
        <v>0</v>
      </c>
      <c r="L64" t="n">
        <v>0</v>
      </c>
      <c r="M64" t="n">
        <v>0</v>
      </c>
      <c r="N64" t="n">
        <v>0</v>
      </c>
      <c r="O64" t="n">
        <v>0</v>
      </c>
      <c r="P64" t="n">
        <v>0</v>
      </c>
      <c r="Q64" t="n">
        <v>0</v>
      </c>
      <c r="R64" s="2" t="inlineStr"/>
    </row>
    <row r="65" ht="15" customHeight="1">
      <c r="A65" t="inlineStr">
        <is>
          <t>A 47226-2021</t>
        </is>
      </c>
      <c r="B65" s="1" t="n">
        <v>44447</v>
      </c>
      <c r="C65" s="1" t="n">
        <v>45734</v>
      </c>
      <c r="D65" t="inlineStr">
        <is>
          <t>UPPSALA LÄN</t>
        </is>
      </c>
      <c r="E65" t="inlineStr">
        <is>
          <t>ÄLVKARLEBY</t>
        </is>
      </c>
      <c r="F65" t="inlineStr">
        <is>
          <t>Bergvik skog väst AB</t>
        </is>
      </c>
      <c r="G65" t="n">
        <v>13</v>
      </c>
      <c r="H65" t="n">
        <v>0</v>
      </c>
      <c r="I65" t="n">
        <v>0</v>
      </c>
      <c r="J65" t="n">
        <v>0</v>
      </c>
      <c r="K65" t="n">
        <v>0</v>
      </c>
      <c r="L65" t="n">
        <v>0</v>
      </c>
      <c r="M65" t="n">
        <v>0</v>
      </c>
      <c r="N65" t="n">
        <v>0</v>
      </c>
      <c r="O65" t="n">
        <v>0</v>
      </c>
      <c r="P65" t="n">
        <v>0</v>
      </c>
      <c r="Q65" t="n">
        <v>0</v>
      </c>
      <c r="R65" s="2" t="inlineStr"/>
    </row>
    <row r="66" ht="15" customHeight="1">
      <c r="A66" t="inlineStr">
        <is>
          <t>A 16990-2022</t>
        </is>
      </c>
      <c r="B66" s="1" t="n">
        <v>44676</v>
      </c>
      <c r="C66" s="1" t="n">
        <v>45734</v>
      </c>
      <c r="D66" t="inlineStr">
        <is>
          <t>UPPSALA LÄN</t>
        </is>
      </c>
      <c r="E66" t="inlineStr">
        <is>
          <t>ÄLVKARLEBY</t>
        </is>
      </c>
      <c r="F66" t="inlineStr">
        <is>
          <t>Bergvik skog väst AB</t>
        </is>
      </c>
      <c r="G66" t="n">
        <v>2.6</v>
      </c>
      <c r="H66" t="n">
        <v>0</v>
      </c>
      <c r="I66" t="n">
        <v>0</v>
      </c>
      <c r="J66" t="n">
        <v>0</v>
      </c>
      <c r="K66" t="n">
        <v>0</v>
      </c>
      <c r="L66" t="n">
        <v>0</v>
      </c>
      <c r="M66" t="n">
        <v>0</v>
      </c>
      <c r="N66" t="n">
        <v>0</v>
      </c>
      <c r="O66" t="n">
        <v>0</v>
      </c>
      <c r="P66" t="n">
        <v>0</v>
      </c>
      <c r="Q66" t="n">
        <v>0</v>
      </c>
      <c r="R66" s="2" t="inlineStr"/>
    </row>
    <row r="67" ht="15" customHeight="1">
      <c r="A67" t="inlineStr">
        <is>
          <t>A 22916-2022</t>
        </is>
      </c>
      <c r="B67" s="1" t="n">
        <v>44715</v>
      </c>
      <c r="C67" s="1" t="n">
        <v>45734</v>
      </c>
      <c r="D67" t="inlineStr">
        <is>
          <t>UPPSALA LÄN</t>
        </is>
      </c>
      <c r="E67" t="inlineStr">
        <is>
          <t>ÄLVKARLEBY</t>
        </is>
      </c>
      <c r="F67" t="inlineStr">
        <is>
          <t>Bergvik skog väst AB</t>
        </is>
      </c>
      <c r="G67" t="n">
        <v>9.199999999999999</v>
      </c>
      <c r="H67" t="n">
        <v>0</v>
      </c>
      <c r="I67" t="n">
        <v>0</v>
      </c>
      <c r="J67" t="n">
        <v>0</v>
      </c>
      <c r="K67" t="n">
        <v>0</v>
      </c>
      <c r="L67" t="n">
        <v>0</v>
      </c>
      <c r="M67" t="n">
        <v>0</v>
      </c>
      <c r="N67" t="n">
        <v>0</v>
      </c>
      <c r="O67" t="n">
        <v>0</v>
      </c>
      <c r="P67" t="n">
        <v>0</v>
      </c>
      <c r="Q67" t="n">
        <v>0</v>
      </c>
      <c r="R67" s="2" t="inlineStr"/>
    </row>
    <row r="68" ht="15" customHeight="1">
      <c r="A68" t="inlineStr">
        <is>
          <t>A 26815-2022</t>
        </is>
      </c>
      <c r="B68" s="1" t="n">
        <v>44740</v>
      </c>
      <c r="C68" s="1" t="n">
        <v>45734</v>
      </c>
      <c r="D68" t="inlineStr">
        <is>
          <t>UPPSALA LÄN</t>
        </is>
      </c>
      <c r="E68" t="inlineStr">
        <is>
          <t>ÄLVKARLEBY</t>
        </is>
      </c>
      <c r="G68" t="n">
        <v>5.8</v>
      </c>
      <c r="H68" t="n">
        <v>0</v>
      </c>
      <c r="I68" t="n">
        <v>0</v>
      </c>
      <c r="J68" t="n">
        <v>0</v>
      </c>
      <c r="K68" t="n">
        <v>0</v>
      </c>
      <c r="L68" t="n">
        <v>0</v>
      </c>
      <c r="M68" t="n">
        <v>0</v>
      </c>
      <c r="N68" t="n">
        <v>0</v>
      </c>
      <c r="O68" t="n">
        <v>0</v>
      </c>
      <c r="P68" t="n">
        <v>0</v>
      </c>
      <c r="Q68" t="n">
        <v>0</v>
      </c>
      <c r="R68" s="2" t="inlineStr"/>
    </row>
    <row r="69" ht="15" customHeight="1">
      <c r="A69" t="inlineStr">
        <is>
          <t>A 29116-2022</t>
        </is>
      </c>
      <c r="B69" s="1" t="n">
        <v>44750</v>
      </c>
      <c r="C69" s="1" t="n">
        <v>45734</v>
      </c>
      <c r="D69" t="inlineStr">
        <is>
          <t>UPPSALA LÄN</t>
        </is>
      </c>
      <c r="E69" t="inlineStr">
        <is>
          <t>ÄLVKARLEBY</t>
        </is>
      </c>
      <c r="F69" t="inlineStr">
        <is>
          <t>Kommuner</t>
        </is>
      </c>
      <c r="G69" t="n">
        <v>1.6</v>
      </c>
      <c r="H69" t="n">
        <v>0</v>
      </c>
      <c r="I69" t="n">
        <v>0</v>
      </c>
      <c r="J69" t="n">
        <v>0</v>
      </c>
      <c r="K69" t="n">
        <v>0</v>
      </c>
      <c r="L69" t="n">
        <v>0</v>
      </c>
      <c r="M69" t="n">
        <v>0</v>
      </c>
      <c r="N69" t="n">
        <v>0</v>
      </c>
      <c r="O69" t="n">
        <v>0</v>
      </c>
      <c r="P69" t="n">
        <v>0</v>
      </c>
      <c r="Q69" t="n">
        <v>0</v>
      </c>
      <c r="R69" s="2" t="inlineStr"/>
    </row>
    <row r="70" ht="15" customHeight="1">
      <c r="A70" t="inlineStr">
        <is>
          <t>A 29168-2022</t>
        </is>
      </c>
      <c r="B70" s="1" t="n">
        <v>44750</v>
      </c>
      <c r="C70" s="1" t="n">
        <v>45734</v>
      </c>
      <c r="D70" t="inlineStr">
        <is>
          <t>UPPSALA LÄN</t>
        </is>
      </c>
      <c r="E70" t="inlineStr">
        <is>
          <t>ÄLVKARLEBY</t>
        </is>
      </c>
      <c r="F70" t="inlineStr">
        <is>
          <t>Kommuner</t>
        </is>
      </c>
      <c r="G70" t="n">
        <v>5.1</v>
      </c>
      <c r="H70" t="n">
        <v>0</v>
      </c>
      <c r="I70" t="n">
        <v>0</v>
      </c>
      <c r="J70" t="n">
        <v>0</v>
      </c>
      <c r="K70" t="n">
        <v>0</v>
      </c>
      <c r="L70" t="n">
        <v>0</v>
      </c>
      <c r="M70" t="n">
        <v>0</v>
      </c>
      <c r="N70" t="n">
        <v>0</v>
      </c>
      <c r="O70" t="n">
        <v>0</v>
      </c>
      <c r="P70" t="n">
        <v>0</v>
      </c>
      <c r="Q70" t="n">
        <v>0</v>
      </c>
      <c r="R70" s="2" t="inlineStr"/>
    </row>
    <row r="71" ht="15" customHeight="1">
      <c r="A71" t="inlineStr">
        <is>
          <t>A 36216-2022</t>
        </is>
      </c>
      <c r="B71" s="1" t="n">
        <v>44803</v>
      </c>
      <c r="C71" s="1" t="n">
        <v>45734</v>
      </c>
      <c r="D71" t="inlineStr">
        <is>
          <t>UPPSALA LÄN</t>
        </is>
      </c>
      <c r="E71" t="inlineStr">
        <is>
          <t>ÄLVKARLEBY</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36217-2022</t>
        </is>
      </c>
      <c r="B72" s="1" t="n">
        <v>44803</v>
      </c>
      <c r="C72" s="1" t="n">
        <v>45734</v>
      </c>
      <c r="D72" t="inlineStr">
        <is>
          <t>UPPSALA LÄN</t>
        </is>
      </c>
      <c r="E72" t="inlineStr">
        <is>
          <t>ÄLVKARLEBY</t>
        </is>
      </c>
      <c r="F72" t="inlineStr">
        <is>
          <t>Bergvik skog väst AB</t>
        </is>
      </c>
      <c r="G72" t="n">
        <v>0.2</v>
      </c>
      <c r="H72" t="n">
        <v>0</v>
      </c>
      <c r="I72" t="n">
        <v>0</v>
      </c>
      <c r="J72" t="n">
        <v>0</v>
      </c>
      <c r="K72" t="n">
        <v>0</v>
      </c>
      <c r="L72" t="n">
        <v>0</v>
      </c>
      <c r="M72" t="n">
        <v>0</v>
      </c>
      <c r="N72" t="n">
        <v>0</v>
      </c>
      <c r="O72" t="n">
        <v>0</v>
      </c>
      <c r="P72" t="n">
        <v>0</v>
      </c>
      <c r="Q72" t="n">
        <v>0</v>
      </c>
      <c r="R72" s="2" t="inlineStr"/>
    </row>
    <row r="73" ht="15" customHeight="1">
      <c r="A73" t="inlineStr">
        <is>
          <t>A 36282-2022</t>
        </is>
      </c>
      <c r="B73" s="1" t="n">
        <v>44803</v>
      </c>
      <c r="C73" s="1" t="n">
        <v>45734</v>
      </c>
      <c r="D73" t="inlineStr">
        <is>
          <t>UPPSALA LÄN</t>
        </is>
      </c>
      <c r="E73" t="inlineStr">
        <is>
          <t>ÄLVKARLEBY</t>
        </is>
      </c>
      <c r="G73" t="n">
        <v>0.1</v>
      </c>
      <c r="H73" t="n">
        <v>0</v>
      </c>
      <c r="I73" t="n">
        <v>0</v>
      </c>
      <c r="J73" t="n">
        <v>0</v>
      </c>
      <c r="K73" t="n">
        <v>0</v>
      </c>
      <c r="L73" t="n">
        <v>0</v>
      </c>
      <c r="M73" t="n">
        <v>0</v>
      </c>
      <c r="N73" t="n">
        <v>0</v>
      </c>
      <c r="O73" t="n">
        <v>0</v>
      </c>
      <c r="P73" t="n">
        <v>0</v>
      </c>
      <c r="Q73" t="n">
        <v>0</v>
      </c>
      <c r="R73" s="2" t="inlineStr"/>
    </row>
    <row r="74" ht="15" customHeight="1">
      <c r="A74" t="inlineStr">
        <is>
          <t>A 41757-2022</t>
        </is>
      </c>
      <c r="B74" s="1" t="n">
        <v>44827</v>
      </c>
      <c r="C74" s="1" t="n">
        <v>45734</v>
      </c>
      <c r="D74" t="inlineStr">
        <is>
          <t>UPPSALA LÄN</t>
        </is>
      </c>
      <c r="E74" t="inlineStr">
        <is>
          <t>ÄLVKARLEBY</t>
        </is>
      </c>
      <c r="F74" t="inlineStr">
        <is>
          <t>Bergvik skog väst AB</t>
        </is>
      </c>
      <c r="G74" t="n">
        <v>12.7</v>
      </c>
      <c r="H74" t="n">
        <v>0</v>
      </c>
      <c r="I74" t="n">
        <v>0</v>
      </c>
      <c r="J74" t="n">
        <v>0</v>
      </c>
      <c r="K74" t="n">
        <v>0</v>
      </c>
      <c r="L74" t="n">
        <v>0</v>
      </c>
      <c r="M74" t="n">
        <v>0</v>
      </c>
      <c r="N74" t="n">
        <v>0</v>
      </c>
      <c r="O74" t="n">
        <v>0</v>
      </c>
      <c r="P74" t="n">
        <v>0</v>
      </c>
      <c r="Q74" t="n">
        <v>0</v>
      </c>
      <c r="R74" s="2" t="inlineStr"/>
    </row>
    <row r="75" ht="15" customHeight="1">
      <c r="A75" t="inlineStr">
        <is>
          <t>A 60837-2022</t>
        </is>
      </c>
      <c r="B75" s="1" t="n">
        <v>44914</v>
      </c>
      <c r="C75" s="1" t="n">
        <v>45734</v>
      </c>
      <c r="D75" t="inlineStr">
        <is>
          <t>UPPSALA LÄN</t>
        </is>
      </c>
      <c r="E75" t="inlineStr">
        <is>
          <t>ÄLVKARLEBY</t>
        </is>
      </c>
      <c r="F75" t="inlineStr">
        <is>
          <t>Bergvik skog väst AB</t>
        </is>
      </c>
      <c r="G75" t="n">
        <v>3.1</v>
      </c>
      <c r="H75" t="n">
        <v>0</v>
      </c>
      <c r="I75" t="n">
        <v>0</v>
      </c>
      <c r="J75" t="n">
        <v>0</v>
      </c>
      <c r="K75" t="n">
        <v>0</v>
      </c>
      <c r="L75" t="n">
        <v>0</v>
      </c>
      <c r="M75" t="n">
        <v>0</v>
      </c>
      <c r="N75" t="n">
        <v>0</v>
      </c>
      <c r="O75" t="n">
        <v>0</v>
      </c>
      <c r="P75" t="n">
        <v>0</v>
      </c>
      <c r="Q75" t="n">
        <v>0</v>
      </c>
      <c r="R75" s="2" t="inlineStr"/>
    </row>
    <row r="76" ht="15" customHeight="1">
      <c r="A76" t="inlineStr">
        <is>
          <t>A 6839-2023</t>
        </is>
      </c>
      <c r="B76" s="1" t="n">
        <v>44967</v>
      </c>
      <c r="C76" s="1" t="n">
        <v>45734</v>
      </c>
      <c r="D76" t="inlineStr">
        <is>
          <t>UPPSALA LÄN</t>
        </is>
      </c>
      <c r="E76" t="inlineStr">
        <is>
          <t>ÄLVKARLEBY</t>
        </is>
      </c>
      <c r="F76" t="inlineStr">
        <is>
          <t>Bergvik skog väst AB</t>
        </is>
      </c>
      <c r="G76" t="n">
        <v>2.2</v>
      </c>
      <c r="H76" t="n">
        <v>0</v>
      </c>
      <c r="I76" t="n">
        <v>0</v>
      </c>
      <c r="J76" t="n">
        <v>0</v>
      </c>
      <c r="K76" t="n">
        <v>0</v>
      </c>
      <c r="L76" t="n">
        <v>0</v>
      </c>
      <c r="M76" t="n">
        <v>0</v>
      </c>
      <c r="N76" t="n">
        <v>0</v>
      </c>
      <c r="O76" t="n">
        <v>0</v>
      </c>
      <c r="P76" t="n">
        <v>0</v>
      </c>
      <c r="Q76" t="n">
        <v>0</v>
      </c>
      <c r="R76" s="2" t="inlineStr"/>
    </row>
    <row r="77" ht="15" customHeight="1">
      <c r="A77" t="inlineStr">
        <is>
          <t>A 6834-2023</t>
        </is>
      </c>
      <c r="B77" s="1" t="n">
        <v>44967</v>
      </c>
      <c r="C77" s="1" t="n">
        <v>45734</v>
      </c>
      <c r="D77" t="inlineStr">
        <is>
          <t>UPPSALA LÄN</t>
        </is>
      </c>
      <c r="E77" t="inlineStr">
        <is>
          <t>ÄLVKARLEBY</t>
        </is>
      </c>
      <c r="F77" t="inlineStr">
        <is>
          <t>Bergvik skog väst AB</t>
        </is>
      </c>
      <c r="G77" t="n">
        <v>8.1</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45734</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45734</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45734</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45734</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45734</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45734</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45734</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45734</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45734</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45734</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45734</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45734</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45734</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45734</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45734</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45734</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45734</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45734</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45734</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45734</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45734</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45734</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45734</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45734</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45734</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45734</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45734</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45734</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45734</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45734</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45734</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45734</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45734</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45734</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45734</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45734</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45734</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45734</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45734</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45734</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45734</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45734</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45734</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45734</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45734</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45734</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45734</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45734</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45734</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45734</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45734</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45734</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45734</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45734</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45734</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45734</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45734</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45734</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45734</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45734</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45734</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45734</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45734</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45734</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45734</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45734</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45734</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45734</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45734</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45734</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45734</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45734</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45734</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45734</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45734</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45734</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45734</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c r="A155" t="inlineStr">
        <is>
          <t>A 9533-2025</t>
        </is>
      </c>
      <c r="B155" s="1" t="n">
        <v>45715</v>
      </c>
      <c r="C155" s="1" t="n">
        <v>45734</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2025-03-18T15:24:53Z</dcterms:created>
  <dcterms:modified xmlns:dcterms="http://purl.org/dc/terms/" xmlns:xsi="http://www.w3.org/2001/XMLSchema-instance" xsi:type="dcterms:W3CDTF">2025-03-18T15:24:53Z</dcterms:modified>
</cp:coreProperties>
</file>