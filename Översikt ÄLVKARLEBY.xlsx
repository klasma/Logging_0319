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45344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45344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33441-2021</t>
        </is>
      </c>
      <c r="B4" s="1" t="n">
        <v>44377</v>
      </c>
      <c r="C4" s="1" t="n">
        <v>45344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12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Kalkkärrsgrynsnäcka
Nästrot
Ögonpyrola</t>
        </is>
      </c>
      <c r="S4">
        <f>HYPERLINK("https://klasma.github.io/Logging_0319/artfynd/A 33441-2021 artfynd.xlsx", "A 33441-2021")</f>
        <v/>
      </c>
      <c r="T4">
        <f>HYPERLINK("https://klasma.github.io/Logging_0319/kartor/A 33441-2021 karta.png", "A 33441-2021")</f>
        <v/>
      </c>
      <c r="V4">
        <f>HYPERLINK("https://klasma.github.io/Logging_0319/klagomål/A 33441-2021 FSC-klagomål.docx", "A 33441-2021")</f>
        <v/>
      </c>
      <c r="W4">
        <f>HYPERLINK("https://klasma.github.io/Logging_0319/klagomålsmail/A 33441-2021 FSC-klagomål mail.docx", "A 33441-2021")</f>
        <v/>
      </c>
      <c r="X4">
        <f>HYPERLINK("https://klasma.github.io/Logging_0319/tillsyn/A 33441-2021 tillsynsbegäran.docx", "A 33441-2021")</f>
        <v/>
      </c>
      <c r="Y4">
        <f>HYPERLINK("https://klasma.github.io/Logging_0319/tillsynsmail/A 33441-2021 tillsynsbegäran mail.docx", "A 33441-2021")</f>
        <v/>
      </c>
    </row>
    <row r="5" ht="15" customHeight="1">
      <c r="A5" t="inlineStr">
        <is>
          <t>A 25724-2023</t>
        </is>
      </c>
      <c r="B5" s="1" t="n">
        <v>45090</v>
      </c>
      <c r="C5" s="1" t="n">
        <v>45344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18.6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Väddnätfjäril
Anisspindling
Tibast</t>
        </is>
      </c>
      <c r="S5">
        <f>HYPERLINK("https://klasma.github.io/Logging_0319/artfynd/A 25724-2023 artfynd.xlsx", "A 25724-2023")</f>
        <v/>
      </c>
      <c r="T5">
        <f>HYPERLINK("https://klasma.github.io/Logging_0319/kartor/A 25724-2023 karta.png", "A 25724-2023")</f>
        <v/>
      </c>
      <c r="V5">
        <f>HYPERLINK("https://klasma.github.io/Logging_0319/klagomål/A 25724-2023 FSC-klagomål.docx", "A 25724-2023")</f>
        <v/>
      </c>
      <c r="W5">
        <f>HYPERLINK("https://klasma.github.io/Logging_0319/klagomålsmail/A 25724-2023 FSC-klagomål mail.docx", "A 25724-2023")</f>
        <v/>
      </c>
      <c r="X5">
        <f>HYPERLINK("https://klasma.github.io/Logging_0319/tillsyn/A 25724-2023 tillsynsbegäran.docx", "A 25724-2023")</f>
        <v/>
      </c>
      <c r="Y5">
        <f>HYPERLINK("https://klasma.github.io/Logging_0319/tillsynsmail/A 25724-2023 tillsynsbegäran mail.docx", "A 25724-2023")</f>
        <v/>
      </c>
    </row>
    <row r="6" ht="15" customHeight="1">
      <c r="A6" t="inlineStr">
        <is>
          <t>A 45895-2023</t>
        </is>
      </c>
      <c r="B6" s="1" t="n">
        <v>45195</v>
      </c>
      <c r="C6" s="1" t="n">
        <v>45344</v>
      </c>
      <c r="D6" t="inlineStr">
        <is>
          <t>UPPSALA LÄN</t>
        </is>
      </c>
      <c r="E6" t="inlineStr">
        <is>
          <t>ÄLVKARLEBY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Flattoppad klubbsvamp
Sårläka
Trådfräken</t>
        </is>
      </c>
      <c r="S6">
        <f>HYPERLINK("https://klasma.github.io/Logging_0319/artfynd/A 45895-2023 artfynd.xlsx", "A 45895-2023")</f>
        <v/>
      </c>
      <c r="T6">
        <f>HYPERLINK("https://klasma.github.io/Logging_0319/kartor/A 45895-2023 karta.png", "A 45895-2023")</f>
        <v/>
      </c>
      <c r="V6">
        <f>HYPERLINK("https://klasma.github.io/Logging_0319/klagomål/A 45895-2023 FSC-klagomål.docx", "A 45895-2023")</f>
        <v/>
      </c>
      <c r="W6">
        <f>HYPERLINK("https://klasma.github.io/Logging_0319/klagomålsmail/A 45895-2023 FSC-klagomål mail.docx", "A 45895-2023")</f>
        <v/>
      </c>
      <c r="X6">
        <f>HYPERLINK("https://klasma.github.io/Logging_0319/tillsyn/A 45895-2023 tillsynsbegäran.docx", "A 45895-2023")</f>
        <v/>
      </c>
      <c r="Y6">
        <f>HYPERLINK("https://klasma.github.io/Logging_0319/tillsynsmail/A 45895-2023 tillsynsbegäran mail.docx", "A 45895-2023")</f>
        <v/>
      </c>
    </row>
    <row r="7" ht="15" customHeight="1">
      <c r="A7" t="inlineStr">
        <is>
          <t>A 46277-2018</t>
        </is>
      </c>
      <c r="B7" s="1" t="n">
        <v>43367</v>
      </c>
      <c r="C7" s="1" t="n">
        <v>45344</v>
      </c>
      <c r="D7" t="inlineStr">
        <is>
          <t>UPPSALA LÄN</t>
        </is>
      </c>
      <c r="E7" t="inlineStr">
        <is>
          <t>ÄLVKARLEBY</t>
        </is>
      </c>
      <c r="G7" t="n">
        <v>1.5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Guckusko
Tibast</t>
        </is>
      </c>
      <c r="S7">
        <f>HYPERLINK("https://klasma.github.io/Logging_0319/artfynd/A 46277-2018 artfynd.xlsx", "A 46277-2018")</f>
        <v/>
      </c>
      <c r="T7">
        <f>HYPERLINK("https://klasma.github.io/Logging_0319/kartor/A 46277-2018 karta.png", "A 46277-2018")</f>
        <v/>
      </c>
      <c r="V7">
        <f>HYPERLINK("https://klasma.github.io/Logging_0319/klagomål/A 46277-2018 FSC-klagomål.docx", "A 46277-2018")</f>
        <v/>
      </c>
      <c r="W7">
        <f>HYPERLINK("https://klasma.github.io/Logging_0319/klagomålsmail/A 46277-2018 FSC-klagomål mail.docx", "A 46277-2018")</f>
        <v/>
      </c>
      <c r="X7">
        <f>HYPERLINK("https://klasma.github.io/Logging_0319/tillsyn/A 46277-2018 tillsynsbegäran.docx", "A 46277-2018")</f>
        <v/>
      </c>
      <c r="Y7">
        <f>HYPERLINK("https://klasma.github.io/Logging_0319/tillsynsmail/A 46277-2018 tillsynsbegäran mail.docx", "A 46277-2018")</f>
        <v/>
      </c>
    </row>
    <row r="8" ht="15" customHeight="1">
      <c r="A8" t="inlineStr">
        <is>
          <t>A 62133-2019</t>
        </is>
      </c>
      <c r="B8" s="1" t="n">
        <v>43787</v>
      </c>
      <c r="C8" s="1" t="n">
        <v>45344</v>
      </c>
      <c r="D8" t="inlineStr">
        <is>
          <t>UPPSALA LÄN</t>
        </is>
      </c>
      <c r="E8" t="inlineStr">
        <is>
          <t>ÄLVKARLEBY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Rutskinn
Brun nållav</t>
        </is>
      </c>
      <c r="S8">
        <f>HYPERLINK("https://klasma.github.io/Logging_0319/artfynd/A 62133-2019 artfynd.xlsx", "A 62133-2019")</f>
        <v/>
      </c>
      <c r="T8">
        <f>HYPERLINK("https://klasma.github.io/Logging_0319/kartor/A 62133-2019 karta.png", "A 62133-2019")</f>
        <v/>
      </c>
      <c r="V8">
        <f>HYPERLINK("https://klasma.github.io/Logging_0319/klagomål/A 62133-2019 FSC-klagomål.docx", "A 62133-2019")</f>
        <v/>
      </c>
      <c r="W8">
        <f>HYPERLINK("https://klasma.github.io/Logging_0319/klagomålsmail/A 62133-2019 FSC-klagomål mail.docx", "A 62133-2019")</f>
        <v/>
      </c>
      <c r="X8">
        <f>HYPERLINK("https://klasma.github.io/Logging_0319/tillsyn/A 62133-2019 tillsynsbegäran.docx", "A 62133-2019")</f>
        <v/>
      </c>
      <c r="Y8">
        <f>HYPERLINK("https://klasma.github.io/Logging_0319/tillsynsmail/A 62133-2019 tillsynsbegäran mail.docx", "A 62133-2019")</f>
        <v/>
      </c>
    </row>
    <row r="9" ht="15" customHeight="1">
      <c r="A9" t="inlineStr">
        <is>
          <t>A 50415-2020</t>
        </is>
      </c>
      <c r="B9" s="1" t="n">
        <v>44110</v>
      </c>
      <c r="C9" s="1" t="n">
        <v>45344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Skogssvingel</t>
        </is>
      </c>
      <c r="S9">
        <f>HYPERLINK("https://klasma.github.io/Logging_0319/artfynd/A 50415-2020 artfynd.xlsx", "A 50415-2020")</f>
        <v/>
      </c>
      <c r="T9">
        <f>HYPERLINK("https://klasma.github.io/Logging_0319/kartor/A 50415-2020 karta.png", "A 50415-2020")</f>
        <v/>
      </c>
      <c r="V9">
        <f>HYPERLINK("https://klasma.github.io/Logging_0319/klagomål/A 50415-2020 FSC-klagomål.docx", "A 50415-2020")</f>
        <v/>
      </c>
      <c r="W9">
        <f>HYPERLINK("https://klasma.github.io/Logging_0319/klagomålsmail/A 50415-2020 FSC-klagomål mail.docx", "A 50415-2020")</f>
        <v/>
      </c>
      <c r="X9">
        <f>HYPERLINK("https://klasma.github.io/Logging_0319/tillsyn/A 50415-2020 tillsynsbegäran.docx", "A 50415-2020")</f>
        <v/>
      </c>
      <c r="Y9">
        <f>HYPERLINK("https://klasma.github.io/Logging_0319/tillsynsmail/A 50415-2020 tillsynsbegäran mail.docx", "A 50415-2020")</f>
        <v/>
      </c>
    </row>
    <row r="10" ht="15" customHeight="1">
      <c r="A10" t="inlineStr">
        <is>
          <t>A 22025-2021</t>
        </is>
      </c>
      <c r="B10" s="1" t="n">
        <v>44323</v>
      </c>
      <c r="C10" s="1" t="n">
        <v>45344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15.8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Ekticka
Rödbrun blekspik</t>
        </is>
      </c>
      <c r="S10">
        <f>HYPERLINK("https://klasma.github.io/Logging_0319/artfynd/A 22025-2021 artfynd.xlsx", "A 22025-2021")</f>
        <v/>
      </c>
      <c r="T10">
        <f>HYPERLINK("https://klasma.github.io/Logging_0319/kartor/A 22025-2021 karta.png", "A 22025-2021")</f>
        <v/>
      </c>
      <c r="V10">
        <f>HYPERLINK("https://klasma.github.io/Logging_0319/klagomål/A 22025-2021 FSC-klagomål.docx", "A 22025-2021")</f>
        <v/>
      </c>
      <c r="W10">
        <f>HYPERLINK("https://klasma.github.io/Logging_0319/klagomålsmail/A 22025-2021 FSC-klagomål mail.docx", "A 22025-2021")</f>
        <v/>
      </c>
      <c r="X10">
        <f>HYPERLINK("https://klasma.github.io/Logging_0319/tillsyn/A 22025-2021 tillsynsbegäran.docx", "A 22025-2021")</f>
        <v/>
      </c>
      <c r="Y10">
        <f>HYPERLINK("https://klasma.github.io/Logging_0319/tillsynsmail/A 22025-2021 tillsynsbegäran mail.docx", "A 22025-2021")</f>
        <v/>
      </c>
    </row>
    <row r="11" ht="15" customHeight="1">
      <c r="A11" t="inlineStr">
        <is>
          <t>A 6832-2023</t>
        </is>
      </c>
      <c r="B11" s="1" t="n">
        <v>44967</v>
      </c>
      <c r="C11" s="1" t="n">
        <v>45344</v>
      </c>
      <c r="D11" t="inlineStr">
        <is>
          <t>UPPSALA LÄN</t>
        </is>
      </c>
      <c r="E11" t="inlineStr">
        <is>
          <t>ÄLVKARLEBY</t>
        </is>
      </c>
      <c r="F11" t="inlineStr">
        <is>
          <t>Bergvik skog väst AB</t>
        </is>
      </c>
      <c r="G11" t="n">
        <v>8.9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Grangråticka
Koppartaggsvamp</t>
        </is>
      </c>
      <c r="S11">
        <f>HYPERLINK("https://klasma.github.io/Logging_0319/artfynd/A 6832-2023 artfynd.xlsx", "A 6832-2023")</f>
        <v/>
      </c>
      <c r="T11">
        <f>HYPERLINK("https://klasma.github.io/Logging_0319/kartor/A 6832-2023 karta.png", "A 6832-2023")</f>
        <v/>
      </c>
      <c r="V11">
        <f>HYPERLINK("https://klasma.github.io/Logging_0319/klagomål/A 6832-2023 FSC-klagomål.docx", "A 6832-2023")</f>
        <v/>
      </c>
      <c r="W11">
        <f>HYPERLINK("https://klasma.github.io/Logging_0319/klagomålsmail/A 6832-2023 FSC-klagomål mail.docx", "A 6832-2023")</f>
        <v/>
      </c>
      <c r="X11">
        <f>HYPERLINK("https://klasma.github.io/Logging_0319/tillsyn/A 6832-2023 tillsynsbegäran.docx", "A 6832-2023")</f>
        <v/>
      </c>
      <c r="Y11">
        <f>HYPERLINK("https://klasma.github.io/Logging_0319/tillsynsmail/A 6832-2023 tillsynsbegäran mail.docx", "A 6832-2023")</f>
        <v/>
      </c>
    </row>
    <row r="12" ht="15" customHeight="1">
      <c r="A12" t="inlineStr">
        <is>
          <t>A 46363-2023</t>
        </is>
      </c>
      <c r="B12" s="1" t="n">
        <v>45197</v>
      </c>
      <c r="C12" s="1" t="n">
        <v>45344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öst AB</t>
        </is>
      </c>
      <c r="G12" t="n">
        <v>11.8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Brudsporre
Fläcknycklar</t>
        </is>
      </c>
      <c r="S12">
        <f>HYPERLINK("https://klasma.github.io/Logging_0319/artfynd/A 46363-2023 artfynd.xlsx", "A 46363-2023")</f>
        <v/>
      </c>
      <c r="T12">
        <f>HYPERLINK("https://klasma.github.io/Logging_0319/kartor/A 46363-2023 karta.png", "A 46363-2023")</f>
        <v/>
      </c>
      <c r="V12">
        <f>HYPERLINK("https://klasma.github.io/Logging_0319/klagomål/A 46363-2023 FSC-klagomål.docx", "A 46363-2023")</f>
        <v/>
      </c>
      <c r="W12">
        <f>HYPERLINK("https://klasma.github.io/Logging_0319/klagomålsmail/A 46363-2023 FSC-klagomål mail.docx", "A 46363-2023")</f>
        <v/>
      </c>
      <c r="X12">
        <f>HYPERLINK("https://klasma.github.io/Logging_0319/tillsyn/A 46363-2023 tillsynsbegäran.docx", "A 46363-2023")</f>
        <v/>
      </c>
      <c r="Y12">
        <f>HYPERLINK("https://klasma.github.io/Logging_0319/tillsynsmail/A 46363-2023 tillsynsbegäran mail.docx", "A 46363-2023")</f>
        <v/>
      </c>
    </row>
    <row r="13" ht="15" customHeight="1">
      <c r="A13" t="inlineStr">
        <is>
          <t>A 60458-2023</t>
        </is>
      </c>
      <c r="B13" s="1" t="n">
        <v>45259</v>
      </c>
      <c r="C13" s="1" t="n">
        <v>45344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öst AB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Bredgentiana
Fältgentiana</t>
        </is>
      </c>
      <c r="S13">
        <f>HYPERLINK("https://klasma.github.io/Logging_0319/artfynd/A 60458-2023 artfynd.xlsx", "A 60458-2023")</f>
        <v/>
      </c>
      <c r="T13">
        <f>HYPERLINK("https://klasma.github.io/Logging_0319/kartor/A 60458-2023 karta.png", "A 60458-2023")</f>
        <v/>
      </c>
      <c r="V13">
        <f>HYPERLINK("https://klasma.github.io/Logging_0319/klagomål/A 60458-2023 FSC-klagomål.docx", "A 60458-2023")</f>
        <v/>
      </c>
      <c r="W13">
        <f>HYPERLINK("https://klasma.github.io/Logging_0319/klagomålsmail/A 60458-2023 FSC-klagomål mail.docx", "A 60458-2023")</f>
        <v/>
      </c>
      <c r="X13">
        <f>HYPERLINK("https://klasma.github.io/Logging_0319/tillsyn/A 60458-2023 tillsynsbegäran.docx", "A 60458-2023")</f>
        <v/>
      </c>
      <c r="Y13">
        <f>HYPERLINK("https://klasma.github.io/Logging_0319/tillsynsmail/A 60458-2023 tillsynsbegäran mail.docx", "A 60458-2023")</f>
        <v/>
      </c>
    </row>
    <row r="14" ht="15" customHeight="1">
      <c r="A14" t="inlineStr">
        <is>
          <t>A 61147-2019</t>
        </is>
      </c>
      <c r="B14" s="1" t="n">
        <v>43782</v>
      </c>
      <c r="C14" s="1" t="n">
        <v>45344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väst AB</t>
        </is>
      </c>
      <c r="G14" t="n">
        <v>0.9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Violgubbe</t>
        </is>
      </c>
      <c r="S14">
        <f>HYPERLINK("https://klasma.github.io/Logging_0319/artfynd/A 61147-2019 artfynd.xlsx", "A 61147-2019")</f>
        <v/>
      </c>
      <c r="T14">
        <f>HYPERLINK("https://klasma.github.io/Logging_0319/kartor/A 61147-2019 karta.png", "A 61147-2019")</f>
        <v/>
      </c>
      <c r="V14">
        <f>HYPERLINK("https://klasma.github.io/Logging_0319/klagomål/A 61147-2019 FSC-klagomål.docx", "A 61147-2019")</f>
        <v/>
      </c>
      <c r="W14">
        <f>HYPERLINK("https://klasma.github.io/Logging_0319/klagomålsmail/A 61147-2019 FSC-klagomål mail.docx", "A 61147-2019")</f>
        <v/>
      </c>
      <c r="X14">
        <f>HYPERLINK("https://klasma.github.io/Logging_0319/tillsyn/A 61147-2019 tillsynsbegäran.docx", "A 61147-2019")</f>
        <v/>
      </c>
      <c r="Y14">
        <f>HYPERLINK("https://klasma.github.io/Logging_0319/tillsynsmail/A 61147-2019 tillsynsbegäran mail.docx", "A 61147-2019")</f>
        <v/>
      </c>
    </row>
    <row r="15" ht="15" customHeight="1">
      <c r="A15" t="inlineStr">
        <is>
          <t>A 61354-2019</t>
        </is>
      </c>
      <c r="B15" s="1" t="n">
        <v>43783</v>
      </c>
      <c r="C15" s="1" t="n">
        <v>45344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Olivspindling</t>
        </is>
      </c>
      <c r="S15">
        <f>HYPERLINK("https://klasma.github.io/Logging_0319/artfynd/A 61354-2019 artfynd.xlsx", "A 61354-2019")</f>
        <v/>
      </c>
      <c r="T15">
        <f>HYPERLINK("https://klasma.github.io/Logging_0319/kartor/A 61354-2019 karta.png", "A 61354-2019")</f>
        <v/>
      </c>
      <c r="V15">
        <f>HYPERLINK("https://klasma.github.io/Logging_0319/klagomål/A 61354-2019 FSC-klagomål.docx", "A 61354-2019")</f>
        <v/>
      </c>
      <c r="W15">
        <f>HYPERLINK("https://klasma.github.io/Logging_0319/klagomålsmail/A 61354-2019 FSC-klagomål mail.docx", "A 61354-2019")</f>
        <v/>
      </c>
      <c r="X15">
        <f>HYPERLINK("https://klasma.github.io/Logging_0319/tillsyn/A 61354-2019 tillsynsbegäran.docx", "A 61354-2019")</f>
        <v/>
      </c>
      <c r="Y15">
        <f>HYPERLINK("https://klasma.github.io/Logging_0319/tillsynsmail/A 61354-2019 tillsynsbegäran mail.docx", "A 61354-2019")</f>
        <v/>
      </c>
    </row>
    <row r="16" ht="15" customHeight="1">
      <c r="A16" t="inlineStr">
        <is>
          <t>A 42895-2020</t>
        </is>
      </c>
      <c r="B16" s="1" t="n">
        <v>44078</v>
      </c>
      <c r="C16" s="1" t="n">
        <v>45344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väst AB</t>
        </is>
      </c>
      <c r="G16" t="n">
        <v>21.9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Gölgroda</t>
        </is>
      </c>
      <c r="S16">
        <f>HYPERLINK("https://klasma.github.io/Logging_0319/artfynd/A 42895-2020 artfynd.xlsx", "A 42895-2020")</f>
        <v/>
      </c>
      <c r="T16">
        <f>HYPERLINK("https://klasma.github.io/Logging_0319/kartor/A 42895-2020 karta.png", "A 42895-2020")</f>
        <v/>
      </c>
      <c r="V16">
        <f>HYPERLINK("https://klasma.github.io/Logging_0319/klagomål/A 42895-2020 FSC-klagomål.docx", "A 42895-2020")</f>
        <v/>
      </c>
      <c r="W16">
        <f>HYPERLINK("https://klasma.github.io/Logging_0319/klagomålsmail/A 42895-2020 FSC-klagomål mail.docx", "A 42895-2020")</f>
        <v/>
      </c>
      <c r="X16">
        <f>HYPERLINK("https://klasma.github.io/Logging_0319/tillsyn/A 42895-2020 tillsynsbegäran.docx", "A 42895-2020")</f>
        <v/>
      </c>
      <c r="Y16">
        <f>HYPERLINK("https://klasma.github.io/Logging_0319/tillsynsmail/A 42895-2020 tillsynsbegäran mail.docx", "A 42895-2020")</f>
        <v/>
      </c>
    </row>
    <row r="17" ht="15" customHeight="1">
      <c r="A17" t="inlineStr">
        <is>
          <t>A 66277-2020</t>
        </is>
      </c>
      <c r="B17" s="1" t="n">
        <v>44176</v>
      </c>
      <c r="C17" s="1" t="n">
        <v>45344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HYPERLINK("https://klasma.github.io/Logging_0319/artfynd/A 66277-2020 artfynd.xlsx", "A 66277-2020")</f>
        <v/>
      </c>
      <c r="T17">
        <f>HYPERLINK("https://klasma.github.io/Logging_0319/kartor/A 66277-2020 karta.png", "A 66277-2020")</f>
        <v/>
      </c>
      <c r="V17">
        <f>HYPERLINK("https://klasma.github.io/Logging_0319/klagomål/A 66277-2020 FSC-klagomål.docx", "A 66277-2020")</f>
        <v/>
      </c>
      <c r="W17">
        <f>HYPERLINK("https://klasma.github.io/Logging_0319/klagomålsmail/A 66277-2020 FSC-klagomål mail.docx", "A 66277-2020")</f>
        <v/>
      </c>
      <c r="X17">
        <f>HYPERLINK("https://klasma.github.io/Logging_0319/tillsyn/A 66277-2020 tillsynsbegäran.docx", "A 66277-2020")</f>
        <v/>
      </c>
      <c r="Y17">
        <f>HYPERLINK("https://klasma.github.io/Logging_0319/tillsynsmail/A 66277-2020 tillsynsbegäran mail.docx", "A 66277-2020")</f>
        <v/>
      </c>
    </row>
    <row r="18" ht="15" customHeight="1">
      <c r="A18" t="inlineStr">
        <is>
          <t>A 70017-2021</t>
        </is>
      </c>
      <c r="B18" s="1" t="n">
        <v>44533</v>
      </c>
      <c r="C18" s="1" t="n">
        <v>45344</v>
      </c>
      <c r="D18" t="inlineStr">
        <is>
          <t>UPPSALA LÄN</t>
        </is>
      </c>
      <c r="E18" t="inlineStr">
        <is>
          <t>ÄLVKARLEBY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Gölgroda</t>
        </is>
      </c>
      <c r="S18">
        <f>HYPERLINK("https://klasma.github.io/Logging_0319/artfynd/A 70017-2021 artfynd.xlsx", "A 70017-2021")</f>
        <v/>
      </c>
      <c r="T18">
        <f>HYPERLINK("https://klasma.github.io/Logging_0319/kartor/A 70017-2021 karta.png", "A 70017-2021")</f>
        <v/>
      </c>
      <c r="V18">
        <f>HYPERLINK("https://klasma.github.io/Logging_0319/klagomål/A 70017-2021 FSC-klagomål.docx", "A 70017-2021")</f>
        <v/>
      </c>
      <c r="W18">
        <f>HYPERLINK("https://klasma.github.io/Logging_0319/klagomålsmail/A 70017-2021 FSC-klagomål mail.docx", "A 70017-2021")</f>
        <v/>
      </c>
      <c r="X18">
        <f>HYPERLINK("https://klasma.github.io/Logging_0319/tillsyn/A 70017-2021 tillsynsbegäran.docx", "A 70017-2021")</f>
        <v/>
      </c>
      <c r="Y18">
        <f>HYPERLINK("https://klasma.github.io/Logging_0319/tillsynsmail/A 70017-2021 tillsynsbegäran mail.docx", "A 70017-2021")</f>
        <v/>
      </c>
    </row>
    <row r="19" ht="15" customHeight="1">
      <c r="A19" t="inlineStr">
        <is>
          <t>A 29748-2022</t>
        </is>
      </c>
      <c r="B19" s="1" t="n">
        <v>44755</v>
      </c>
      <c r="C19" s="1" t="n">
        <v>45344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 bockrot</t>
        </is>
      </c>
      <c r="S19">
        <f>HYPERLINK("https://klasma.github.io/Logging_0319/artfynd/A 29748-2022 artfynd.xlsx", "A 29748-2022")</f>
        <v/>
      </c>
      <c r="T19">
        <f>HYPERLINK("https://klasma.github.io/Logging_0319/kartor/A 29748-2022 karta.png", "A 29748-2022")</f>
        <v/>
      </c>
      <c r="V19">
        <f>HYPERLINK("https://klasma.github.io/Logging_0319/klagomål/A 29748-2022 FSC-klagomål.docx", "A 29748-2022")</f>
        <v/>
      </c>
      <c r="W19">
        <f>HYPERLINK("https://klasma.github.io/Logging_0319/klagomålsmail/A 29748-2022 FSC-klagomål mail.docx", "A 29748-2022")</f>
        <v/>
      </c>
      <c r="X19">
        <f>HYPERLINK("https://klasma.github.io/Logging_0319/tillsyn/A 29748-2022 tillsynsbegäran.docx", "A 29748-2022")</f>
        <v/>
      </c>
      <c r="Y19">
        <f>HYPERLINK("https://klasma.github.io/Logging_0319/tillsynsmail/A 29748-2022 tillsynsbegäran mail.docx", "A 29748-2022")</f>
        <v/>
      </c>
    </row>
    <row r="20" ht="15" customHeight="1">
      <c r="A20" t="inlineStr">
        <is>
          <t>A 12415-2023</t>
        </is>
      </c>
      <c r="B20" s="1" t="n">
        <v>44999</v>
      </c>
      <c r="C20" s="1" t="n">
        <v>45344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väst AB</t>
        </is>
      </c>
      <c r="G20" t="n">
        <v>7.2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HYPERLINK("https://klasma.github.io/Logging_0319/artfynd/A 12415-2023 artfynd.xlsx", "A 12415-2023")</f>
        <v/>
      </c>
      <c r="T20">
        <f>HYPERLINK("https://klasma.github.io/Logging_0319/kartor/A 12415-2023 karta.png", "A 12415-2023")</f>
        <v/>
      </c>
      <c r="V20">
        <f>HYPERLINK("https://klasma.github.io/Logging_0319/klagomål/A 12415-2023 FSC-klagomål.docx", "A 12415-2023")</f>
        <v/>
      </c>
      <c r="W20">
        <f>HYPERLINK("https://klasma.github.io/Logging_0319/klagomålsmail/A 12415-2023 FSC-klagomål mail.docx", "A 12415-2023")</f>
        <v/>
      </c>
      <c r="X20">
        <f>HYPERLINK("https://klasma.github.io/Logging_0319/tillsyn/A 12415-2023 tillsynsbegäran.docx", "A 12415-2023")</f>
        <v/>
      </c>
      <c r="Y20">
        <f>HYPERLINK("https://klasma.github.io/Logging_0319/tillsynsmail/A 12415-2023 tillsynsbegäran mail.docx", "A 12415-2023")</f>
        <v/>
      </c>
    </row>
    <row r="21" ht="15" customHeight="1">
      <c r="A21" t="inlineStr">
        <is>
          <t>A 46354-2023</t>
        </is>
      </c>
      <c r="B21" s="1" t="n">
        <v>45197</v>
      </c>
      <c r="C21" s="1" t="n">
        <v>45344</v>
      </c>
      <c r="D21" t="inlineStr">
        <is>
          <t>UPPSALA LÄN</t>
        </is>
      </c>
      <c r="E21" t="inlineStr">
        <is>
          <t>ÄLVKARLEBY</t>
        </is>
      </c>
      <c r="F21" t="inlineStr">
        <is>
          <t>Bergvik skog öst AB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HYPERLINK("https://klasma.github.io/Logging_0319/artfynd/A 46354-2023 artfynd.xlsx", "A 46354-2023")</f>
        <v/>
      </c>
      <c r="T21">
        <f>HYPERLINK("https://klasma.github.io/Logging_0319/kartor/A 46354-2023 karta.png", "A 46354-2023")</f>
        <v/>
      </c>
      <c r="V21">
        <f>HYPERLINK("https://klasma.github.io/Logging_0319/klagomål/A 46354-2023 FSC-klagomål.docx", "A 46354-2023")</f>
        <v/>
      </c>
      <c r="W21">
        <f>HYPERLINK("https://klasma.github.io/Logging_0319/klagomålsmail/A 46354-2023 FSC-klagomål mail.docx", "A 46354-2023")</f>
        <v/>
      </c>
      <c r="X21">
        <f>HYPERLINK("https://klasma.github.io/Logging_0319/tillsyn/A 46354-2023 tillsynsbegäran.docx", "A 46354-2023")</f>
        <v/>
      </c>
      <c r="Y21">
        <f>HYPERLINK("https://klasma.github.io/Logging_0319/tillsynsmail/A 46354-2023 tillsynsbegäran mail.docx", "A 46354-2023")</f>
        <v/>
      </c>
    </row>
    <row r="22" ht="15" customHeight="1">
      <c r="A22" t="inlineStr">
        <is>
          <t>A 5209-2024</t>
        </is>
      </c>
      <c r="B22" s="1" t="n">
        <v>45330</v>
      </c>
      <c r="C22" s="1" t="n">
        <v>45344</v>
      </c>
      <c r="D22" t="inlineStr">
        <is>
          <t>UPPSALA LÄN</t>
        </is>
      </c>
      <c r="E22" t="inlineStr">
        <is>
          <t>ÄLVKARLEBY</t>
        </is>
      </c>
      <c r="G22" t="n">
        <v>6.3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Guckusko</t>
        </is>
      </c>
      <c r="S22">
        <f>HYPERLINK("https://klasma.github.io/Logging_0319/artfynd/A 5209-2024 artfynd.xlsx", "A 5209-2024")</f>
        <v/>
      </c>
      <c r="T22">
        <f>HYPERLINK("https://klasma.github.io/Logging_0319/kartor/A 5209-2024 karta.png", "A 5209-2024")</f>
        <v/>
      </c>
      <c r="V22">
        <f>HYPERLINK("https://klasma.github.io/Logging_0319/klagomål/A 5209-2024 FSC-klagomål.docx", "A 5209-2024")</f>
        <v/>
      </c>
      <c r="W22">
        <f>HYPERLINK("https://klasma.github.io/Logging_0319/klagomålsmail/A 5209-2024 FSC-klagomål mail.docx", "A 5209-2024")</f>
        <v/>
      </c>
      <c r="X22">
        <f>HYPERLINK("https://klasma.github.io/Logging_0319/tillsyn/A 5209-2024 tillsynsbegäran.docx", "A 5209-2024")</f>
        <v/>
      </c>
      <c r="Y22">
        <f>HYPERLINK("https://klasma.github.io/Logging_0319/tillsynsmail/A 5209-2024 tillsynsbegäran mail.docx", "A 5209-2024")</f>
        <v/>
      </c>
    </row>
    <row r="23" ht="15" customHeight="1">
      <c r="A23" t="inlineStr">
        <is>
          <t>A 67221-2018</t>
        </is>
      </c>
      <c r="B23" s="1" t="n">
        <v>43439</v>
      </c>
      <c r="C23" s="1" t="n">
        <v>45344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öst AB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10480-2019</t>
        </is>
      </c>
      <c r="B24" s="1" t="n">
        <v>43511</v>
      </c>
      <c r="C24" s="1" t="n">
        <v>45344</v>
      </c>
      <c r="D24" t="inlineStr">
        <is>
          <t>UPPSALA LÄN</t>
        </is>
      </c>
      <c r="E24" t="inlineStr">
        <is>
          <t>ÄLVKARLEBY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10483-2019</t>
        </is>
      </c>
      <c r="B25" s="1" t="n">
        <v>43511</v>
      </c>
      <c r="C25" s="1" t="n">
        <v>45344</v>
      </c>
      <c r="D25" t="inlineStr">
        <is>
          <t>UPPSALA LÄN</t>
        </is>
      </c>
      <c r="E25" t="inlineStr">
        <is>
          <t>ÄLVKARLEBY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10482-2019</t>
        </is>
      </c>
      <c r="B26" s="1" t="n">
        <v>43511</v>
      </c>
      <c r="C26" s="1" t="n">
        <v>45344</v>
      </c>
      <c r="D26" t="inlineStr">
        <is>
          <t>UPPSALA LÄN</t>
        </is>
      </c>
      <c r="E26" t="inlineStr">
        <is>
          <t>ÄLVKARLEBY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10481-2019</t>
        </is>
      </c>
      <c r="B27" s="1" t="n">
        <v>43511</v>
      </c>
      <c r="C27" s="1" t="n">
        <v>45344</v>
      </c>
      <c r="D27" t="inlineStr">
        <is>
          <t>UPPSALA LÄN</t>
        </is>
      </c>
      <c r="E27" t="inlineStr">
        <is>
          <t>ÄLVKARLEBY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10898-2019</t>
        </is>
      </c>
      <c r="B28" s="1" t="n">
        <v>43515</v>
      </c>
      <c r="C28" s="1" t="n">
        <v>45344</v>
      </c>
      <c r="D28" t="inlineStr">
        <is>
          <t>UPPSALA LÄN</t>
        </is>
      </c>
      <c r="E28" t="inlineStr">
        <is>
          <t>ÄLVKARLEBY</t>
        </is>
      </c>
      <c r="F28" t="inlineStr">
        <is>
          <t>Kyrkan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19969-2019</t>
        </is>
      </c>
      <c r="B29" s="1" t="n">
        <v>43570</v>
      </c>
      <c r="C29" s="1" t="n">
        <v>45344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24105-2019</t>
        </is>
      </c>
      <c r="B30" s="1" t="n">
        <v>43598</v>
      </c>
      <c r="C30" s="1" t="n">
        <v>45344</v>
      </c>
      <c r="D30" t="inlineStr">
        <is>
          <t>UPPSALA LÄN</t>
        </is>
      </c>
      <c r="E30" t="inlineStr">
        <is>
          <t>ÄLVKARLEBY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25340-2019</t>
        </is>
      </c>
      <c r="B31" s="1" t="n">
        <v>43606</v>
      </c>
      <c r="C31" s="1" t="n">
        <v>45344</v>
      </c>
      <c r="D31" t="inlineStr">
        <is>
          <t>UPPSALA LÄN</t>
        </is>
      </c>
      <c r="E31" t="inlineStr">
        <is>
          <t>ÄLVKARLEBY</t>
        </is>
      </c>
      <c r="F31" t="inlineStr">
        <is>
          <t>Bergvik skog väst AB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44457-2019</t>
        </is>
      </c>
      <c r="B32" s="1" t="n">
        <v>43711</v>
      </c>
      <c r="C32" s="1" t="n">
        <v>45344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48822-2019</t>
        </is>
      </c>
      <c r="B33" s="1" t="n">
        <v>43728</v>
      </c>
      <c r="C33" s="1" t="n">
        <v>45344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57745-2019</t>
        </is>
      </c>
      <c r="B34" s="1" t="n">
        <v>43768</v>
      </c>
      <c r="C34" s="1" t="n">
        <v>45344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5511-2020</t>
        </is>
      </c>
      <c r="B35" s="1" t="n">
        <v>43861</v>
      </c>
      <c r="C35" s="1" t="n">
        <v>45344</v>
      </c>
      <c r="D35" t="inlineStr">
        <is>
          <t>UPPSALA LÄN</t>
        </is>
      </c>
      <c r="E35" t="inlineStr">
        <is>
          <t>ÄLVKARLEBY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15213-2020</t>
        </is>
      </c>
      <c r="B36" s="1" t="n">
        <v>43913</v>
      </c>
      <c r="C36" s="1" t="n">
        <v>45344</v>
      </c>
      <c r="D36" t="inlineStr">
        <is>
          <t>UPPSALA LÄN</t>
        </is>
      </c>
      <c r="E36" t="inlineStr">
        <is>
          <t>ÄLVKARLEBY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32416-2020</t>
        </is>
      </c>
      <c r="B37" s="1" t="n">
        <v>44018</v>
      </c>
      <c r="C37" s="1" t="n">
        <v>45344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37193-2020</t>
        </is>
      </c>
      <c r="B38" s="1" t="n">
        <v>44054</v>
      </c>
      <c r="C38" s="1" t="n">
        <v>45344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40667-2020</t>
        </is>
      </c>
      <c r="B39" s="1" t="n">
        <v>44069</v>
      </c>
      <c r="C39" s="1" t="n">
        <v>45344</v>
      </c>
      <c r="D39" t="inlineStr">
        <is>
          <t>UPPSALA LÄN</t>
        </is>
      </c>
      <c r="E39" t="inlineStr">
        <is>
          <t>ÄLVKARLEBY</t>
        </is>
      </c>
      <c r="F39" t="inlineStr">
        <is>
          <t>Bergvik skog väst AB</t>
        </is>
      </c>
      <c r="G39" t="n">
        <v>20.7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50413-2020</t>
        </is>
      </c>
      <c r="B40" s="1" t="n">
        <v>44110</v>
      </c>
      <c r="C40" s="1" t="n">
        <v>45344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50416-2020</t>
        </is>
      </c>
      <c r="B41" s="1" t="n">
        <v>44110</v>
      </c>
      <c r="C41" s="1" t="n">
        <v>45344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50409-2020</t>
        </is>
      </c>
      <c r="B42" s="1" t="n">
        <v>44110</v>
      </c>
      <c r="C42" s="1" t="n">
        <v>45344</v>
      </c>
      <c r="D42" t="inlineStr">
        <is>
          <t>UPPSALA LÄN</t>
        </is>
      </c>
      <c r="E42" t="inlineStr">
        <is>
          <t>ÄLVKARLEBY</t>
        </is>
      </c>
      <c r="F42" t="inlineStr">
        <is>
          <t>Bergvik skog väst AB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66278-2020</t>
        </is>
      </c>
      <c r="B43" s="1" t="n">
        <v>44176</v>
      </c>
      <c r="C43" s="1" t="n">
        <v>45344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967-2021</t>
        </is>
      </c>
      <c r="B44" s="1" t="n">
        <v>44207</v>
      </c>
      <c r="C44" s="1" t="n">
        <v>45344</v>
      </c>
      <c r="D44" t="inlineStr">
        <is>
          <t>UPPSALA LÄN</t>
        </is>
      </c>
      <c r="E44" t="inlineStr">
        <is>
          <t>ÄLVKARLEBY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11553-2021</t>
        </is>
      </c>
      <c r="B45" s="1" t="n">
        <v>44264</v>
      </c>
      <c r="C45" s="1" t="n">
        <v>45344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13476-2021</t>
        </is>
      </c>
      <c r="B46" s="1" t="n">
        <v>44273</v>
      </c>
      <c r="C46" s="1" t="n">
        <v>45344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39791-2021</t>
        </is>
      </c>
      <c r="B47" s="1" t="n">
        <v>44417</v>
      </c>
      <c r="C47" s="1" t="n">
        <v>45344</v>
      </c>
      <c r="D47" t="inlineStr">
        <is>
          <t>UPPSALA LÄN</t>
        </is>
      </c>
      <c r="E47" t="inlineStr">
        <is>
          <t>ÄLVKARLEBY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47226-2021</t>
        </is>
      </c>
      <c r="B48" s="1" t="n">
        <v>44447</v>
      </c>
      <c r="C48" s="1" t="n">
        <v>45344</v>
      </c>
      <c r="D48" t="inlineStr">
        <is>
          <t>UPPSALA LÄN</t>
        </is>
      </c>
      <c r="E48" t="inlineStr">
        <is>
          <t>ÄLVKARLEBY</t>
        </is>
      </c>
      <c r="F48" t="inlineStr">
        <is>
          <t>Bergvik skog väst AB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10455-2022</t>
        </is>
      </c>
      <c r="B49" s="1" t="n">
        <v>44623</v>
      </c>
      <c r="C49" s="1" t="n">
        <v>45344</v>
      </c>
      <c r="D49" t="inlineStr">
        <is>
          <t>UPPSALA LÄN</t>
        </is>
      </c>
      <c r="E49" t="inlineStr">
        <is>
          <t>ÄLVKARLEBY</t>
        </is>
      </c>
      <c r="F49" t="inlineStr">
        <is>
          <t>Bergvik skog öst AB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16990-2022</t>
        </is>
      </c>
      <c r="B50" s="1" t="n">
        <v>44676</v>
      </c>
      <c r="C50" s="1" t="n">
        <v>45344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22916-2022</t>
        </is>
      </c>
      <c r="B51" s="1" t="n">
        <v>44715</v>
      </c>
      <c r="C51" s="1" t="n">
        <v>45344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26815-2022</t>
        </is>
      </c>
      <c r="B52" s="1" t="n">
        <v>44740</v>
      </c>
      <c r="C52" s="1" t="n">
        <v>45344</v>
      </c>
      <c r="D52" t="inlineStr">
        <is>
          <t>UPPSALA LÄN</t>
        </is>
      </c>
      <c r="E52" t="inlineStr">
        <is>
          <t>ÄLVKARLEBY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29116-2022</t>
        </is>
      </c>
      <c r="B53" s="1" t="n">
        <v>44750</v>
      </c>
      <c r="C53" s="1" t="n">
        <v>45344</v>
      </c>
      <c r="D53" t="inlineStr">
        <is>
          <t>UPPSALA LÄN</t>
        </is>
      </c>
      <c r="E53" t="inlineStr">
        <is>
          <t>ÄLVKARLEBY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29168-2022</t>
        </is>
      </c>
      <c r="B54" s="1" t="n">
        <v>44750</v>
      </c>
      <c r="C54" s="1" t="n">
        <v>45344</v>
      </c>
      <c r="D54" t="inlineStr">
        <is>
          <t>UPPSALA LÄN</t>
        </is>
      </c>
      <c r="E54" t="inlineStr">
        <is>
          <t>ÄLVKARLEBY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36216-2022</t>
        </is>
      </c>
      <c r="B55" s="1" t="n">
        <v>44803</v>
      </c>
      <c r="C55" s="1" t="n">
        <v>45344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36217-2022</t>
        </is>
      </c>
      <c r="B56" s="1" t="n">
        <v>44803</v>
      </c>
      <c r="C56" s="1" t="n">
        <v>45344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36282-2022</t>
        </is>
      </c>
      <c r="B57" s="1" t="n">
        <v>44803</v>
      </c>
      <c r="C57" s="1" t="n">
        <v>45344</v>
      </c>
      <c r="D57" t="inlineStr">
        <is>
          <t>UPPSALA LÄN</t>
        </is>
      </c>
      <c r="E57" t="inlineStr">
        <is>
          <t>ÄLVKARLEBY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41757-2022</t>
        </is>
      </c>
      <c r="B58" s="1" t="n">
        <v>44827</v>
      </c>
      <c r="C58" s="1" t="n">
        <v>45344</v>
      </c>
      <c r="D58" t="inlineStr">
        <is>
          <t>UPPSALA LÄN</t>
        </is>
      </c>
      <c r="E58" t="inlineStr">
        <is>
          <t>ÄLVKARLEBY</t>
        </is>
      </c>
      <c r="F58" t="inlineStr">
        <is>
          <t>Bergvik skog väst AB</t>
        </is>
      </c>
      <c r="G58" t="n">
        <v>12.7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60837-2022</t>
        </is>
      </c>
      <c r="B59" s="1" t="n">
        <v>44914</v>
      </c>
      <c r="C59" s="1" t="n">
        <v>45344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6839-2023</t>
        </is>
      </c>
      <c r="B60" s="1" t="n">
        <v>44967</v>
      </c>
      <c r="C60" s="1" t="n">
        <v>45344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6834-2023</t>
        </is>
      </c>
      <c r="B61" s="1" t="n">
        <v>44967</v>
      </c>
      <c r="C61" s="1" t="n">
        <v>45344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7286-2023</t>
        </is>
      </c>
      <c r="B62" s="1" t="n">
        <v>44970</v>
      </c>
      <c r="C62" s="1" t="n">
        <v>45344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14590-2023</t>
        </is>
      </c>
      <c r="B63" s="1" t="n">
        <v>45013</v>
      </c>
      <c r="C63" s="1" t="n">
        <v>45344</v>
      </c>
      <c r="D63" t="inlineStr">
        <is>
          <t>UPPSALA LÄN</t>
        </is>
      </c>
      <c r="E63" t="inlineStr">
        <is>
          <t>ÄLVKARLEBY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21520-2023</t>
        </is>
      </c>
      <c r="B64" s="1" t="n">
        <v>45063</v>
      </c>
      <c r="C64" s="1" t="n">
        <v>45344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26983-2023</t>
        </is>
      </c>
      <c r="B65" s="1" t="n">
        <v>45093</v>
      </c>
      <c r="C65" s="1" t="n">
        <v>45344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38306-2023</t>
        </is>
      </c>
      <c r="B66" s="1" t="n">
        <v>45161</v>
      </c>
      <c r="C66" s="1" t="n">
        <v>45344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38226-2023</t>
        </is>
      </c>
      <c r="B67" s="1" t="n">
        <v>45161</v>
      </c>
      <c r="C67" s="1" t="n">
        <v>45344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38454-2023</t>
        </is>
      </c>
      <c r="B68" s="1" t="n">
        <v>45162</v>
      </c>
      <c r="C68" s="1" t="n">
        <v>45344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38453-2023</t>
        </is>
      </c>
      <c r="B69" s="1" t="n">
        <v>45162</v>
      </c>
      <c r="C69" s="1" t="n">
        <v>45344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38461-2023</t>
        </is>
      </c>
      <c r="B70" s="1" t="n">
        <v>45162</v>
      </c>
      <c r="C70" s="1" t="n">
        <v>45344</v>
      </c>
      <c r="D70" t="inlineStr">
        <is>
          <t>UPPSALA LÄN</t>
        </is>
      </c>
      <c r="E70" t="inlineStr">
        <is>
          <t>ÄLVKARLEBY</t>
        </is>
      </c>
      <c r="F70" t="inlineStr">
        <is>
          <t>Bergvik skog väst AB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41000-2023</t>
        </is>
      </c>
      <c r="B71" s="1" t="n">
        <v>45173</v>
      </c>
      <c r="C71" s="1" t="n">
        <v>45344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41263-2023</t>
        </is>
      </c>
      <c r="B72" s="1" t="n">
        <v>45174</v>
      </c>
      <c r="C72" s="1" t="n">
        <v>45344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41272-2023</t>
        </is>
      </c>
      <c r="B73" s="1" t="n">
        <v>45174</v>
      </c>
      <c r="C73" s="1" t="n">
        <v>45344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41276-2023</t>
        </is>
      </c>
      <c r="B74" s="1" t="n">
        <v>45174</v>
      </c>
      <c r="C74" s="1" t="n">
        <v>45344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42600-2023</t>
        </is>
      </c>
      <c r="B75" s="1" t="n">
        <v>45181</v>
      </c>
      <c r="C75" s="1" t="n">
        <v>45344</v>
      </c>
      <c r="D75" t="inlineStr">
        <is>
          <t>UPPSALA LÄN</t>
        </is>
      </c>
      <c r="E75" t="inlineStr">
        <is>
          <t>ÄLVKARLEBY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HYPERLINK("https://klasma.github.io/Logging_0319/knärot/A 42600-2023 karta knärot.png", "A 42600-2023")</f>
        <v/>
      </c>
      <c r="V75">
        <f>HYPERLINK("https://klasma.github.io/Logging_0319/klagomål/A 42600-2023 FSC-klagomål.docx", "A 42600-2023")</f>
        <v/>
      </c>
      <c r="W75">
        <f>HYPERLINK("https://klasma.github.io/Logging_0319/klagomålsmail/A 42600-2023 FSC-klagomål mail.docx", "A 42600-2023")</f>
        <v/>
      </c>
      <c r="X75">
        <f>HYPERLINK("https://klasma.github.io/Logging_0319/tillsyn/A 42600-2023 tillsynsbegäran.docx", "A 42600-2023")</f>
        <v/>
      </c>
      <c r="Y75">
        <f>HYPERLINK("https://klasma.github.io/Logging_0319/tillsynsmail/A 42600-2023 tillsynsbegäran mail.docx", "A 42600-2023")</f>
        <v/>
      </c>
    </row>
    <row r="76" ht="15" customHeight="1">
      <c r="A76" t="inlineStr">
        <is>
          <t>A 43285-2023</t>
        </is>
      </c>
      <c r="B76" s="1" t="n">
        <v>45183</v>
      </c>
      <c r="C76" s="1" t="n">
        <v>45344</v>
      </c>
      <c r="D76" t="inlineStr">
        <is>
          <t>UPPSALA LÄN</t>
        </is>
      </c>
      <c r="E76" t="inlineStr">
        <is>
          <t>ÄLVKARLEBY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43288-2023</t>
        </is>
      </c>
      <c r="B77" s="1" t="n">
        <v>45183</v>
      </c>
      <c r="C77" s="1" t="n">
        <v>45344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45527-2023</t>
        </is>
      </c>
      <c r="B78" s="1" t="n">
        <v>45194</v>
      </c>
      <c r="C78" s="1" t="n">
        <v>45344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45529-2023</t>
        </is>
      </c>
      <c r="B79" s="1" t="n">
        <v>45194</v>
      </c>
      <c r="C79" s="1" t="n">
        <v>45344</v>
      </c>
      <c r="D79" t="inlineStr">
        <is>
          <t>UPPSALA LÄN</t>
        </is>
      </c>
      <c r="E79" t="inlineStr">
        <is>
          <t>ÄLVKARLEBY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45528-2023</t>
        </is>
      </c>
      <c r="B80" s="1" t="n">
        <v>45194</v>
      </c>
      <c r="C80" s="1" t="n">
        <v>45344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45871-2023</t>
        </is>
      </c>
      <c r="B81" s="1" t="n">
        <v>45195</v>
      </c>
      <c r="C81" s="1" t="n">
        <v>45344</v>
      </c>
      <c r="D81" t="inlineStr">
        <is>
          <t>UPPSALA LÄN</t>
        </is>
      </c>
      <c r="E81" t="inlineStr">
        <is>
          <t>ÄLVKARLEBY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46113-2023</t>
        </is>
      </c>
      <c r="B82" s="1" t="n">
        <v>45196</v>
      </c>
      <c r="C82" s="1" t="n">
        <v>45344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46106-2023</t>
        </is>
      </c>
      <c r="B83" s="1" t="n">
        <v>45196</v>
      </c>
      <c r="C83" s="1" t="n">
        <v>45344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46429-2023</t>
        </is>
      </c>
      <c r="B84" s="1" t="n">
        <v>45197</v>
      </c>
      <c r="C84" s="1" t="n">
        <v>45344</v>
      </c>
      <c r="D84" t="inlineStr">
        <is>
          <t>UPPSALA LÄN</t>
        </is>
      </c>
      <c r="E84" t="inlineStr">
        <is>
          <t>ÄLVKARLEBY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46436-2023</t>
        </is>
      </c>
      <c r="B85" s="1" t="n">
        <v>45197</v>
      </c>
      <c r="C85" s="1" t="n">
        <v>45344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46477-2023</t>
        </is>
      </c>
      <c r="B86" s="1" t="n">
        <v>45197</v>
      </c>
      <c r="C86" s="1" t="n">
        <v>45344</v>
      </c>
      <c r="D86" t="inlineStr">
        <is>
          <t>UPPSALA LÄN</t>
        </is>
      </c>
      <c r="E86" t="inlineStr">
        <is>
          <t>ÄLVKARLEBY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47548-2023</t>
        </is>
      </c>
      <c r="B87" s="1" t="n">
        <v>45203</v>
      </c>
      <c r="C87" s="1" t="n">
        <v>45344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väst AB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47570-2023</t>
        </is>
      </c>
      <c r="B88" s="1" t="n">
        <v>45203</v>
      </c>
      <c r="C88" s="1" t="n">
        <v>45344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47554-2023</t>
        </is>
      </c>
      <c r="B89" s="1" t="n">
        <v>45203</v>
      </c>
      <c r="C89" s="1" t="n">
        <v>45344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47559-2023</t>
        </is>
      </c>
      <c r="B90" s="1" t="n">
        <v>45203</v>
      </c>
      <c r="C90" s="1" t="n">
        <v>45344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48614-2023</t>
        </is>
      </c>
      <c r="B91" s="1" t="n">
        <v>45208</v>
      </c>
      <c r="C91" s="1" t="n">
        <v>45344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48620-2023</t>
        </is>
      </c>
      <c r="B92" s="1" t="n">
        <v>45208</v>
      </c>
      <c r="C92" s="1" t="n">
        <v>45344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48674-2023</t>
        </is>
      </c>
      <c r="B93" s="1" t="n">
        <v>45208</v>
      </c>
      <c r="C93" s="1" t="n">
        <v>45344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öst AB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49432-2023</t>
        </is>
      </c>
      <c r="B94" s="1" t="n">
        <v>45211</v>
      </c>
      <c r="C94" s="1" t="n">
        <v>45344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50048-2023</t>
        </is>
      </c>
      <c r="B95" s="1" t="n">
        <v>45215</v>
      </c>
      <c r="C95" s="1" t="n">
        <v>45344</v>
      </c>
      <c r="D95" t="inlineStr">
        <is>
          <t>UPPSALA LÄN</t>
        </is>
      </c>
      <c r="E95" t="inlineStr">
        <is>
          <t>ÄLVKARLEBY</t>
        </is>
      </c>
      <c r="F95" t="inlineStr">
        <is>
          <t>Bergvik skog väst AB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54858-2023</t>
        </is>
      </c>
      <c r="B96" s="1" t="n">
        <v>45236</v>
      </c>
      <c r="C96" s="1" t="n">
        <v>45344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öst AB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59004-2023</t>
        </is>
      </c>
      <c r="B97" s="1" t="n">
        <v>45252</v>
      </c>
      <c r="C97" s="1" t="n">
        <v>45344</v>
      </c>
      <c r="D97" t="inlineStr">
        <is>
          <t>UPPSALA LÄN</t>
        </is>
      </c>
      <c r="E97" t="inlineStr">
        <is>
          <t>ÄLVKARLEBY</t>
        </is>
      </c>
      <c r="F97" t="inlineStr">
        <is>
          <t>Bergvik skog öst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60151-2023</t>
        </is>
      </c>
      <c r="B98" s="1" t="n">
        <v>45258</v>
      </c>
      <c r="C98" s="1" t="n">
        <v>45344</v>
      </c>
      <c r="D98" t="inlineStr">
        <is>
          <t>UPPSALA LÄN</t>
        </is>
      </c>
      <c r="E98" t="inlineStr">
        <is>
          <t>ÄLVKARLEBY</t>
        </is>
      </c>
      <c r="F98" t="inlineStr">
        <is>
          <t>Bergvik skog väst AB</t>
        </is>
      </c>
      <c r="G98" t="n">
        <v>32.2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60455-2023</t>
        </is>
      </c>
      <c r="B99" s="1" t="n">
        <v>45259</v>
      </c>
      <c r="C99" s="1" t="n">
        <v>45344</v>
      </c>
      <c r="D99" t="inlineStr">
        <is>
          <t>UPPSALA LÄN</t>
        </is>
      </c>
      <c r="E99" t="inlineStr">
        <is>
          <t>ÄLVKARLEBY</t>
        </is>
      </c>
      <c r="F99" t="inlineStr">
        <is>
          <t>Bergvik skog öst AB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996-2024</t>
        </is>
      </c>
      <c r="B100" s="1" t="n">
        <v>45301</v>
      </c>
      <c r="C100" s="1" t="n">
        <v>45344</v>
      </c>
      <c r="D100" t="inlineStr">
        <is>
          <t>UPPSALA LÄN</t>
        </is>
      </c>
      <c r="E100" t="inlineStr">
        <is>
          <t>ÄLVKARLEBY</t>
        </is>
      </c>
      <c r="F100" t="inlineStr">
        <is>
          <t>Bergvik skog väst AB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895-2024</t>
        </is>
      </c>
      <c r="B101" s="1" t="n">
        <v>45301</v>
      </c>
      <c r="C101" s="1" t="n">
        <v>45344</v>
      </c>
      <c r="D101" t="inlineStr">
        <is>
          <t>UPPSALA LÄN</t>
        </is>
      </c>
      <c r="E101" t="inlineStr">
        <is>
          <t>ÄLVKARLEBY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2184-2024</t>
        </is>
      </c>
      <c r="B102" s="1" t="n">
        <v>45309</v>
      </c>
      <c r="C102" s="1" t="n">
        <v>45344</v>
      </c>
      <c r="D102" t="inlineStr">
        <is>
          <t>UPPSALA LÄN</t>
        </is>
      </c>
      <c r="E102" t="inlineStr">
        <is>
          <t>ÄLVKARLEBY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2183-2024</t>
        </is>
      </c>
      <c r="B103" s="1" t="n">
        <v>45309</v>
      </c>
      <c r="C103" s="1" t="n">
        <v>45344</v>
      </c>
      <c r="D103" t="inlineStr">
        <is>
          <t>UPPSALA LÄN</t>
        </is>
      </c>
      <c r="E103" t="inlineStr">
        <is>
          <t>ÄLVKARLEBY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2024-02-22T06:50:02Z</dcterms:created>
  <dcterms:modified xmlns:dcterms="http://purl.org/dc/terms/" xmlns:xsi="http://www.w3.org/2001/XMLSchema-instance" xsi:type="dcterms:W3CDTF">2024-02-22T06:50:02Z</dcterms:modified>
</cp:coreProperties>
</file>