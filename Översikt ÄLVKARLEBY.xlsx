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45918</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45918</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45918</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45918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45918</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45918</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45918</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45918</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45918</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45918</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70017-2021</t>
        </is>
      </c>
      <c r="B13" s="1" t="n">
        <v>44533</v>
      </c>
      <c r="C13" s="1" t="n">
        <v>45918</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45918</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55547-2024</t>
        </is>
      </c>
      <c r="B15" s="1" t="n">
        <v>45622.5105787037</v>
      </c>
      <c r="C15" s="1" t="n">
        <v>45918</v>
      </c>
      <c r="D15" t="inlineStr">
        <is>
          <t>UPPSALA LÄN</t>
        </is>
      </c>
      <c r="E15" t="inlineStr">
        <is>
          <t>ÄLVKARLEBY</t>
        </is>
      </c>
      <c r="F15" t="inlineStr">
        <is>
          <t>Bergvik skog väst AB</t>
        </is>
      </c>
      <c r="G15" t="n">
        <v>0.9</v>
      </c>
      <c r="H15" t="n">
        <v>2</v>
      </c>
      <c r="I15" t="n">
        <v>1</v>
      </c>
      <c r="J15" t="n">
        <v>0</v>
      </c>
      <c r="K15" t="n">
        <v>1</v>
      </c>
      <c r="L15" t="n">
        <v>0</v>
      </c>
      <c r="M15" t="n">
        <v>0</v>
      </c>
      <c r="N15" t="n">
        <v>0</v>
      </c>
      <c r="O15" t="n">
        <v>1</v>
      </c>
      <c r="P15" t="n">
        <v>1</v>
      </c>
      <c r="Q15" t="n">
        <v>3</v>
      </c>
      <c r="R15" s="2" t="inlineStr">
        <is>
          <t>Knärot
Vedticka
Sparvuggla</t>
        </is>
      </c>
      <c r="S15">
        <f>HYPERLINK("https://klasma.github.io/Logging_0319/artfynd/A 55547-2024 artfynd.xlsx", "A 55547-2024")</f>
        <v/>
      </c>
      <c r="T15">
        <f>HYPERLINK("https://klasma.github.io/Logging_0319/kartor/A 55547-2024 karta.png", "A 55547-2024")</f>
        <v/>
      </c>
      <c r="U15">
        <f>HYPERLINK("https://klasma.github.io/Logging_0319/knärot/A 55547-2024 karta knärot.png", "A 55547-2024")</f>
        <v/>
      </c>
      <c r="V15">
        <f>HYPERLINK("https://klasma.github.io/Logging_0319/klagomål/A 55547-2024 FSC-klagomål.docx", "A 55547-2024")</f>
        <v/>
      </c>
      <c r="W15">
        <f>HYPERLINK("https://klasma.github.io/Logging_0319/klagomålsmail/A 55547-2024 FSC-klagomål mail.docx", "A 55547-2024")</f>
        <v/>
      </c>
      <c r="X15">
        <f>HYPERLINK("https://klasma.github.io/Logging_0319/tillsyn/A 55547-2024 tillsynsbegäran.docx", "A 55547-2024")</f>
        <v/>
      </c>
      <c r="Y15">
        <f>HYPERLINK("https://klasma.github.io/Logging_0319/tillsynsmail/A 55547-2024 tillsynsbegäran mail.docx", "A 55547-2024")</f>
        <v/>
      </c>
      <c r="Z15">
        <f>HYPERLINK("https://klasma.github.io/Logging_0319/fåglar/A 55547-2024 prioriterade fågelarter.docx", "A 55547-2024")</f>
        <v/>
      </c>
    </row>
    <row r="16" ht="15" customHeight="1">
      <c r="A16" t="inlineStr">
        <is>
          <t>A 30484-2025</t>
        </is>
      </c>
      <c r="B16" s="1" t="n">
        <v>45828.75157407407</v>
      </c>
      <c r="C16" s="1" t="n">
        <v>45918</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55560-2024</t>
        </is>
      </c>
      <c r="B17" s="1" t="n">
        <v>45622.53336805556</v>
      </c>
      <c r="C17" s="1" t="n">
        <v>45918</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45918</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45918</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10455-2022</t>
        </is>
      </c>
      <c r="B20" s="1" t="n">
        <v>44623</v>
      </c>
      <c r="C20" s="1" t="n">
        <v>45918</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66277-2020</t>
        </is>
      </c>
      <c r="B21" s="1" t="n">
        <v>44176</v>
      </c>
      <c r="C21" s="1" t="n">
        <v>45918</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9521-2025</t>
        </is>
      </c>
      <c r="B22" s="1" t="n">
        <v>45715.56259259259</v>
      </c>
      <c r="C22" s="1" t="n">
        <v>45918</v>
      </c>
      <c r="D22" t="inlineStr">
        <is>
          <t>UPPSALA LÄN</t>
        </is>
      </c>
      <c r="E22" t="inlineStr">
        <is>
          <t>ÄLVKARLEBY</t>
        </is>
      </c>
      <c r="G22" t="n">
        <v>6.3</v>
      </c>
      <c r="H22" t="n">
        <v>0</v>
      </c>
      <c r="I22" t="n">
        <v>1</v>
      </c>
      <c r="J22" t="n">
        <v>0</v>
      </c>
      <c r="K22" t="n">
        <v>0</v>
      </c>
      <c r="L22" t="n">
        <v>0</v>
      </c>
      <c r="M22" t="n">
        <v>0</v>
      </c>
      <c r="N22" t="n">
        <v>0</v>
      </c>
      <c r="O22" t="n">
        <v>0</v>
      </c>
      <c r="P22" t="n">
        <v>0</v>
      </c>
      <c r="Q22" t="n">
        <v>1</v>
      </c>
      <c r="R22" s="2" t="inlineStr">
        <is>
          <t>Rödgul trumpetsvamp</t>
        </is>
      </c>
      <c r="S22">
        <f>HYPERLINK("https://klasma.github.io/Logging_0319/artfynd/A 9521-2025 artfynd.xlsx", "A 9521-2025")</f>
        <v/>
      </c>
      <c r="T22">
        <f>HYPERLINK("https://klasma.github.io/Logging_0319/kartor/A 9521-2025 karta.png", "A 9521-2025")</f>
        <v/>
      </c>
      <c r="V22">
        <f>HYPERLINK("https://klasma.github.io/Logging_0319/klagomål/A 9521-2025 FSC-klagomål.docx", "A 9521-2025")</f>
        <v/>
      </c>
      <c r="W22">
        <f>HYPERLINK("https://klasma.github.io/Logging_0319/klagomålsmail/A 9521-2025 FSC-klagomål mail.docx", "A 9521-2025")</f>
        <v/>
      </c>
      <c r="X22">
        <f>HYPERLINK("https://klasma.github.io/Logging_0319/tillsyn/A 9521-2025 tillsynsbegäran.docx", "A 9521-2025")</f>
        <v/>
      </c>
      <c r="Y22">
        <f>HYPERLINK("https://klasma.github.io/Logging_0319/tillsynsmail/A 9521-2025 tillsynsbegäran mail.docx", "A 9521-2025")</f>
        <v/>
      </c>
    </row>
    <row r="23" ht="15" customHeight="1">
      <c r="A23" t="inlineStr">
        <is>
          <t>A 12427-2025</t>
        </is>
      </c>
      <c r="B23" s="1" t="n">
        <v>45730.45799768518</v>
      </c>
      <c r="C23" s="1" t="n">
        <v>45918</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21700-2024</t>
        </is>
      </c>
      <c r="B24" s="1" t="n">
        <v>45442</v>
      </c>
      <c r="C24" s="1" t="n">
        <v>45918</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45918</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39902-2025</t>
        </is>
      </c>
      <c r="B26" s="1" t="n">
        <v>45891.63597222222</v>
      </c>
      <c r="C26" s="1" t="n">
        <v>45918</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45918</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45918</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45918</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45918</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45918</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45918</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19740-2025</t>
        </is>
      </c>
      <c r="B33" s="1" t="n">
        <v>45771</v>
      </c>
      <c r="C33" s="1" t="n">
        <v>45918</v>
      </c>
      <c r="D33" t="inlineStr">
        <is>
          <t>UPPSALA LÄN</t>
        </is>
      </c>
      <c r="E33" t="inlineStr">
        <is>
          <t>ÄLVKARLEBY</t>
        </is>
      </c>
      <c r="F33" t="inlineStr">
        <is>
          <t>Bergvik skog väst AB</t>
        </is>
      </c>
      <c r="G33" t="n">
        <v>0.7</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45918</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45918</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16990-2022</t>
        </is>
      </c>
      <c r="B36" s="1" t="n">
        <v>44676.6122337963</v>
      </c>
      <c r="C36" s="1" t="n">
        <v>45918</v>
      </c>
      <c r="D36" t="inlineStr">
        <is>
          <t>UPPSALA LÄN</t>
        </is>
      </c>
      <c r="E36" t="inlineStr">
        <is>
          <t>ÄLVKARLEBY</t>
        </is>
      </c>
      <c r="F36" t="inlineStr">
        <is>
          <t>Bergvik skog väst AB</t>
        </is>
      </c>
      <c r="G36" t="n">
        <v>2.6</v>
      </c>
      <c r="H36" t="n">
        <v>0</v>
      </c>
      <c r="I36" t="n">
        <v>0</v>
      </c>
      <c r="J36" t="n">
        <v>0</v>
      </c>
      <c r="K36" t="n">
        <v>0</v>
      </c>
      <c r="L36" t="n">
        <v>0</v>
      </c>
      <c r="M36" t="n">
        <v>0</v>
      </c>
      <c r="N36" t="n">
        <v>0</v>
      </c>
      <c r="O36" t="n">
        <v>0</v>
      </c>
      <c r="P36" t="n">
        <v>0</v>
      </c>
      <c r="Q36" t="n">
        <v>0</v>
      </c>
      <c r="R36" s="2" t="inlineStr"/>
    </row>
    <row r="37" ht="15" customHeight="1">
      <c r="A37" t="inlineStr">
        <is>
          <t>A 967-2021</t>
        </is>
      </c>
      <c r="B37" s="1" t="n">
        <v>44207</v>
      </c>
      <c r="C37" s="1" t="n">
        <v>45918</v>
      </c>
      <c r="D37" t="inlineStr">
        <is>
          <t>UPPSALA LÄN</t>
        </is>
      </c>
      <c r="E37" t="inlineStr">
        <is>
          <t>ÄLVKARLEBY</t>
        </is>
      </c>
      <c r="G37" t="n">
        <v>0.7</v>
      </c>
      <c r="H37" t="n">
        <v>0</v>
      </c>
      <c r="I37" t="n">
        <v>0</v>
      </c>
      <c r="J37" t="n">
        <v>0</v>
      </c>
      <c r="K37" t="n">
        <v>0</v>
      </c>
      <c r="L37" t="n">
        <v>0</v>
      </c>
      <c r="M37" t="n">
        <v>0</v>
      </c>
      <c r="N37" t="n">
        <v>0</v>
      </c>
      <c r="O37" t="n">
        <v>0</v>
      </c>
      <c r="P37" t="n">
        <v>0</v>
      </c>
      <c r="Q37" t="n">
        <v>0</v>
      </c>
      <c r="R37" s="2" t="inlineStr"/>
    </row>
    <row r="38" ht="15" customHeight="1">
      <c r="A38" t="inlineStr">
        <is>
          <t>A 41276-2023</t>
        </is>
      </c>
      <c r="B38" s="1" t="n">
        <v>45174</v>
      </c>
      <c r="C38" s="1" t="n">
        <v>45918</v>
      </c>
      <c r="D38" t="inlineStr">
        <is>
          <t>UPPSALA LÄN</t>
        </is>
      </c>
      <c r="E38" t="inlineStr">
        <is>
          <t>ÄLVKARLEBY</t>
        </is>
      </c>
      <c r="F38" t="inlineStr">
        <is>
          <t>Bergvik skog väst AB</t>
        </is>
      </c>
      <c r="G38" t="n">
        <v>0.3</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45918</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45918</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19697-2025</t>
        </is>
      </c>
      <c r="B41" s="1" t="n">
        <v>45771</v>
      </c>
      <c r="C41" s="1" t="n">
        <v>45918</v>
      </c>
      <c r="D41" t="inlineStr">
        <is>
          <t>UPPSALA LÄN</t>
        </is>
      </c>
      <c r="E41" t="inlineStr">
        <is>
          <t>ÄLVKARLEBY</t>
        </is>
      </c>
      <c r="F41" t="inlineStr">
        <is>
          <t>Bergvik skog väst AB</t>
        </is>
      </c>
      <c r="G41" t="n">
        <v>3.3</v>
      </c>
      <c r="H41" t="n">
        <v>0</v>
      </c>
      <c r="I41" t="n">
        <v>0</v>
      </c>
      <c r="J41" t="n">
        <v>0</v>
      </c>
      <c r="K41" t="n">
        <v>0</v>
      </c>
      <c r="L41" t="n">
        <v>0</v>
      </c>
      <c r="M41" t="n">
        <v>0</v>
      </c>
      <c r="N41" t="n">
        <v>0</v>
      </c>
      <c r="O41" t="n">
        <v>0</v>
      </c>
      <c r="P41" t="n">
        <v>0</v>
      </c>
      <c r="Q41" t="n">
        <v>0</v>
      </c>
      <c r="R41" s="2" t="inlineStr"/>
    </row>
    <row r="42" ht="15" customHeight="1">
      <c r="A42" t="inlineStr">
        <is>
          <t>A 21012-2025</t>
        </is>
      </c>
      <c r="B42" s="1" t="n">
        <v>45777</v>
      </c>
      <c r="C42" s="1" t="n">
        <v>45918</v>
      </c>
      <c r="D42" t="inlineStr">
        <is>
          <t>UPPSALA LÄN</t>
        </is>
      </c>
      <c r="E42" t="inlineStr">
        <is>
          <t>ÄLVKARLEBY</t>
        </is>
      </c>
      <c r="F42" t="inlineStr">
        <is>
          <t>Bergvik skog väst AB</t>
        </is>
      </c>
      <c r="G42" t="n">
        <v>1.8</v>
      </c>
      <c r="H42" t="n">
        <v>0</v>
      </c>
      <c r="I42" t="n">
        <v>0</v>
      </c>
      <c r="J42" t="n">
        <v>0</v>
      </c>
      <c r="K42" t="n">
        <v>0</v>
      </c>
      <c r="L42" t="n">
        <v>0</v>
      </c>
      <c r="M42" t="n">
        <v>0</v>
      </c>
      <c r="N42" t="n">
        <v>0</v>
      </c>
      <c r="O42" t="n">
        <v>0</v>
      </c>
      <c r="P42" t="n">
        <v>0</v>
      </c>
      <c r="Q42" t="n">
        <v>0</v>
      </c>
      <c r="R42" s="2" t="inlineStr"/>
    </row>
    <row r="43" ht="15" customHeight="1">
      <c r="A43" t="inlineStr">
        <is>
          <t>A 19303-2024</t>
        </is>
      </c>
      <c r="B43" s="1" t="n">
        <v>45428.70386574074</v>
      </c>
      <c r="C43" s="1" t="n">
        <v>45918</v>
      </c>
      <c r="D43" t="inlineStr">
        <is>
          <t>UPPSALA LÄN</t>
        </is>
      </c>
      <c r="E43" t="inlineStr">
        <is>
          <t>ÄLVKARLEBY</t>
        </is>
      </c>
      <c r="G43" t="n">
        <v>0.4</v>
      </c>
      <c r="H43" t="n">
        <v>0</v>
      </c>
      <c r="I43" t="n">
        <v>0</v>
      </c>
      <c r="J43" t="n">
        <v>0</v>
      </c>
      <c r="K43" t="n">
        <v>0</v>
      </c>
      <c r="L43" t="n">
        <v>0</v>
      </c>
      <c r="M43" t="n">
        <v>0</v>
      </c>
      <c r="N43" t="n">
        <v>0</v>
      </c>
      <c r="O43" t="n">
        <v>0</v>
      </c>
      <c r="P43" t="n">
        <v>0</v>
      </c>
      <c r="Q43" t="n">
        <v>0</v>
      </c>
      <c r="R43" s="2" t="inlineStr"/>
    </row>
    <row r="44" ht="15" customHeight="1">
      <c r="A44" t="inlineStr">
        <is>
          <t>A 3950-2025</t>
        </is>
      </c>
      <c r="B44" s="1" t="n">
        <v>45684</v>
      </c>
      <c r="C44" s="1" t="n">
        <v>45918</v>
      </c>
      <c r="D44" t="inlineStr">
        <is>
          <t>UPPSALA LÄN</t>
        </is>
      </c>
      <c r="E44" t="inlineStr">
        <is>
          <t>ÄLVKARLEBY</t>
        </is>
      </c>
      <c r="G44" t="n">
        <v>3.1</v>
      </c>
      <c r="H44" t="n">
        <v>0</v>
      </c>
      <c r="I44" t="n">
        <v>0</v>
      </c>
      <c r="J44" t="n">
        <v>0</v>
      </c>
      <c r="K44" t="n">
        <v>0</v>
      </c>
      <c r="L44" t="n">
        <v>0</v>
      </c>
      <c r="M44" t="n">
        <v>0</v>
      </c>
      <c r="N44" t="n">
        <v>0</v>
      </c>
      <c r="O44" t="n">
        <v>0</v>
      </c>
      <c r="P44" t="n">
        <v>0</v>
      </c>
      <c r="Q44" t="n">
        <v>0</v>
      </c>
      <c r="R44" s="2" t="inlineStr"/>
    </row>
    <row r="45" ht="15" customHeight="1">
      <c r="A45" t="inlineStr">
        <is>
          <t>A 22223-2025</t>
        </is>
      </c>
      <c r="B45" s="1" t="n">
        <v>45785</v>
      </c>
      <c r="C45" s="1" t="n">
        <v>45918</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19862-2025</t>
        </is>
      </c>
      <c r="B46" s="1" t="n">
        <v>45771.53560185185</v>
      </c>
      <c r="C46" s="1" t="n">
        <v>45918</v>
      </c>
      <c r="D46" t="inlineStr">
        <is>
          <t>UPPSALA LÄN</t>
        </is>
      </c>
      <c r="E46" t="inlineStr">
        <is>
          <t>ÄLVKARLEBY</t>
        </is>
      </c>
      <c r="F46" t="inlineStr">
        <is>
          <t>Kyrkan</t>
        </is>
      </c>
      <c r="G46" t="n">
        <v>3</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45918</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43285-2023</t>
        </is>
      </c>
      <c r="B48" s="1" t="n">
        <v>45183.5630787037</v>
      </c>
      <c r="C48" s="1" t="n">
        <v>45918</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9533-2025</t>
        </is>
      </c>
      <c r="B49" s="1" t="n">
        <v>45715.57082175926</v>
      </c>
      <c r="C49" s="1" t="n">
        <v>45918</v>
      </c>
      <c r="D49" t="inlineStr">
        <is>
          <t>UPPSALA LÄN</t>
        </is>
      </c>
      <c r="E49" t="inlineStr">
        <is>
          <t>ÄLVKARLEBY</t>
        </is>
      </c>
      <c r="G49" t="n">
        <v>2.1</v>
      </c>
      <c r="H49" t="n">
        <v>0</v>
      </c>
      <c r="I49" t="n">
        <v>0</v>
      </c>
      <c r="J49" t="n">
        <v>0</v>
      </c>
      <c r="K49" t="n">
        <v>0</v>
      </c>
      <c r="L49" t="n">
        <v>0</v>
      </c>
      <c r="M49" t="n">
        <v>0</v>
      </c>
      <c r="N49" t="n">
        <v>0</v>
      </c>
      <c r="O49" t="n">
        <v>0</v>
      </c>
      <c r="P49" t="n">
        <v>0</v>
      </c>
      <c r="Q49" t="n">
        <v>0</v>
      </c>
      <c r="R49" s="2" t="inlineStr"/>
    </row>
    <row r="50" ht="15" customHeight="1">
      <c r="A50" t="inlineStr">
        <is>
          <t>A 2184-2024</t>
        </is>
      </c>
      <c r="B50" s="1" t="n">
        <v>45309</v>
      </c>
      <c r="C50" s="1" t="n">
        <v>45918</v>
      </c>
      <c r="D50" t="inlineStr">
        <is>
          <t>UPPSALA LÄN</t>
        </is>
      </c>
      <c r="E50" t="inlineStr">
        <is>
          <t>ÄLVKARLEBY</t>
        </is>
      </c>
      <c r="G50" t="n">
        <v>0.6</v>
      </c>
      <c r="H50" t="n">
        <v>0</v>
      </c>
      <c r="I50" t="n">
        <v>0</v>
      </c>
      <c r="J50" t="n">
        <v>0</v>
      </c>
      <c r="K50" t="n">
        <v>0</v>
      </c>
      <c r="L50" t="n">
        <v>0</v>
      </c>
      <c r="M50" t="n">
        <v>0</v>
      </c>
      <c r="N50" t="n">
        <v>0</v>
      </c>
      <c r="O50" t="n">
        <v>0</v>
      </c>
      <c r="P50" t="n">
        <v>0</v>
      </c>
      <c r="Q50" t="n">
        <v>0</v>
      </c>
      <c r="R50" s="2" t="inlineStr"/>
    </row>
    <row r="51" ht="15" customHeight="1">
      <c r="A51" t="inlineStr">
        <is>
          <t>A 41929-2024</t>
        </is>
      </c>
      <c r="B51" s="1" t="n">
        <v>45561</v>
      </c>
      <c r="C51" s="1" t="n">
        <v>45918</v>
      </c>
      <c r="D51" t="inlineStr">
        <is>
          <t>UPPSALA LÄN</t>
        </is>
      </c>
      <c r="E51" t="inlineStr">
        <is>
          <t>ÄLVKARLEBY</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39791-2021</t>
        </is>
      </c>
      <c r="B52" s="1" t="n">
        <v>44417</v>
      </c>
      <c r="C52" s="1" t="n">
        <v>45918</v>
      </c>
      <c r="D52" t="inlineStr">
        <is>
          <t>UPPSALA LÄN</t>
        </is>
      </c>
      <c r="E52" t="inlineStr">
        <is>
          <t>ÄLVKARLEBY</t>
        </is>
      </c>
      <c r="G52" t="n">
        <v>1.8</v>
      </c>
      <c r="H52" t="n">
        <v>0</v>
      </c>
      <c r="I52" t="n">
        <v>0</v>
      </c>
      <c r="J52" t="n">
        <v>0</v>
      </c>
      <c r="K52" t="n">
        <v>0</v>
      </c>
      <c r="L52" t="n">
        <v>0</v>
      </c>
      <c r="M52" t="n">
        <v>0</v>
      </c>
      <c r="N52" t="n">
        <v>0</v>
      </c>
      <c r="O52" t="n">
        <v>0</v>
      </c>
      <c r="P52" t="n">
        <v>0</v>
      </c>
      <c r="Q52" t="n">
        <v>0</v>
      </c>
      <c r="R52" s="2" t="inlineStr"/>
    </row>
    <row r="53" ht="15" customHeight="1">
      <c r="A53" t="inlineStr">
        <is>
          <t>A 24592-2025</t>
        </is>
      </c>
      <c r="B53" s="1" t="n">
        <v>45798.54337962963</v>
      </c>
      <c r="C53" s="1" t="n">
        <v>45918</v>
      </c>
      <c r="D53" t="inlineStr">
        <is>
          <t>UPPSALA LÄN</t>
        </is>
      </c>
      <c r="E53" t="inlineStr">
        <is>
          <t>ÄLVKARLEBY</t>
        </is>
      </c>
      <c r="F53" t="inlineStr">
        <is>
          <t>Bergvik skog väst AB</t>
        </is>
      </c>
      <c r="G53" t="n">
        <v>2.5</v>
      </c>
      <c r="H53" t="n">
        <v>0</v>
      </c>
      <c r="I53" t="n">
        <v>0</v>
      </c>
      <c r="J53" t="n">
        <v>0</v>
      </c>
      <c r="K53" t="n">
        <v>0</v>
      </c>
      <c r="L53" t="n">
        <v>0</v>
      </c>
      <c r="M53" t="n">
        <v>0</v>
      </c>
      <c r="N53" t="n">
        <v>0</v>
      </c>
      <c r="O53" t="n">
        <v>0</v>
      </c>
      <c r="P53" t="n">
        <v>0</v>
      </c>
      <c r="Q53" t="n">
        <v>0</v>
      </c>
      <c r="R53" s="2" t="inlineStr"/>
    </row>
    <row r="54" ht="15" customHeight="1">
      <c r="A54" t="inlineStr">
        <is>
          <t>A 24591-2025</t>
        </is>
      </c>
      <c r="B54" s="1" t="n">
        <v>45798.53666666667</v>
      </c>
      <c r="C54" s="1" t="n">
        <v>45918</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24593-2025</t>
        </is>
      </c>
      <c r="B55" s="1" t="n">
        <v>45798</v>
      </c>
      <c r="C55" s="1" t="n">
        <v>45918</v>
      </c>
      <c r="D55" t="inlineStr">
        <is>
          <t>UPPSALA LÄN</t>
        </is>
      </c>
      <c r="E55" t="inlineStr">
        <is>
          <t>ÄLVKARLEBY</t>
        </is>
      </c>
      <c r="F55" t="inlineStr">
        <is>
          <t>Bergvik skog väst AB</t>
        </is>
      </c>
      <c r="G55" t="n">
        <v>0.6</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45918</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25264-2025</t>
        </is>
      </c>
      <c r="B57" s="1" t="n">
        <v>45800.5334375</v>
      </c>
      <c r="C57" s="1" t="n">
        <v>45918</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26668-2025</t>
        </is>
      </c>
      <c r="B58" s="1" t="n">
        <v>45810.41017361111</v>
      </c>
      <c r="C58" s="1" t="n">
        <v>45918</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26670-2025</t>
        </is>
      </c>
      <c r="B59" s="1" t="n">
        <v>45810.41489583333</v>
      </c>
      <c r="C59" s="1" t="n">
        <v>45918</v>
      </c>
      <c r="D59" t="inlineStr">
        <is>
          <t>UPPSALA LÄN</t>
        </is>
      </c>
      <c r="E59" t="inlineStr">
        <is>
          <t>ÄLVKARLEBY</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15739-2025</t>
        </is>
      </c>
      <c r="B60" s="1" t="n">
        <v>45748.54612268518</v>
      </c>
      <c r="C60" s="1" t="n">
        <v>45918</v>
      </c>
      <c r="D60" t="inlineStr">
        <is>
          <t>UPPSALA LÄN</t>
        </is>
      </c>
      <c r="E60" t="inlineStr">
        <is>
          <t>ÄLVKARLEBY</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27330-2025</t>
        </is>
      </c>
      <c r="B61" s="1" t="n">
        <v>45812.60934027778</v>
      </c>
      <c r="C61" s="1" t="n">
        <v>45918</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19703-2025</t>
        </is>
      </c>
      <c r="B62" s="1" t="n">
        <v>45771</v>
      </c>
      <c r="C62" s="1" t="n">
        <v>45918</v>
      </c>
      <c r="D62" t="inlineStr">
        <is>
          <t>UPPSALA LÄN</t>
        </is>
      </c>
      <c r="E62" t="inlineStr">
        <is>
          <t>ÄLVKARLEBY</t>
        </is>
      </c>
      <c r="F62" t="inlineStr">
        <is>
          <t>Bergvik skog väst AB</t>
        </is>
      </c>
      <c r="G62" t="n">
        <v>3.8</v>
      </c>
      <c r="H62" t="n">
        <v>0</v>
      </c>
      <c r="I62" t="n">
        <v>0</v>
      </c>
      <c r="J62" t="n">
        <v>0</v>
      </c>
      <c r="K62" t="n">
        <v>0</v>
      </c>
      <c r="L62" t="n">
        <v>0</v>
      </c>
      <c r="M62" t="n">
        <v>0</v>
      </c>
      <c r="N62" t="n">
        <v>0</v>
      </c>
      <c r="O62" t="n">
        <v>0</v>
      </c>
      <c r="P62" t="n">
        <v>0</v>
      </c>
      <c r="Q62" t="n">
        <v>0</v>
      </c>
      <c r="R62" s="2" t="inlineStr"/>
    </row>
    <row r="63" ht="15" customHeight="1">
      <c r="A63" t="inlineStr">
        <is>
          <t>A 27743-2025</t>
        </is>
      </c>
      <c r="B63" s="1" t="n">
        <v>45815.53981481482</v>
      </c>
      <c r="C63" s="1" t="n">
        <v>45918</v>
      </c>
      <c r="D63" t="inlineStr">
        <is>
          <t>UPPSALA LÄN</t>
        </is>
      </c>
      <c r="E63" t="inlineStr">
        <is>
          <t>ÄLVKARLEBY</t>
        </is>
      </c>
      <c r="F63" t="inlineStr">
        <is>
          <t>Bergvik skog väst AB</t>
        </is>
      </c>
      <c r="G63" t="n">
        <v>1.1</v>
      </c>
      <c r="H63" t="n">
        <v>0</v>
      </c>
      <c r="I63" t="n">
        <v>0</v>
      </c>
      <c r="J63" t="n">
        <v>0</v>
      </c>
      <c r="K63" t="n">
        <v>0</v>
      </c>
      <c r="L63" t="n">
        <v>0</v>
      </c>
      <c r="M63" t="n">
        <v>0</v>
      </c>
      <c r="N63" t="n">
        <v>0</v>
      </c>
      <c r="O63" t="n">
        <v>0</v>
      </c>
      <c r="P63" t="n">
        <v>0</v>
      </c>
      <c r="Q63" t="n">
        <v>0</v>
      </c>
      <c r="R63" s="2" t="inlineStr"/>
    </row>
    <row r="64" ht="15" customHeight="1">
      <c r="A64" t="inlineStr">
        <is>
          <t>A 26815-2022</t>
        </is>
      </c>
      <c r="B64" s="1" t="n">
        <v>44740.44644675926</v>
      </c>
      <c r="C64" s="1" t="n">
        <v>45918</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27741-2025</t>
        </is>
      </c>
      <c r="B65" s="1" t="n">
        <v>45815.5346875</v>
      </c>
      <c r="C65" s="1" t="n">
        <v>45918</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27742-2025</t>
        </is>
      </c>
      <c r="B66" s="1" t="n">
        <v>45815.53724537037</v>
      </c>
      <c r="C66" s="1" t="n">
        <v>45918</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45918</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45918</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8030-2025</t>
        </is>
      </c>
      <c r="B69" s="1" t="n">
        <v>45707.59064814815</v>
      </c>
      <c r="C69" s="1" t="n">
        <v>45918</v>
      </c>
      <c r="D69" t="inlineStr">
        <is>
          <t>UPPSALA LÄN</t>
        </is>
      </c>
      <c r="E69" t="inlineStr">
        <is>
          <t>ÄLVKARLEBY</t>
        </is>
      </c>
      <c r="F69" t="inlineStr">
        <is>
          <t>Bergvik skog väst AB</t>
        </is>
      </c>
      <c r="G69" t="n">
        <v>3.6</v>
      </c>
      <c r="H69" t="n">
        <v>0</v>
      </c>
      <c r="I69" t="n">
        <v>0</v>
      </c>
      <c r="J69" t="n">
        <v>0</v>
      </c>
      <c r="K69" t="n">
        <v>0</v>
      </c>
      <c r="L69" t="n">
        <v>0</v>
      </c>
      <c r="M69" t="n">
        <v>0</v>
      </c>
      <c r="N69" t="n">
        <v>0</v>
      </c>
      <c r="O69" t="n">
        <v>0</v>
      </c>
      <c r="P69" t="n">
        <v>0</v>
      </c>
      <c r="Q69" t="n">
        <v>0</v>
      </c>
      <c r="R69" s="2" t="inlineStr"/>
    </row>
    <row r="70" ht="15" customHeight="1">
      <c r="A70" t="inlineStr">
        <is>
          <t>A 30483-2025</t>
        </is>
      </c>
      <c r="B70" s="1" t="n">
        <v>45828.68988425926</v>
      </c>
      <c r="C70" s="1" t="n">
        <v>45918</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30936-2025</t>
        </is>
      </c>
      <c r="B71" s="1" t="n">
        <v>45832.40586805555</v>
      </c>
      <c r="C71" s="1" t="n">
        <v>45918</v>
      </c>
      <c r="D71" t="inlineStr">
        <is>
          <t>UPPSALA LÄN</t>
        </is>
      </c>
      <c r="E71" t="inlineStr">
        <is>
          <t>ÄLVKARLEBY</t>
        </is>
      </c>
      <c r="F71" t="inlineStr">
        <is>
          <t>Bergvik skog öst AB</t>
        </is>
      </c>
      <c r="G71" t="n">
        <v>7.2</v>
      </c>
      <c r="H71" t="n">
        <v>0</v>
      </c>
      <c r="I71" t="n">
        <v>0</v>
      </c>
      <c r="J71" t="n">
        <v>0</v>
      </c>
      <c r="K71" t="n">
        <v>0</v>
      </c>
      <c r="L71" t="n">
        <v>0</v>
      </c>
      <c r="M71" t="n">
        <v>0</v>
      </c>
      <c r="N71" t="n">
        <v>0</v>
      </c>
      <c r="O71" t="n">
        <v>0</v>
      </c>
      <c r="P71" t="n">
        <v>0</v>
      </c>
      <c r="Q71" t="n">
        <v>0</v>
      </c>
      <c r="R71" s="2" t="inlineStr"/>
    </row>
    <row r="72" ht="15" customHeight="1">
      <c r="A72" t="inlineStr">
        <is>
          <t>A 30944-2025</t>
        </is>
      </c>
      <c r="B72" s="1" t="n">
        <v>45832.41182870371</v>
      </c>
      <c r="C72" s="1" t="n">
        <v>45918</v>
      </c>
      <c r="D72" t="inlineStr">
        <is>
          <t>UPPSALA LÄN</t>
        </is>
      </c>
      <c r="E72" t="inlineStr">
        <is>
          <t>ÄLVKARLEBY</t>
        </is>
      </c>
      <c r="F72" t="inlineStr">
        <is>
          <t>Bergvik skog öst AB</t>
        </is>
      </c>
      <c r="G72" t="n">
        <v>3.4</v>
      </c>
      <c r="H72" t="n">
        <v>0</v>
      </c>
      <c r="I72" t="n">
        <v>0</v>
      </c>
      <c r="J72" t="n">
        <v>0</v>
      </c>
      <c r="K72" t="n">
        <v>0</v>
      </c>
      <c r="L72" t="n">
        <v>0</v>
      </c>
      <c r="M72" t="n">
        <v>0</v>
      </c>
      <c r="N72" t="n">
        <v>0</v>
      </c>
      <c r="O72" t="n">
        <v>0</v>
      </c>
      <c r="P72" t="n">
        <v>0</v>
      </c>
      <c r="Q72" t="n">
        <v>0</v>
      </c>
      <c r="R72" s="2" t="inlineStr"/>
    </row>
    <row r="73" ht="15" customHeight="1">
      <c r="A73" t="inlineStr">
        <is>
          <t>A 32187-2025</t>
        </is>
      </c>
      <c r="B73" s="1" t="n">
        <v>45835.56949074074</v>
      </c>
      <c r="C73" s="1" t="n">
        <v>45918</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14590-2023</t>
        </is>
      </c>
      <c r="B74" s="1" t="n">
        <v>45013.54621527778</v>
      </c>
      <c r="C74" s="1" t="n">
        <v>45918</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32203-2025</t>
        </is>
      </c>
      <c r="B75" s="1" t="n">
        <v>45835.57951388889</v>
      </c>
      <c r="C75" s="1" t="n">
        <v>45918</v>
      </c>
      <c r="D75" t="inlineStr">
        <is>
          <t>UPPSALA LÄN</t>
        </is>
      </c>
      <c r="E75" t="inlineStr">
        <is>
          <t>ÄLVKARLEBY</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32186-2025</t>
        </is>
      </c>
      <c r="B76" s="1" t="n">
        <v>45835.5667824074</v>
      </c>
      <c r="C76" s="1" t="n">
        <v>45918</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50409-2020</t>
        </is>
      </c>
      <c r="B77" s="1" t="n">
        <v>44110</v>
      </c>
      <c r="C77" s="1" t="n">
        <v>45918</v>
      </c>
      <c r="D77" t="inlineStr">
        <is>
          <t>UPPSALA LÄN</t>
        </is>
      </c>
      <c r="E77" t="inlineStr">
        <is>
          <t>ÄLVKARLEBY</t>
        </is>
      </c>
      <c r="F77" t="inlineStr">
        <is>
          <t>Bergvik skog väst AB</t>
        </is>
      </c>
      <c r="G77" t="n">
        <v>4</v>
      </c>
      <c r="H77" t="n">
        <v>0</v>
      </c>
      <c r="I77" t="n">
        <v>0</v>
      </c>
      <c r="J77" t="n">
        <v>0</v>
      </c>
      <c r="K77" t="n">
        <v>0</v>
      </c>
      <c r="L77" t="n">
        <v>0</v>
      </c>
      <c r="M77" t="n">
        <v>0</v>
      </c>
      <c r="N77" t="n">
        <v>0</v>
      </c>
      <c r="O77" t="n">
        <v>0</v>
      </c>
      <c r="P77" t="n">
        <v>0</v>
      </c>
      <c r="Q77" t="n">
        <v>0</v>
      </c>
      <c r="R77" s="2" t="inlineStr"/>
    </row>
    <row r="78" ht="15" customHeight="1">
      <c r="A78" t="inlineStr">
        <is>
          <t>A 32212-2025</t>
        </is>
      </c>
      <c r="B78" s="1" t="n">
        <v>45835.58509259259</v>
      </c>
      <c r="C78" s="1" t="n">
        <v>45918</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32221-2025</t>
        </is>
      </c>
      <c r="B79" s="1" t="n">
        <v>45835.5909837963</v>
      </c>
      <c r="C79" s="1" t="n">
        <v>45918</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14004-2025</t>
        </is>
      </c>
      <c r="B80" s="1" t="n">
        <v>45740.2997337963</v>
      </c>
      <c r="C80" s="1" t="n">
        <v>45918</v>
      </c>
      <c r="D80" t="inlineStr">
        <is>
          <t>UPPSALA LÄN</t>
        </is>
      </c>
      <c r="E80" t="inlineStr">
        <is>
          <t>ÄLVKARLEBY</t>
        </is>
      </c>
      <c r="F80" t="inlineStr">
        <is>
          <t>Bergvik skog öst AB</t>
        </is>
      </c>
      <c r="G80" t="n">
        <v>10.1</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45918</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45918</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41272-2023</t>
        </is>
      </c>
      <c r="B83" s="1" t="n">
        <v>45174</v>
      </c>
      <c r="C83" s="1" t="n">
        <v>45918</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11553-2021</t>
        </is>
      </c>
      <c r="B84" s="1" t="n">
        <v>44264.48725694444</v>
      </c>
      <c r="C84" s="1" t="n">
        <v>45918</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36216-2022</t>
        </is>
      </c>
      <c r="B85" s="1" t="n">
        <v>44803</v>
      </c>
      <c r="C85" s="1" t="n">
        <v>45918</v>
      </c>
      <c r="D85" t="inlineStr">
        <is>
          <t>UPPSALA LÄN</t>
        </is>
      </c>
      <c r="E85" t="inlineStr">
        <is>
          <t>ÄLVKARLEBY</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41615-2025</t>
        </is>
      </c>
      <c r="B86" s="1" t="n">
        <v>45901.69556712963</v>
      </c>
      <c r="C86" s="1" t="n">
        <v>45918</v>
      </c>
      <c r="D86" t="inlineStr">
        <is>
          <t>UPPSALA LÄN</t>
        </is>
      </c>
      <c r="E86" t="inlineStr">
        <is>
          <t>ÄLVKARLEBY</t>
        </is>
      </c>
      <c r="F86" t="inlineStr">
        <is>
          <t>Bergvik skog väst AB</t>
        </is>
      </c>
      <c r="G86" t="n">
        <v>3</v>
      </c>
      <c r="H86" t="n">
        <v>0</v>
      </c>
      <c r="I86" t="n">
        <v>0</v>
      </c>
      <c r="J86" t="n">
        <v>0</v>
      </c>
      <c r="K86" t="n">
        <v>0</v>
      </c>
      <c r="L86" t="n">
        <v>0</v>
      </c>
      <c r="M86" t="n">
        <v>0</v>
      </c>
      <c r="N86" t="n">
        <v>0</v>
      </c>
      <c r="O86" t="n">
        <v>0</v>
      </c>
      <c r="P86" t="n">
        <v>0</v>
      </c>
      <c r="Q86" t="n">
        <v>0</v>
      </c>
      <c r="R86" s="2" t="inlineStr"/>
    </row>
    <row r="87" ht="15" customHeight="1">
      <c r="A87" t="inlineStr">
        <is>
          <t>A 41847-2025</t>
        </is>
      </c>
      <c r="B87" s="1" t="n">
        <v>45902.75265046296</v>
      </c>
      <c r="C87" s="1" t="n">
        <v>45918</v>
      </c>
      <c r="D87" t="inlineStr">
        <is>
          <t>UPPSALA LÄN</t>
        </is>
      </c>
      <c r="E87" t="inlineStr">
        <is>
          <t>ÄLVKARLEBY</t>
        </is>
      </c>
      <c r="F87" t="inlineStr">
        <is>
          <t>Bergvik skog väst AB</t>
        </is>
      </c>
      <c r="G87" t="n">
        <v>3.6</v>
      </c>
      <c r="H87" t="n">
        <v>0</v>
      </c>
      <c r="I87" t="n">
        <v>0</v>
      </c>
      <c r="J87" t="n">
        <v>0</v>
      </c>
      <c r="K87" t="n">
        <v>0</v>
      </c>
      <c r="L87" t="n">
        <v>0</v>
      </c>
      <c r="M87" t="n">
        <v>0</v>
      </c>
      <c r="N87" t="n">
        <v>0</v>
      </c>
      <c r="O87" t="n">
        <v>0</v>
      </c>
      <c r="P87" t="n">
        <v>0</v>
      </c>
      <c r="Q87" t="n">
        <v>0</v>
      </c>
      <c r="R87" s="2" t="inlineStr"/>
    </row>
    <row r="88" ht="15" customHeight="1">
      <c r="A88" t="inlineStr">
        <is>
          <t>A 26664-2025</t>
        </is>
      </c>
      <c r="B88" s="1" t="n">
        <v>45810</v>
      </c>
      <c r="C88" s="1" t="n">
        <v>45918</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43577-2025</t>
        </is>
      </c>
      <c r="B89" s="1" t="n">
        <v>45911.64219907407</v>
      </c>
      <c r="C89" s="1" t="n">
        <v>45918</v>
      </c>
      <c r="D89" t="inlineStr">
        <is>
          <t>UPPSALA LÄN</t>
        </is>
      </c>
      <c r="E89" t="inlineStr">
        <is>
          <t>ÄLVKARLEBY</t>
        </is>
      </c>
      <c r="F89" t="inlineStr">
        <is>
          <t>Bergvik skog väst AB</t>
        </is>
      </c>
      <c r="G89" t="n">
        <v>3</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45918</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c r="A91" t="inlineStr">
        <is>
          <t>A 43662-2025</t>
        </is>
      </c>
      <c r="B91" s="1" t="n">
        <v>45912.34446759259</v>
      </c>
      <c r="C91" s="1" t="n">
        <v>45918</v>
      </c>
      <c r="D91" t="inlineStr">
        <is>
          <t>UPPSALA LÄN</t>
        </is>
      </c>
      <c r="E91" t="inlineStr">
        <is>
          <t>ÄLVKARLEBY</t>
        </is>
      </c>
      <c r="F91" t="inlineStr">
        <is>
          <t>Kyrkan</t>
        </is>
      </c>
      <c r="G91" t="n">
        <v>4.5</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2025-09-18T08:59:37Z</dcterms:created>
  <dcterms:modified xmlns:dcterms="http://purl.org/dc/terms/" xmlns:xsi="http://www.w3.org/2001/XMLSchema-instance" xsi:type="dcterms:W3CDTF">2025-09-18T08:59:37Z</dcterms:modified>
</cp:coreProperties>
</file>