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46252</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46252</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46252</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27330-2025</t>
        </is>
      </c>
      <c r="B5" t="inlineStr">
        <is>
          <t>avverkningsanmälan</t>
        </is>
      </c>
      <c r="C5" t="inlineStr">
        <is>
          <t>Föryngringsavverkning</t>
        </is>
      </c>
      <c r="D5" s="1" t="n">
        <v>45812</v>
      </c>
      <c r="E5" s="1" t="n">
        <v>46252</v>
      </c>
      <c r="F5" t="inlineStr">
        <is>
          <t>UPPSALA LÄN</t>
        </is>
      </c>
      <c r="G5" t="inlineStr">
        <is>
          <t>ÄLVKARLEBY</t>
        </is>
      </c>
      <c r="H5" t="inlineStr">
        <is>
          <t>Bergvik skog väst AB</t>
        </is>
      </c>
      <c r="I5" t="n">
        <v>0.5</v>
      </c>
      <c r="J5" t="n">
        <v>1</v>
      </c>
      <c r="K5" t="n">
        <v>0</v>
      </c>
      <c r="L5" t="n">
        <v>3</v>
      </c>
      <c r="M5" t="n">
        <v>7</v>
      </c>
      <c r="N5" t="n">
        <v>1</v>
      </c>
      <c r="O5" t="n">
        <v>0</v>
      </c>
      <c r="P5" t="n">
        <v>0</v>
      </c>
      <c r="Q5" t="n">
        <v>11</v>
      </c>
      <c r="R5" t="n">
        <v>8</v>
      </c>
      <c r="S5" t="n">
        <v>12</v>
      </c>
      <c r="T5" t="n">
        <v>13</v>
      </c>
      <c r="U5" t="n">
        <v>8</v>
      </c>
      <c r="V5" s="2" t="inlineStr">
        <is>
          <t>Bitter taggsvamp
Bredbrämad bastardsvärmare
Frygisk spindling
Grangråticka
Kopparspindling
Mindre bastardsvärmare
Sexfläckig bastardsvärmare
Tvillingspindling
Rosenticka
Skarp dropptaggsvamp
Tjockfotad fingersvamp
Nattviol</t>
        </is>
      </c>
      <c r="W5">
        <f>HYPERLINK("https://klasma.github.io/Logging_0319/artfynd/A 27330-2025 artfynd.xlsx", "A 27330-2025")</f>
        <v/>
      </c>
      <c r="X5">
        <f>HYPERLINK("https://klasma.github.io/Logging_0319/kartor/A 27330-2025 karta.png", "A 27330-2025")</f>
        <v/>
      </c>
      <c r="Y5">
        <f>HYPERLINK("https://klasma.github.io/Logging_0319/kartor_geotiff/A 27330-2025 georefererad karta.tif", "A 27330-2025")</f>
        <v/>
      </c>
      <c r="AA5">
        <f>HYPERLINK("https://klasma.github.io/Logging_0319/klagomål/A 27330-2025 FSC-klagomål.docx", "A 27330-2025")</f>
        <v/>
      </c>
      <c r="AB5">
        <f>HYPERLINK("https://klasma.github.io/Logging_0319/klagomålsmail/A 27330-2025 FSC-klagomål mail.docx", "A 27330-2025")</f>
        <v/>
      </c>
      <c r="AC5">
        <f>HYPERLINK("https://klasma.github.io/Logging_0319/tillsyn/A 27330-2025 tillsynsbegäran.docx", "A 27330-2025")</f>
        <v/>
      </c>
      <c r="AD5">
        <f>HYPERLINK("https://klasma.github.io/Logging_0319/tillsynsmail/A 27330-2025 tillsynsbegäran mail.docx", "A 27330-2025")</f>
        <v/>
      </c>
    </row>
    <row r="6" ht="15" customHeight="1">
      <c r="A6" t="inlineStr">
        <is>
          <t>A 51149-2025</t>
        </is>
      </c>
      <c r="B6" t="inlineStr">
        <is>
          <t>avverkningsanmälan</t>
        </is>
      </c>
      <c r="C6" t="inlineStr">
        <is>
          <t>Avverkning för att bevara och utveckla /försöksver</t>
        </is>
      </c>
      <c r="D6" s="1" t="n">
        <v>45947</v>
      </c>
      <c r="E6" s="1" t="n">
        <v>46252</v>
      </c>
      <c r="F6" t="inlineStr">
        <is>
          <t>UPPSALA LÄN</t>
        </is>
      </c>
      <c r="G6" t="inlineStr">
        <is>
          <t>ÄLVKARLEBY</t>
        </is>
      </c>
      <c r="H6" t="inlineStr">
        <is>
          <t>Bergvik skog väst AB</t>
        </is>
      </c>
      <c r="I6" t="n">
        <v>2.9</v>
      </c>
      <c r="J6" t="n">
        <v>2</v>
      </c>
      <c r="K6" t="n">
        <v>7</v>
      </c>
      <c r="L6" t="n">
        <v>3</v>
      </c>
      <c r="M6" t="n">
        <v>1</v>
      </c>
      <c r="N6" t="n">
        <v>0</v>
      </c>
      <c r="O6" t="n">
        <v>0</v>
      </c>
      <c r="P6" t="n">
        <v>0</v>
      </c>
      <c r="Q6" t="n">
        <v>4</v>
      </c>
      <c r="R6" t="n">
        <v>1</v>
      </c>
      <c r="S6" t="n">
        <v>12</v>
      </c>
      <c r="T6" t="n">
        <v>19</v>
      </c>
      <c r="U6" t="n">
        <v>19</v>
      </c>
      <c r="V6" s="2" t="inlineStr">
        <is>
          <t>Läderdoftande fingersvamp
Svart taggsvamp
Ullticka
Vårärt
Guldlockmossa
Mindre märgborre
Mörk husmossa
Platt fjädermossa
Skogsknipprot
Stubbspretmossa
Tibast
Blåsippa</t>
        </is>
      </c>
      <c r="W6">
        <f>HYPERLINK("https://klasma.github.io/Logging_0319/artfynd/A 51149-2025 artfynd.xlsx", "A 51149-2025")</f>
        <v/>
      </c>
      <c r="X6">
        <f>HYPERLINK("https://klasma.github.io/Logging_0319/kartor/A 51149-2025 karta.png", "A 51149-2025")</f>
        <v/>
      </c>
      <c r="Y6">
        <f>HYPERLINK("https://klasma.github.io/Logging_0319/kartor_geotiff/A 51149-2025 georefererad karta.tif", "A 51149-2025")</f>
        <v/>
      </c>
      <c r="AA6">
        <f>HYPERLINK("https://klasma.github.io/Logging_0319/klagomål/A 51149-2025 FSC-klagomål.docx", "A 51149-2025")</f>
        <v/>
      </c>
      <c r="AB6">
        <f>HYPERLINK("https://klasma.github.io/Logging_0319/klagomålsmail/A 51149-2025 FSC-klagomål mail.docx", "A 51149-2025")</f>
        <v/>
      </c>
      <c r="AC6">
        <f>HYPERLINK("https://klasma.github.io/Logging_0319/tillsyn/A 51149-2025 tillsynsbegäran.docx", "A 51149-2025")</f>
        <v/>
      </c>
      <c r="AD6">
        <f>HYPERLINK("https://klasma.github.io/Logging_0319/tillsynsmail/A 51149-2025 tillsynsbegäran mail.docx", "A 51149-2025")</f>
        <v/>
      </c>
    </row>
    <row r="7" ht="15" customHeight="1">
      <c r="A7" t="inlineStr">
        <is>
          <t>A 3954-2025</t>
        </is>
      </c>
      <c r="B7" t="inlineStr">
        <is>
          <t>avverkningsanmälan</t>
        </is>
      </c>
      <c r="C7" t="inlineStr">
        <is>
          <t>Avverkning för annat ändamål</t>
        </is>
      </c>
      <c r="D7" s="1" t="n">
        <v>45684</v>
      </c>
      <c r="E7" s="1" t="n">
        <v>46252</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46252</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46252</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46252</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46252</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46252</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46252</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46252</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33464-2026</t>
        </is>
      </c>
      <c r="B15" t="inlineStr">
        <is>
          <t>avverkningsanmälan</t>
        </is>
      </c>
      <c r="C15" t="inlineStr">
        <is>
          <t>Föryngringsavverkning</t>
        </is>
      </c>
      <c r="D15" s="1" t="n">
        <v>46247</v>
      </c>
      <c r="E15" s="1" t="n">
        <v>46252</v>
      </c>
      <c r="F15" t="inlineStr">
        <is>
          <t>UPPSALA LÄN</t>
        </is>
      </c>
      <c r="G15" t="inlineStr">
        <is>
          <t>ÄLVKARLEBY</t>
        </is>
      </c>
      <c r="H15" t="inlineStr">
        <is>
          <t>Bergvik skog väst AB</t>
        </is>
      </c>
      <c r="I15" t="n">
        <v>5.1</v>
      </c>
      <c r="J15" t="n">
        <v>1</v>
      </c>
      <c r="K15" t="n">
        <v>1</v>
      </c>
      <c r="L15" t="n">
        <v>3</v>
      </c>
      <c r="M15" t="n">
        <v>1</v>
      </c>
      <c r="N15" t="n">
        <v>0</v>
      </c>
      <c r="O15" t="n">
        <v>0</v>
      </c>
      <c r="P15" t="n">
        <v>0</v>
      </c>
      <c r="Q15" t="n">
        <v>4</v>
      </c>
      <c r="R15" t="n">
        <v>1</v>
      </c>
      <c r="S15" t="n">
        <v>5</v>
      </c>
      <c r="T15" t="n">
        <v>6</v>
      </c>
      <c r="U15" t="n">
        <v>0</v>
      </c>
      <c r="V15" s="2" t="inlineStr">
        <is>
          <t>Skrovlig taggsvamp
Grantaggsvamp
Motaggsvamp
Orange taggsvamp
Skogsknipprot</t>
        </is>
      </c>
      <c r="W15">
        <f>HYPERLINK("https://klasma.github.io/Logging_0319/artfynd/A 33464-2026 artfynd.xlsx", "A 33464-2026")</f>
        <v/>
      </c>
      <c r="X15">
        <f>HYPERLINK("https://klasma.github.io/Logging_0319/kartor/A 33464-2026 karta.png", "A 33464-2026")</f>
        <v/>
      </c>
      <c r="Y15">
        <f>HYPERLINK("https://klasma.github.io/Logging_0319/kartor_geotiff/A 33464-2026 georefererad karta.tif", "A 33464-2026")</f>
        <v/>
      </c>
      <c r="AA15">
        <f>HYPERLINK("https://klasma.github.io/Logging_0319/klagomål/A 33464-2026 FSC-klagomål.docx", "A 33464-2026")</f>
        <v/>
      </c>
      <c r="AB15">
        <f>HYPERLINK("https://klasma.github.io/Logging_0319/klagomålsmail/A 33464-2026 FSC-klagomål mail.docx", "A 33464-2026")</f>
        <v/>
      </c>
      <c r="AC15">
        <f>HYPERLINK("https://klasma.github.io/Logging_0319/tillsyn/A 33464-2026 tillsynsbegäran.docx", "A 33464-2026")</f>
        <v/>
      </c>
      <c r="AD15">
        <f>HYPERLINK("https://klasma.github.io/Logging_0319/tillsynsmail/A 33464-2026 tillsynsbegäran mail.docx", "A 33464-2026")</f>
        <v/>
      </c>
    </row>
    <row r="16" ht="15" customHeight="1">
      <c r="A16" t="inlineStr">
        <is>
          <t>A 22563-2026</t>
        </is>
      </c>
      <c r="B16" t="inlineStr">
        <is>
          <t>avverkningsanmälan</t>
        </is>
      </c>
      <c r="C16" t="inlineStr">
        <is>
          <t>Föryngringsavverkning</t>
        </is>
      </c>
      <c r="D16" s="1" t="n">
        <v>46155</v>
      </c>
      <c r="E16" s="1" t="n">
        <v>46252</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S 4507-2023</t>
        </is>
      </c>
      <c r="B17" t="inlineStr">
        <is>
          <t>samrådsanmälan</t>
        </is>
      </c>
      <c r="C17" t="inlineStr">
        <is>
          <t>Skogsgödsling</t>
        </is>
      </c>
      <c r="D17" s="1" t="n">
        <v>45274</v>
      </c>
      <c r="E17" s="1" t="n">
        <v>46252</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46252</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46252</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61685-2025</t>
        </is>
      </c>
      <c r="B20" t="inlineStr">
        <is>
          <t>avverkningsanmälan</t>
        </is>
      </c>
      <c r="C20" t="inlineStr">
        <is>
          <t>Föryngringsavverkning</t>
        </is>
      </c>
      <c r="D20" s="1" t="n">
        <v>46002</v>
      </c>
      <c r="E20" s="1" t="n">
        <v>46252</v>
      </c>
      <c r="F20" t="inlineStr">
        <is>
          <t>UPPSALA LÄN</t>
        </is>
      </c>
      <c r="G20" t="inlineStr">
        <is>
          <t>ÄLVKARLEBY</t>
        </is>
      </c>
      <c r="H20" t="inlineStr">
        <is>
          <t>Bergvik skog öst AB</t>
        </is>
      </c>
      <c r="I20" t="n">
        <v>1</v>
      </c>
      <c r="J20" t="n">
        <v>2</v>
      </c>
      <c r="K20" t="n">
        <v>1</v>
      </c>
      <c r="L20" t="n">
        <v>1</v>
      </c>
      <c r="M20" t="n">
        <v>0</v>
      </c>
      <c r="N20" t="n">
        <v>0</v>
      </c>
      <c r="O20" t="n">
        <v>0</v>
      </c>
      <c r="P20" t="n">
        <v>0</v>
      </c>
      <c r="Q20" t="n">
        <v>1</v>
      </c>
      <c r="R20" t="n">
        <v>0</v>
      </c>
      <c r="S20" t="n">
        <v>3</v>
      </c>
      <c r="T20" t="n">
        <v>3</v>
      </c>
      <c r="U20" t="n">
        <v>0</v>
      </c>
      <c r="V20" s="2" t="inlineStr">
        <is>
          <t>Klasefibbla
Tvåblad
Kärrknipprot</t>
        </is>
      </c>
      <c r="W20">
        <f>HYPERLINK("https://klasma.github.io/Logging_0319/artfynd/A 61685-2025 artfynd.xlsx", "A 61685-2025")</f>
        <v/>
      </c>
      <c r="X20">
        <f>HYPERLINK("https://klasma.github.io/Logging_0319/kartor/A 61685-2025 karta.png", "A 61685-2025")</f>
        <v/>
      </c>
      <c r="Y20">
        <f>HYPERLINK("https://klasma.github.io/Logging_0319/kartor_geotiff/A 61685-2025 georefererad karta.tif", "A 61685-2025")</f>
        <v/>
      </c>
      <c r="AA20">
        <f>HYPERLINK("https://klasma.github.io/Logging_0319/klagomål/A 61685-2025 FSC-klagomål.docx", "A 61685-2025")</f>
        <v/>
      </c>
      <c r="AB20">
        <f>HYPERLINK("https://klasma.github.io/Logging_0319/klagomålsmail/A 61685-2025 FSC-klagomål mail.docx", "A 61685-2025")</f>
        <v/>
      </c>
      <c r="AC20">
        <f>HYPERLINK("https://klasma.github.io/Logging_0319/tillsyn/A 61685-2025 tillsynsbegäran.docx", "A 61685-2025")</f>
        <v/>
      </c>
      <c r="AD20">
        <f>HYPERLINK("https://klasma.github.io/Logging_0319/tillsynsmail/A 61685-2025 tillsynsbegäran mail.docx", "A 61685-2025")</f>
        <v/>
      </c>
    </row>
    <row r="21" ht="15" customHeight="1">
      <c r="A21" t="inlineStr">
        <is>
          <t>A 61693-2025</t>
        </is>
      </c>
      <c r="B21" t="inlineStr">
        <is>
          <t>avverkningsanmälan</t>
        </is>
      </c>
      <c r="C21" t="inlineStr">
        <is>
          <t>Föryngringsavverkning</t>
        </is>
      </c>
      <c r="D21" s="1" t="n">
        <v>46002</v>
      </c>
      <c r="E21" s="1" t="n">
        <v>46252</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21700-2024</t>
        </is>
      </c>
      <c r="B22" t="inlineStr">
        <is>
          <t>avverkningsanmälan</t>
        </is>
      </c>
      <c r="C22" t="inlineStr">
        <is>
          <t>Föryngringsavverkning</t>
        </is>
      </c>
      <c r="D22" s="1" t="n">
        <v>45442</v>
      </c>
      <c r="E22" s="1" t="n">
        <v>46252</v>
      </c>
      <c r="F22" t="inlineStr">
        <is>
          <t>UPPSALA LÄN</t>
        </is>
      </c>
      <c r="G22" t="inlineStr">
        <is>
          <t>ÄLVKARLEBY</t>
        </is>
      </c>
      <c r="H22" t="inlineStr">
        <is>
          <t>Bergvik skog väst AB</t>
        </is>
      </c>
      <c r="I22" t="n">
        <v>1.1</v>
      </c>
      <c r="J22" t="n">
        <v>0</v>
      </c>
      <c r="K22" t="n">
        <v>1</v>
      </c>
      <c r="L22" t="n">
        <v>1</v>
      </c>
      <c r="M22" t="n">
        <v>1</v>
      </c>
      <c r="N22" t="n">
        <v>0</v>
      </c>
      <c r="O22" t="n">
        <v>0</v>
      </c>
      <c r="P22" t="n">
        <v>0</v>
      </c>
      <c r="Q22" t="n">
        <v>2</v>
      </c>
      <c r="R22" t="n">
        <v>1</v>
      </c>
      <c r="S22" t="n">
        <v>3</v>
      </c>
      <c r="T22" t="n">
        <v>3</v>
      </c>
      <c r="U22" t="n">
        <v>1</v>
      </c>
      <c r="V22" s="2" t="inlineStr">
        <is>
          <t>Töcknig trymal
Skuggorangelav
Scharlakansvårskål agg.</t>
        </is>
      </c>
      <c r="W22">
        <f>HYPERLINK("https://klasma.github.io/Logging_0319/artfynd/A 21700-2024 artfynd.xlsx", "A 21700-2024")</f>
        <v/>
      </c>
      <c r="X22">
        <f>HYPERLINK("https://klasma.github.io/Logging_0319/kartor/A 21700-2024 karta.png", "A 21700-2024")</f>
        <v/>
      </c>
      <c r="Y22">
        <f>HYPERLINK("https://klasma.github.io/Logging_0319/kartor_geotiff/A 21700-2024 georefererad karta.tif", "A 21700-2024")</f>
        <v/>
      </c>
      <c r="AA22">
        <f>HYPERLINK("https://klasma.github.io/Logging_0319/klagomål/A 21700-2024 FSC-klagomål.docx", "A 21700-2024")</f>
        <v/>
      </c>
      <c r="AB22">
        <f>HYPERLINK("https://klasma.github.io/Logging_0319/klagomålsmail/A 21700-2024 FSC-klagomål mail.docx", "A 21700-2024")</f>
        <v/>
      </c>
      <c r="AC22">
        <f>HYPERLINK("https://klasma.github.io/Logging_0319/tillsyn/A 21700-2024 tillsynsbegäran.docx", "A 21700-2024")</f>
        <v/>
      </c>
      <c r="AD22">
        <f>HYPERLINK("https://klasma.github.io/Logging_0319/tillsynsmail/A 21700-2024 tillsynsbegäran mail.docx", "A 21700-2024")</f>
        <v/>
      </c>
    </row>
    <row r="23" ht="15" customHeight="1">
      <c r="A23" t="inlineStr">
        <is>
          <t>A 33463-2026</t>
        </is>
      </c>
      <c r="B23" t="inlineStr">
        <is>
          <t>avverkningsanmälan</t>
        </is>
      </c>
      <c r="C23" t="inlineStr">
        <is>
          <t>Föryngringsavverkning</t>
        </is>
      </c>
      <c r="D23" s="1" t="n">
        <v>46247</v>
      </c>
      <c r="E23" s="1" t="n">
        <v>46252</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46252</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46252</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46252</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46252</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46252</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7286-2023</t>
        </is>
      </c>
      <c r="B29" t="inlineStr">
        <is>
          <t>avverkningsanmälan</t>
        </is>
      </c>
      <c r="C29" t="inlineStr">
        <is>
          <t>Avverkning för annat ändamål</t>
        </is>
      </c>
      <c r="D29" s="1" t="n">
        <v>44970</v>
      </c>
      <c r="E29" s="1" t="n">
        <v>46252</v>
      </c>
      <c r="F29" t="inlineStr">
        <is>
          <t>UPPSALA LÄN</t>
        </is>
      </c>
      <c r="G29" t="inlineStr">
        <is>
          <t>ÄLVKARLEBY</t>
        </is>
      </c>
      <c r="H29" t="inlineStr">
        <is>
          <t>Bergvik skog väst AB</t>
        </is>
      </c>
      <c r="I29" t="n">
        <v>2.5</v>
      </c>
      <c r="J29" t="n">
        <v>0</v>
      </c>
      <c r="K29" t="n">
        <v>1</v>
      </c>
      <c r="L29" t="n">
        <v>0</v>
      </c>
      <c r="M29" t="n">
        <v>0</v>
      </c>
      <c r="N29" t="n">
        <v>0</v>
      </c>
      <c r="O29" t="n">
        <v>0</v>
      </c>
      <c r="P29" t="n">
        <v>0</v>
      </c>
      <c r="Q29" t="n">
        <v>0</v>
      </c>
      <c r="R29" t="n">
        <v>0</v>
      </c>
      <c r="S29" t="n">
        <v>1</v>
      </c>
      <c r="T29" t="n">
        <v>1</v>
      </c>
      <c r="U29" t="n">
        <v>0</v>
      </c>
      <c r="V29" s="2" t="inlineStr">
        <is>
          <t>Grönpyrola</t>
        </is>
      </c>
      <c r="W29">
        <f>HYPERLINK("https://klasma.github.io/Logging_0319/artfynd/A 7286-2023 artfynd.xlsx", "A 7286-2023")</f>
        <v/>
      </c>
      <c r="X29">
        <f>HYPERLINK("https://klasma.github.io/Logging_0319/kartor/A 7286-2023 karta.png", "A 7286-2023")</f>
        <v/>
      </c>
      <c r="Y29">
        <f>HYPERLINK("https://klasma.github.io/Logging_0319/kartor_geotiff/A 7286-2023 georefererad karta.tif", "A 7286-2023")</f>
        <v/>
      </c>
      <c r="AA29">
        <f>HYPERLINK("https://klasma.github.io/Logging_0319/klagomål/A 7286-2023 FSC-klagomål.docx", "A 7286-2023")</f>
        <v/>
      </c>
      <c r="AB29">
        <f>HYPERLINK("https://klasma.github.io/Logging_0319/klagomålsmail/A 7286-2023 FSC-klagomål mail.docx", "A 7286-2023")</f>
        <v/>
      </c>
      <c r="AC29">
        <f>HYPERLINK("https://klasma.github.io/Logging_0319/tillsyn/A 7286-2023 tillsynsbegäran.docx", "A 7286-2023")</f>
        <v/>
      </c>
      <c r="AD29">
        <f>HYPERLINK("https://klasma.github.io/Logging_0319/tillsynsmail/A 7286-2023 tillsynsbegäran mail.docx", "A 7286-2023")</f>
        <v/>
      </c>
    </row>
    <row r="30" ht="15" customHeight="1">
      <c r="A30" t="inlineStr">
        <is>
          <t>A 10455-2022</t>
        </is>
      </c>
      <c r="B30" t="inlineStr">
        <is>
          <t>avverkningsanmälan</t>
        </is>
      </c>
      <c r="C30" t="inlineStr">
        <is>
          <t>Föryngringsavverkning</t>
        </is>
      </c>
      <c r="D30" s="1" t="n">
        <v>44623</v>
      </c>
      <c r="E30" s="1" t="n">
        <v>46252</v>
      </c>
      <c r="F30" t="inlineStr">
        <is>
          <t>UPPSALA LÄN</t>
        </is>
      </c>
      <c r="G30" t="inlineStr">
        <is>
          <t>ÄLVKARLEBY</t>
        </is>
      </c>
      <c r="H30" t="inlineStr">
        <is>
          <t>Bergvik skog öst AB</t>
        </is>
      </c>
      <c r="I30" t="n">
        <v>1.1</v>
      </c>
      <c r="J30" t="n">
        <v>0</v>
      </c>
      <c r="K30" t="n">
        <v>0</v>
      </c>
      <c r="L30" t="n">
        <v>1</v>
      </c>
      <c r="M30" t="n">
        <v>0</v>
      </c>
      <c r="N30" t="n">
        <v>0</v>
      </c>
      <c r="O30" t="n">
        <v>0</v>
      </c>
      <c r="P30" t="n">
        <v>0</v>
      </c>
      <c r="Q30" t="n">
        <v>1</v>
      </c>
      <c r="R30" t="n">
        <v>0</v>
      </c>
      <c r="S30" t="n">
        <v>1</v>
      </c>
      <c r="T30" t="n">
        <v>4</v>
      </c>
      <c r="U30" t="n">
        <v>1</v>
      </c>
      <c r="V30" s="2" t="inlineStr">
        <is>
          <t>Sandviol</t>
        </is>
      </c>
      <c r="W30">
        <f>HYPERLINK("https://klasma.github.io/Logging_0319/artfynd/A 10455-2022 artfynd.xlsx", "A 10455-2022")</f>
        <v/>
      </c>
      <c r="X30">
        <f>HYPERLINK("https://klasma.github.io/Logging_0319/kartor/A 10455-2022 karta.png", "A 10455-2022")</f>
        <v/>
      </c>
      <c r="Y30">
        <f>HYPERLINK("https://klasma.github.io/Logging_0319/kartor_geotiff/A 10455-2022 georefererad karta.tif", "A 10455-2022")</f>
        <v/>
      </c>
      <c r="AA30">
        <f>HYPERLINK("https://klasma.github.io/Logging_0319/klagomål/A 10455-2022 FSC-klagomål.docx", "A 10455-2022")</f>
        <v/>
      </c>
      <c r="AB30">
        <f>HYPERLINK("https://klasma.github.io/Logging_0319/klagomålsmail/A 10455-2022 FSC-klagomål mail.docx", "A 10455-2022")</f>
        <v/>
      </c>
      <c r="AC30">
        <f>HYPERLINK("https://klasma.github.io/Logging_0319/tillsyn/A 10455-2022 tillsynsbegäran.docx", "A 10455-2022")</f>
        <v/>
      </c>
      <c r="AD30">
        <f>HYPERLINK("https://klasma.github.io/Logging_0319/tillsynsmail/A 10455-2022 tillsynsbegäran mail.docx", "A 10455-2022")</f>
        <v/>
      </c>
    </row>
    <row r="31" ht="15" customHeight="1">
      <c r="A31" t="inlineStr">
        <is>
          <t>A 51238-2025</t>
        </is>
      </c>
      <c r="B31" t="inlineStr">
        <is>
          <t>avverkningsanmälan</t>
        </is>
      </c>
      <c r="C31" t="inlineStr">
        <is>
          <t>Föryngringsavverkning</t>
        </is>
      </c>
      <c r="D31" s="1" t="n">
        <v>45947</v>
      </c>
      <c r="E31" s="1" t="n">
        <v>46252</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57734-2025</t>
        </is>
      </c>
      <c r="B32" t="inlineStr">
        <is>
          <t>avverkningsanmälan</t>
        </is>
      </c>
      <c r="C32" t="inlineStr">
        <is>
          <t>Föryngringsavverkning</t>
        </is>
      </c>
      <c r="D32" s="1" t="n">
        <v>45981</v>
      </c>
      <c r="E32" s="1" t="n">
        <v>46252</v>
      </c>
      <c r="F32" t="inlineStr">
        <is>
          <t>UPPSALA LÄN</t>
        </is>
      </c>
      <c r="G32" t="inlineStr">
        <is>
          <t>ÄLVKARLEBY</t>
        </is>
      </c>
      <c r="H32" t="inlineStr">
        <is>
          <t>Bergvik skog väst AB</t>
        </is>
      </c>
      <c r="I32" t="n">
        <v>1.3</v>
      </c>
      <c r="J32" t="n">
        <v>1</v>
      </c>
      <c r="K32" t="n">
        <v>0</v>
      </c>
      <c r="L32" t="n">
        <v>0</v>
      </c>
      <c r="M32" t="n">
        <v>1</v>
      </c>
      <c r="N32" t="n">
        <v>0</v>
      </c>
      <c r="O32" t="n">
        <v>0</v>
      </c>
      <c r="P32" t="n">
        <v>0</v>
      </c>
      <c r="Q32" t="n">
        <v>1</v>
      </c>
      <c r="R32" t="n">
        <v>1</v>
      </c>
      <c r="S32" t="n">
        <v>1</v>
      </c>
      <c r="T32" t="n">
        <v>1</v>
      </c>
      <c r="U32" t="n">
        <v>0</v>
      </c>
      <c r="V32" s="2" t="inlineStr">
        <is>
          <t>Gölgroda</t>
        </is>
      </c>
      <c r="W32">
        <f>HYPERLINK("https://klasma.github.io/Logging_0319/artfynd/A 57734-2025 artfynd.xlsx", "A 57734-2025")</f>
        <v/>
      </c>
      <c r="X32">
        <f>HYPERLINK("https://klasma.github.io/Logging_0319/kartor/A 57734-2025 karta.png", "A 57734-2025")</f>
        <v/>
      </c>
      <c r="Y32">
        <f>HYPERLINK("https://klasma.github.io/Logging_0319/kartor_geotiff/A 57734-2025 georefererad karta.tif", "A 57734-2025")</f>
        <v/>
      </c>
      <c r="AA32">
        <f>HYPERLINK("https://klasma.github.io/Logging_0319/klagomål/A 57734-2025 FSC-klagomål.docx", "A 57734-2025")</f>
        <v/>
      </c>
      <c r="AB32">
        <f>HYPERLINK("https://klasma.github.io/Logging_0319/klagomålsmail/A 57734-2025 FSC-klagomål mail.docx", "A 57734-2025")</f>
        <v/>
      </c>
      <c r="AC32">
        <f>HYPERLINK("https://klasma.github.io/Logging_0319/tillsyn/A 57734-2025 tillsynsbegäran.docx", "A 57734-2025")</f>
        <v/>
      </c>
      <c r="AD32">
        <f>HYPERLINK("https://klasma.github.io/Logging_0319/tillsynsmail/A 57734-2025 tillsynsbegäran mail.docx", "A 57734-2025")</f>
        <v/>
      </c>
    </row>
    <row r="33" ht="15" customHeight="1">
      <c r="A33" t="inlineStr">
        <is>
          <t>A 59993-2025</t>
        </is>
      </c>
      <c r="B33" t="inlineStr">
        <is>
          <t>avverkningsanmälan</t>
        </is>
      </c>
      <c r="C33" t="inlineStr">
        <is>
          <t>Avverkning för att bevara och utveckla /försöksver</t>
        </is>
      </c>
      <c r="D33" s="1" t="n">
        <v>45993</v>
      </c>
      <c r="E33" s="1" t="n">
        <v>46252</v>
      </c>
      <c r="F33" t="inlineStr">
        <is>
          <t>UPPSALA LÄN</t>
        </is>
      </c>
      <c r="G33" t="inlineStr">
        <is>
          <t>ÄLVKARLEBY</t>
        </is>
      </c>
      <c r="H33" t="inlineStr">
        <is>
          <t>Bergvik skog väst AB</t>
        </is>
      </c>
      <c r="I33" t="n">
        <v>18.6</v>
      </c>
      <c r="J33" t="n">
        <v>1</v>
      </c>
      <c r="K33" t="n">
        <v>1</v>
      </c>
      <c r="L33" t="n">
        <v>0</v>
      </c>
      <c r="M33" t="n">
        <v>0</v>
      </c>
      <c r="N33" t="n">
        <v>0</v>
      </c>
      <c r="O33" t="n">
        <v>0</v>
      </c>
      <c r="P33" t="n">
        <v>0</v>
      </c>
      <c r="Q33" t="n">
        <v>0</v>
      </c>
      <c r="R33" t="n">
        <v>0</v>
      </c>
      <c r="S33" t="n">
        <v>1</v>
      </c>
      <c r="T33" t="n">
        <v>11</v>
      </c>
      <c r="U33" t="n">
        <v>0</v>
      </c>
      <c r="V33" s="2" t="inlineStr">
        <is>
          <t>Skogsknipprot</t>
        </is>
      </c>
      <c r="W33">
        <f>HYPERLINK("https://klasma.github.io/Logging_0319/artfynd/A 59993-2025 artfynd.xlsx", "A 59993-2025")</f>
        <v/>
      </c>
      <c r="X33">
        <f>HYPERLINK("https://klasma.github.io/Logging_0319/kartor/A 59993-2025 karta.png", "A 59993-2025")</f>
        <v/>
      </c>
      <c r="Y33">
        <f>HYPERLINK("https://klasma.github.io/Logging_0319/kartor_geotiff/A 59993-2025 georefererad karta.tif", "A 59993-2025")</f>
        <v/>
      </c>
      <c r="AA33">
        <f>HYPERLINK("https://klasma.github.io/Logging_0319/klagomål/A 59993-2025 FSC-klagomål.docx", "A 59993-2025")</f>
        <v/>
      </c>
      <c r="AB33">
        <f>HYPERLINK("https://klasma.github.io/Logging_0319/klagomålsmail/A 59993-2025 FSC-klagomål mail.docx", "A 59993-2025")</f>
        <v/>
      </c>
      <c r="AC33">
        <f>HYPERLINK("https://klasma.github.io/Logging_0319/tillsyn/A 59993-2025 tillsynsbegäran.docx", "A 59993-2025")</f>
        <v/>
      </c>
      <c r="AD33">
        <f>HYPERLINK("https://klasma.github.io/Logging_0319/tillsynsmail/A 59993-2025 tillsynsbegäran mail.docx", "A 59993-2025")</f>
        <v/>
      </c>
    </row>
    <row r="34" ht="15" customHeight="1">
      <c r="A34" t="inlineStr">
        <is>
          <t>A 60829-2025</t>
        </is>
      </c>
      <c r="B34" t="inlineStr">
        <is>
          <t>avverkningsanmälan</t>
        </is>
      </c>
      <c r="C34" t="inlineStr">
        <is>
          <t>Avverkning för att bevara och utveckla /försöksver</t>
        </is>
      </c>
      <c r="D34" s="1" t="n">
        <v>45999</v>
      </c>
      <c r="E34" s="1" t="n">
        <v>46252</v>
      </c>
      <c r="F34" t="inlineStr">
        <is>
          <t>UPPSALA LÄN</t>
        </is>
      </c>
      <c r="G34" t="inlineStr">
        <is>
          <t>ÄLVKARLEBY</t>
        </is>
      </c>
      <c r="H34" t="inlineStr">
        <is>
          <t>Bergvik skog väst AB</t>
        </is>
      </c>
      <c r="I34" t="n">
        <v>5.5</v>
      </c>
      <c r="J34" t="n">
        <v>1</v>
      </c>
      <c r="K34" t="n">
        <v>0</v>
      </c>
      <c r="L34" t="n">
        <v>1</v>
      </c>
      <c r="M34" t="n">
        <v>0</v>
      </c>
      <c r="N34" t="n">
        <v>0</v>
      </c>
      <c r="O34" t="n">
        <v>0</v>
      </c>
      <c r="P34" t="n">
        <v>0</v>
      </c>
      <c r="Q34" t="n">
        <v>1</v>
      </c>
      <c r="R34" t="n">
        <v>0</v>
      </c>
      <c r="S34" t="n">
        <v>1</v>
      </c>
      <c r="T34" t="n">
        <v>1</v>
      </c>
      <c r="U34" t="n">
        <v>0</v>
      </c>
      <c r="V34" s="2" t="inlineStr">
        <is>
          <t>Sparvuggla</t>
        </is>
      </c>
      <c r="W34">
        <f>HYPERLINK("https://klasma.github.io/Logging_0319/artfynd/A 60829-2025 artfynd.xlsx", "A 60829-2025")</f>
        <v/>
      </c>
      <c r="X34">
        <f>HYPERLINK("https://klasma.github.io/Logging_0319/kartor/A 60829-2025 karta.png", "A 60829-2025")</f>
        <v/>
      </c>
      <c r="Y34">
        <f>HYPERLINK("https://klasma.github.io/Logging_0319/kartor_geotiff/A 60829-2025 georefererad karta.tif", "A 60829-2025")</f>
        <v/>
      </c>
      <c r="AA34">
        <f>HYPERLINK("https://klasma.github.io/Logging_0319/klagomål/A 60829-2025 FSC-klagomål.docx", "A 60829-2025")</f>
        <v/>
      </c>
      <c r="AB34">
        <f>HYPERLINK("https://klasma.github.io/Logging_0319/klagomålsmail/A 60829-2025 FSC-klagomål mail.docx", "A 60829-2025")</f>
        <v/>
      </c>
      <c r="AC34">
        <f>HYPERLINK("https://klasma.github.io/Logging_0319/tillsyn/A 60829-2025 tillsynsbegäran.docx", "A 60829-2025")</f>
        <v/>
      </c>
      <c r="AD34">
        <f>HYPERLINK("https://klasma.github.io/Logging_0319/tillsynsmail/A 60829-2025 tillsynsbegäran mail.docx", "A 60829-2025")</f>
        <v/>
      </c>
      <c r="AE34">
        <f>HYPERLINK("https://klasma.github.io/Logging_0319/fåglar/A 60829-2025 prioriterade fågelarter.docx", "A 60829-2025")</f>
        <v/>
      </c>
    </row>
    <row r="35" ht="15" customHeight="1">
      <c r="A35" t="inlineStr">
        <is>
          <t>A 43285-2023</t>
        </is>
      </c>
      <c r="B35" t="inlineStr">
        <is>
          <t>avverkningsanmälan</t>
        </is>
      </c>
      <c r="C35" t="inlineStr">
        <is>
          <t>Föryngringsavverkning</t>
        </is>
      </c>
      <c r="D35" s="1" t="n">
        <v>45183</v>
      </c>
      <c r="E35" s="1" t="n">
        <v>46252</v>
      </c>
      <c r="F35" t="inlineStr">
        <is>
          <t>UPPSALA LÄN</t>
        </is>
      </c>
      <c r="G35" t="inlineStr">
        <is>
          <t>ÄLVKARLEBY</t>
        </is>
      </c>
      <c r="H35" t="inlineStr">
        <is>
          <t>Bergvik skog väst AB</t>
        </is>
      </c>
      <c r="I35" t="n">
        <v>1.3</v>
      </c>
      <c r="J35" t="n">
        <v>1</v>
      </c>
      <c r="K35" t="n">
        <v>0</v>
      </c>
      <c r="L35" t="n">
        <v>0</v>
      </c>
      <c r="M35" t="n">
        <v>0</v>
      </c>
      <c r="N35" t="n">
        <v>0</v>
      </c>
      <c r="O35" t="n">
        <v>0</v>
      </c>
      <c r="P35" t="n">
        <v>0</v>
      </c>
      <c r="Q35" t="n">
        <v>0</v>
      </c>
      <c r="R35" t="n">
        <v>0</v>
      </c>
      <c r="S35" t="n">
        <v>1</v>
      </c>
      <c r="T35" t="n">
        <v>1</v>
      </c>
      <c r="U35" t="n">
        <v>0</v>
      </c>
      <c r="V35" s="2" t="inlineStr">
        <is>
          <t>Vanlig groda</t>
        </is>
      </c>
      <c r="W35">
        <f>HYPERLINK("https://klasma.github.io/Logging_0319/artfynd/A 43285-2023 artfynd.xlsx", "A 43285-2023")</f>
        <v/>
      </c>
      <c r="X35">
        <f>HYPERLINK("https://klasma.github.io/Logging_0319/kartor/A 43285-2023 karta.png", "A 43285-2023")</f>
        <v/>
      </c>
      <c r="Y35">
        <f>HYPERLINK("https://klasma.github.io/Logging_0319/kartor_geotiff/A 43285-2023 georefererad karta.tif", "A 43285-2023")</f>
        <v/>
      </c>
      <c r="AA35">
        <f>HYPERLINK("https://klasma.github.io/Logging_0319/klagomål/A 43285-2023 FSC-klagomål.docx", "A 43285-2023")</f>
        <v/>
      </c>
      <c r="AB35">
        <f>HYPERLINK("https://klasma.github.io/Logging_0319/klagomålsmail/A 43285-2023 FSC-klagomål mail.docx", "A 43285-2023")</f>
        <v/>
      </c>
      <c r="AC35">
        <f>HYPERLINK("https://klasma.github.io/Logging_0319/tillsyn/A 43285-2023 tillsynsbegäran.docx", "A 43285-2023")</f>
        <v/>
      </c>
      <c r="AD35">
        <f>HYPERLINK("https://klasma.github.io/Logging_0319/tillsynsmail/A 43285-2023 tillsynsbegäran mail.docx", "A 43285-2023")</f>
        <v/>
      </c>
    </row>
    <row r="36" ht="15" customHeight="1">
      <c r="A36" t="inlineStr">
        <is>
          <t>A 19303-2024</t>
        </is>
      </c>
      <c r="B36" t="inlineStr">
        <is>
          <t>avverkningsanmälan</t>
        </is>
      </c>
      <c r="C36" t="inlineStr">
        <is>
          <t>Föryngringsavverkning</t>
        </is>
      </c>
      <c r="D36" s="1" t="n">
        <v>45428</v>
      </c>
      <c r="E36" s="1" t="n">
        <v>46252</v>
      </c>
      <c r="F36" t="inlineStr">
        <is>
          <t>UPPSALA LÄN</t>
        </is>
      </c>
      <c r="G36" t="inlineStr">
        <is>
          <t>ÄLVKARLEBY</t>
        </is>
      </c>
      <c r="I36" t="n">
        <v>0.4</v>
      </c>
      <c r="J36" t="n">
        <v>1</v>
      </c>
      <c r="K36" t="n">
        <v>0</v>
      </c>
      <c r="L36" t="n">
        <v>0</v>
      </c>
      <c r="M36" t="n">
        <v>1</v>
      </c>
      <c r="N36" t="n">
        <v>0</v>
      </c>
      <c r="O36" t="n">
        <v>0</v>
      </c>
      <c r="P36" t="n">
        <v>0</v>
      </c>
      <c r="Q36" t="n">
        <v>1</v>
      </c>
      <c r="R36" t="n">
        <v>1</v>
      </c>
      <c r="S36" t="n">
        <v>1</v>
      </c>
      <c r="T36" t="n">
        <v>1</v>
      </c>
      <c r="U36" t="n">
        <v>1</v>
      </c>
      <c r="V36" s="2" t="inlineStr">
        <is>
          <t>Gölgroda</t>
        </is>
      </c>
      <c r="W36">
        <f>HYPERLINK("https://klasma.github.io/Logging_0319/artfynd/A 19303-2024 artfynd.xlsx", "A 19303-2024")</f>
        <v/>
      </c>
      <c r="X36">
        <f>HYPERLINK("https://klasma.github.io/Logging_0319/kartor/A 19303-2024 karta.png", "A 19303-2024")</f>
        <v/>
      </c>
      <c r="Y36">
        <f>HYPERLINK("https://klasma.github.io/Logging_0319/kartor_geotiff/A 19303-2024 georefererad karta.tif", "A 19303-2024")</f>
        <v/>
      </c>
      <c r="AA36">
        <f>HYPERLINK("https://klasma.github.io/Logging_0319/klagomål/A 19303-2024 FSC-klagomål.docx", "A 19303-2024")</f>
        <v/>
      </c>
      <c r="AB36">
        <f>HYPERLINK("https://klasma.github.io/Logging_0319/klagomålsmail/A 19303-2024 FSC-klagomål mail.docx", "A 19303-2024")</f>
        <v/>
      </c>
      <c r="AC36">
        <f>HYPERLINK("https://klasma.github.io/Logging_0319/tillsyn/A 19303-2024 tillsynsbegäran.docx", "A 19303-2024")</f>
        <v/>
      </c>
      <c r="AD36">
        <f>HYPERLINK("https://klasma.github.io/Logging_0319/tillsynsmail/A 19303-2024 tillsynsbegäran mail.docx", "A 19303-2024")</f>
        <v/>
      </c>
    </row>
    <row r="37" ht="15" customHeight="1">
      <c r="A37" t="inlineStr">
        <is>
          <t>A 63004-2025</t>
        </is>
      </c>
      <c r="B37" t="inlineStr">
        <is>
          <t>avverkningsanmälan</t>
        </is>
      </c>
      <c r="C37" t="inlineStr">
        <is>
          <t>Föryngringsavverkning</t>
        </is>
      </c>
      <c r="D37" s="1" t="n">
        <v>46009</v>
      </c>
      <c r="E37" s="1" t="n">
        <v>46252</v>
      </c>
      <c r="F37" t="inlineStr">
        <is>
          <t>UPPSALA LÄN</t>
        </is>
      </c>
      <c r="G37" t="inlineStr">
        <is>
          <t>ÄLVKARLEBY</t>
        </is>
      </c>
      <c r="H37" t="inlineStr">
        <is>
          <t>Bergvik skog väst AB</t>
        </is>
      </c>
      <c r="I37" t="n">
        <v>2.2</v>
      </c>
      <c r="J37" t="n">
        <v>1</v>
      </c>
      <c r="K37" t="n">
        <v>1</v>
      </c>
      <c r="L37" t="n">
        <v>0</v>
      </c>
      <c r="M37" t="n">
        <v>0</v>
      </c>
      <c r="N37" t="n">
        <v>0</v>
      </c>
      <c r="O37" t="n">
        <v>0</v>
      </c>
      <c r="P37" t="n">
        <v>0</v>
      </c>
      <c r="Q37" t="n">
        <v>0</v>
      </c>
      <c r="R37" t="n">
        <v>0</v>
      </c>
      <c r="S37" t="n">
        <v>1</v>
      </c>
      <c r="T37" t="n">
        <v>4</v>
      </c>
      <c r="U37" t="n">
        <v>0</v>
      </c>
      <c r="V37" s="2" t="inlineStr">
        <is>
          <t>Skogsknipprot</t>
        </is>
      </c>
      <c r="W37">
        <f>HYPERLINK("https://klasma.github.io/Logging_0319/artfynd/A 63004-2025 artfynd.xlsx", "A 63004-2025")</f>
        <v/>
      </c>
      <c r="X37">
        <f>HYPERLINK("https://klasma.github.io/Logging_0319/kartor/A 63004-2025 karta.png", "A 63004-2025")</f>
        <v/>
      </c>
      <c r="Y37">
        <f>HYPERLINK("https://klasma.github.io/Logging_0319/kartor_geotiff/A 63004-2025 georefererad karta.tif", "A 63004-2025")</f>
        <v/>
      </c>
      <c r="AA37">
        <f>HYPERLINK("https://klasma.github.io/Logging_0319/klagomål/A 63004-2025 FSC-klagomål.docx", "A 63004-2025")</f>
        <v/>
      </c>
      <c r="AB37">
        <f>HYPERLINK("https://klasma.github.io/Logging_0319/klagomålsmail/A 63004-2025 FSC-klagomål mail.docx", "A 63004-2025")</f>
        <v/>
      </c>
      <c r="AC37">
        <f>HYPERLINK("https://klasma.github.io/Logging_0319/tillsyn/A 63004-2025 tillsynsbegäran.docx", "A 63004-2025")</f>
        <v/>
      </c>
      <c r="AD37">
        <f>HYPERLINK("https://klasma.github.io/Logging_0319/tillsynsmail/A 63004-2025 tillsynsbegäran mail.docx", "A 63004-2025")</f>
        <v/>
      </c>
    </row>
    <row r="38" ht="15" customHeight="1">
      <c r="A38" t="inlineStr">
        <is>
          <t>A 3950-2025</t>
        </is>
      </c>
      <c r="B38" t="inlineStr">
        <is>
          <t>avverkningsanmälan</t>
        </is>
      </c>
      <c r="C38" t="inlineStr">
        <is>
          <t>Avverkning för annat ändamål</t>
        </is>
      </c>
      <c r="D38" s="1" t="n">
        <v>45684</v>
      </c>
      <c r="E38" s="1" t="n">
        <v>46252</v>
      </c>
      <c r="F38" t="inlineStr">
        <is>
          <t>UPPSALA LÄN</t>
        </is>
      </c>
      <c r="G38" t="inlineStr">
        <is>
          <t>ÄLVKARLEBY</t>
        </is>
      </c>
      <c r="I38" t="n">
        <v>3.1</v>
      </c>
      <c r="J38" t="n">
        <v>0</v>
      </c>
      <c r="K38" t="n">
        <v>0</v>
      </c>
      <c r="L38" t="n">
        <v>1</v>
      </c>
      <c r="M38" t="n">
        <v>0</v>
      </c>
      <c r="N38" t="n">
        <v>0</v>
      </c>
      <c r="O38" t="n">
        <v>0</v>
      </c>
      <c r="P38" t="n">
        <v>0</v>
      </c>
      <c r="Q38" t="n">
        <v>1</v>
      </c>
      <c r="R38" t="n">
        <v>0</v>
      </c>
      <c r="S38" t="n">
        <v>1</v>
      </c>
      <c r="T38" t="n">
        <v>4</v>
      </c>
      <c r="U38" t="n">
        <v>0</v>
      </c>
      <c r="V38" s="2" t="inlineStr">
        <is>
          <t>Månlåsbräken</t>
        </is>
      </c>
      <c r="W38">
        <f>HYPERLINK("https://klasma.github.io/Logging_0319/artfynd/A 3950-2025 artfynd.xlsx", "A 3950-2025")</f>
        <v/>
      </c>
      <c r="X38">
        <f>HYPERLINK("https://klasma.github.io/Logging_0319/kartor/A 3950-2025 karta.png", "A 3950-2025")</f>
        <v/>
      </c>
      <c r="Y38">
        <f>HYPERLINK("https://klasma.github.io/Logging_0319/kartor_geotiff/A 3950-2025 georefererad karta.tif", "A 3950-2025")</f>
        <v/>
      </c>
      <c r="AA38">
        <f>HYPERLINK("https://klasma.github.io/Logging_0319/klagomål/A 3950-2025 FSC-klagomål.docx", "A 3950-2025")</f>
        <v/>
      </c>
      <c r="AB38">
        <f>HYPERLINK("https://klasma.github.io/Logging_0319/klagomålsmail/A 3950-2025 FSC-klagomål mail.docx", "A 3950-2025")</f>
        <v/>
      </c>
      <c r="AC38">
        <f>HYPERLINK("https://klasma.github.io/Logging_0319/tillsyn/A 3950-2025 tillsynsbegäran.docx", "A 3950-2025")</f>
        <v/>
      </c>
      <c r="AD38">
        <f>HYPERLINK("https://klasma.github.io/Logging_0319/tillsynsmail/A 3950-2025 tillsynsbegäran mail.docx", "A 3950-2025")</f>
        <v/>
      </c>
    </row>
    <row r="39" ht="15" customHeight="1">
      <c r="A39" t="inlineStr">
        <is>
          <t>A 70017-2021</t>
        </is>
      </c>
      <c r="B39" t="inlineStr">
        <is>
          <t>avverkningsanmälan</t>
        </is>
      </c>
      <c r="C39" t="inlineStr">
        <is>
          <t>Föryngringsavverkning</t>
        </is>
      </c>
      <c r="D39" s="1" t="n">
        <v>44533</v>
      </c>
      <c r="E39" s="1" t="n">
        <v>46252</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t="n">
        <v>1</v>
      </c>
      <c r="V39" s="2" t="inlineStr">
        <is>
          <t>Trana</t>
        </is>
      </c>
      <c r="W39">
        <f>HYPERLINK("https://klasma.github.io/Logging_0319/artfynd/A 70017-2021 artfynd.xlsx", "A 70017-2021")</f>
        <v/>
      </c>
      <c r="X39">
        <f>HYPERLINK("https://klasma.github.io/Logging_0319/kartor/A 70017-2021 karta.png", "A 70017-2021")</f>
        <v/>
      </c>
      <c r="Y39">
        <f>HYPERLINK("https://klasma.github.io/Logging_0319/kartor_geotiff/A 70017-2021 georefererad karta.tif", "A 70017-2021")</f>
        <v/>
      </c>
      <c r="AA39">
        <f>HYPERLINK("https://klasma.github.io/Logging_0319/klagomål/A 70017-2021 FSC-klagomål.docx", "A 70017-2021")</f>
        <v/>
      </c>
      <c r="AB39">
        <f>HYPERLINK("https://klasma.github.io/Logging_0319/klagomålsmail/A 70017-2021 FSC-klagomål mail.docx", "A 70017-2021")</f>
        <v/>
      </c>
      <c r="AC39">
        <f>HYPERLINK("https://klasma.github.io/Logging_0319/tillsyn/A 70017-2021 tillsynsbegäran.docx", "A 70017-2021")</f>
        <v/>
      </c>
      <c r="AD39">
        <f>HYPERLINK("https://klasma.github.io/Logging_0319/tillsynsmail/A 70017-2021 tillsynsbegäran mail.docx", "A 70017-2021")</f>
        <v/>
      </c>
      <c r="AE39">
        <f>HYPERLINK("https://klasma.github.io/Logging_0319/fåglar/A 70017-2021 prioriterade fågelarter.docx", "A 70017-2021")</f>
        <v/>
      </c>
    </row>
    <row r="40" ht="15" customHeight="1">
      <c r="A40" t="inlineStr">
        <is>
          <t>A 1673-2026</t>
        </is>
      </c>
      <c r="B40" t="inlineStr">
        <is>
          <t>avverkningsanmälan</t>
        </is>
      </c>
      <c r="C40" t="inlineStr">
        <is>
          <t>Föryngringsavverkning</t>
        </is>
      </c>
      <c r="D40" s="1" t="n">
        <v>46034</v>
      </c>
      <c r="E40" s="1" t="n">
        <v>46252</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t="n">
        <v>0</v>
      </c>
      <c r="V40" s="2" t="inlineStr">
        <is>
          <t>Tibast</t>
        </is>
      </c>
      <c r="W40">
        <f>HYPERLINK("https://klasma.github.io/Logging_0319/artfynd/A 1673-2026 artfynd.xlsx", "A 1673-2026")</f>
        <v/>
      </c>
      <c r="X40">
        <f>HYPERLINK("https://klasma.github.io/Logging_0319/kartor/A 1673-2026 karta.png", "A 1673-2026")</f>
        <v/>
      </c>
      <c r="Y40">
        <f>HYPERLINK("https://klasma.github.io/Logging_0319/kartor_geotiff/A 1673-2026 georefererad karta.tif", "A 1673-2026")</f>
        <v/>
      </c>
      <c r="AA40">
        <f>HYPERLINK("https://klasma.github.io/Logging_0319/klagomål/A 1673-2026 FSC-klagomål.docx", "A 1673-2026")</f>
        <v/>
      </c>
      <c r="AB40">
        <f>HYPERLINK("https://klasma.github.io/Logging_0319/klagomålsmail/A 1673-2026 FSC-klagomål mail.docx", "A 1673-2026")</f>
        <v/>
      </c>
      <c r="AC40">
        <f>HYPERLINK("https://klasma.github.io/Logging_0319/tillsyn/A 1673-2026 tillsynsbegäran.docx", "A 1673-2026")</f>
        <v/>
      </c>
      <c r="AD40">
        <f>HYPERLINK("https://klasma.github.io/Logging_0319/tillsynsmail/A 1673-2026 tillsynsbegäran mail.docx", "A 1673-2026")</f>
        <v/>
      </c>
    </row>
    <row r="41" ht="15" customHeight="1">
      <c r="A41" t="inlineStr">
        <is>
          <t>A 4131-2026</t>
        </is>
      </c>
      <c r="B41" t="inlineStr">
        <is>
          <t>avverkningsanmälan</t>
        </is>
      </c>
      <c r="C41" t="inlineStr">
        <is>
          <t>Föryngringsavverkning</t>
        </is>
      </c>
      <c r="D41" s="1" t="n">
        <v>46044</v>
      </c>
      <c r="E41" s="1" t="n">
        <v>46252</v>
      </c>
      <c r="F41" t="inlineStr">
        <is>
          <t>UPPSALA LÄN</t>
        </is>
      </c>
      <c r="G41" t="inlineStr">
        <is>
          <t>ÄLVKARLEBY</t>
        </is>
      </c>
      <c r="H41" t="inlineStr">
        <is>
          <t>Bergvik skog öst AB</t>
        </is>
      </c>
      <c r="I41" t="n">
        <v>2.4</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4131-2026 artfynd.xlsx", "A 4131-2026")</f>
        <v/>
      </c>
      <c r="X41">
        <f>HYPERLINK("https://klasma.github.io/Logging_0319/kartor/A 4131-2026 karta.png", "A 4131-2026")</f>
        <v/>
      </c>
      <c r="Y41">
        <f>HYPERLINK("https://klasma.github.io/Logging_0319/kartor_geotiff/A 4131-2026 georefererad karta.tif", "A 4131-2026")</f>
        <v/>
      </c>
      <c r="AA41">
        <f>HYPERLINK("https://klasma.github.io/Logging_0319/klagomål/A 4131-2026 FSC-klagomål.docx", "A 4131-2026")</f>
        <v/>
      </c>
      <c r="AB41">
        <f>HYPERLINK("https://klasma.github.io/Logging_0319/klagomålsmail/A 4131-2026 FSC-klagomål mail.docx", "A 4131-2026")</f>
        <v/>
      </c>
      <c r="AC41">
        <f>HYPERLINK("https://klasma.github.io/Logging_0319/tillsyn/A 4131-2026 tillsynsbegäran.docx", "A 4131-2026")</f>
        <v/>
      </c>
      <c r="AD41">
        <f>HYPERLINK("https://klasma.github.io/Logging_0319/tillsynsmail/A 4131-2026 tillsynsbegäran mail.docx", "A 4131-2026")</f>
        <v/>
      </c>
    </row>
    <row r="42" ht="15" customHeight="1">
      <c r="A42" t="inlineStr">
        <is>
          <t>A 19300-2024</t>
        </is>
      </c>
      <c r="B42" t="inlineStr">
        <is>
          <t>avverkningsanmälan</t>
        </is>
      </c>
      <c r="C42" t="inlineStr">
        <is>
          <t>Föryngringsavverkning</t>
        </is>
      </c>
      <c r="D42" s="1" t="n">
        <v>45428</v>
      </c>
      <c r="E42" s="1" t="n">
        <v>46252</v>
      </c>
      <c r="F42" t="inlineStr">
        <is>
          <t>UPPSALA LÄN</t>
        </is>
      </c>
      <c r="G42" t="inlineStr">
        <is>
          <t>ÄLVKARLEBY</t>
        </is>
      </c>
      <c r="I42" t="n">
        <v>0.9</v>
      </c>
      <c r="J42" t="n">
        <v>1</v>
      </c>
      <c r="K42" t="n">
        <v>0</v>
      </c>
      <c r="L42" t="n">
        <v>1</v>
      </c>
      <c r="M42" t="n">
        <v>0</v>
      </c>
      <c r="N42" t="n">
        <v>0</v>
      </c>
      <c r="O42" t="n">
        <v>0</v>
      </c>
      <c r="P42" t="n">
        <v>0</v>
      </c>
      <c r="Q42" t="n">
        <v>1</v>
      </c>
      <c r="R42" t="n">
        <v>0</v>
      </c>
      <c r="S42" t="n">
        <v>1</v>
      </c>
      <c r="T42" t="n">
        <v>1</v>
      </c>
      <c r="U42" t="n">
        <v>1</v>
      </c>
      <c r="V42" s="2" t="inlineStr">
        <is>
          <t>Kricka</t>
        </is>
      </c>
      <c r="W42">
        <f>HYPERLINK("https://klasma.github.io/Logging_0319/artfynd/A 19300-2024 artfynd.xlsx", "A 19300-2024")</f>
        <v/>
      </c>
      <c r="X42">
        <f>HYPERLINK("https://klasma.github.io/Logging_0319/kartor/A 19300-2024 karta.png", "A 19300-2024")</f>
        <v/>
      </c>
      <c r="Y42">
        <f>HYPERLINK("https://klasma.github.io/Logging_0319/kartor_geotiff/A 19300-2024 georefererad karta.tif", "A 19300-2024")</f>
        <v/>
      </c>
      <c r="AA42">
        <f>HYPERLINK("https://klasma.github.io/Logging_0319/klagomål/A 19300-2024 FSC-klagomål.docx", "A 19300-2024")</f>
        <v/>
      </c>
      <c r="AB42">
        <f>HYPERLINK("https://klasma.github.io/Logging_0319/klagomålsmail/A 19300-2024 FSC-klagomål mail.docx", "A 19300-2024")</f>
        <v/>
      </c>
      <c r="AC42">
        <f>HYPERLINK("https://klasma.github.io/Logging_0319/tillsyn/A 19300-2024 tillsynsbegäran.docx", "A 19300-2024")</f>
        <v/>
      </c>
      <c r="AD42">
        <f>HYPERLINK("https://klasma.github.io/Logging_0319/tillsynsmail/A 19300-2024 tillsynsbegäran mail.docx", "A 19300-2024")</f>
        <v/>
      </c>
      <c r="AE42">
        <f>HYPERLINK("https://klasma.github.io/Logging_0319/fåglar/A 19300-2024 prioriterade fågelarter.docx", "A 19300-2024")</f>
        <v/>
      </c>
    </row>
    <row r="43" ht="15" customHeight="1">
      <c r="A43" t="inlineStr">
        <is>
          <t>A 14127-2026</t>
        </is>
      </c>
      <c r="B43" t="inlineStr">
        <is>
          <t>avverkningsanmälan</t>
        </is>
      </c>
      <c r="C43" t="inlineStr">
        <is>
          <t>Föryngringsavverkning</t>
        </is>
      </c>
      <c r="D43" s="1" t="n">
        <v>46099</v>
      </c>
      <c r="E43" s="1" t="n">
        <v>46252</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19304-2024</t>
        </is>
      </c>
      <c r="B44" t="inlineStr">
        <is>
          <t>avverkningsanmälan</t>
        </is>
      </c>
      <c r="C44" t="inlineStr">
        <is>
          <t>Föryngringsavverkning</t>
        </is>
      </c>
      <c r="D44" s="1" t="n">
        <v>45428</v>
      </c>
      <c r="E44" s="1" t="n">
        <v>46252</v>
      </c>
      <c r="F44" t="inlineStr">
        <is>
          <t>UPPSALA LÄN</t>
        </is>
      </c>
      <c r="G44" t="inlineStr">
        <is>
          <t>ÄLVKARLEBY</t>
        </is>
      </c>
      <c r="I44" t="n">
        <v>0.2</v>
      </c>
      <c r="J44" t="n">
        <v>0</v>
      </c>
      <c r="K44" t="n">
        <v>0</v>
      </c>
      <c r="L44" t="n">
        <v>0</v>
      </c>
      <c r="M44" t="n">
        <v>1</v>
      </c>
      <c r="N44" t="n">
        <v>0</v>
      </c>
      <c r="O44" t="n">
        <v>0</v>
      </c>
      <c r="P44" t="n">
        <v>0</v>
      </c>
      <c r="Q44" t="n">
        <v>1</v>
      </c>
      <c r="R44" t="n">
        <v>1</v>
      </c>
      <c r="S44" t="n">
        <v>1</v>
      </c>
      <c r="T44" t="n">
        <v>1</v>
      </c>
      <c r="U44" t="n">
        <v>0</v>
      </c>
      <c r="V44" s="2" t="inlineStr">
        <is>
          <t>Mindre bastardsvärmare</t>
        </is>
      </c>
      <c r="W44">
        <f>HYPERLINK("https://klasma.github.io/Logging_0319/artfynd/A 19304-2024 artfynd.xlsx", "A 19304-2024")</f>
        <v/>
      </c>
      <c r="X44">
        <f>HYPERLINK("https://klasma.github.io/Logging_0319/kartor/A 19304-2024 karta.png", "A 19304-2024")</f>
        <v/>
      </c>
      <c r="Y44">
        <f>HYPERLINK("https://klasma.github.io/Logging_0319/kartor_geotiff/A 19304-2024 georefererad karta.tif", "A 19304-2024")</f>
        <v/>
      </c>
      <c r="AA44">
        <f>HYPERLINK("https://klasma.github.io/Logging_0319/klagomål/A 19304-2024 FSC-klagomål.docx", "A 19304-2024")</f>
        <v/>
      </c>
      <c r="AB44">
        <f>HYPERLINK("https://klasma.github.io/Logging_0319/klagomålsmail/A 19304-2024 FSC-klagomål mail.docx", "A 19304-2024")</f>
        <v/>
      </c>
      <c r="AC44">
        <f>HYPERLINK("https://klasma.github.io/Logging_0319/tillsyn/A 19304-2024 tillsynsbegäran.docx", "A 19304-2024")</f>
        <v/>
      </c>
      <c r="AD44">
        <f>HYPERLINK("https://klasma.github.io/Logging_0319/tillsynsmail/A 19304-2024 tillsynsbegäran mail.docx", "A 19304-2024")</f>
        <v/>
      </c>
    </row>
    <row r="45" ht="15" customHeight="1">
      <c r="A45" t="inlineStr">
        <is>
          <t>A 30233-2026</t>
        </is>
      </c>
      <c r="B45" t="inlineStr">
        <is>
          <t>avverkningsanmälan</t>
        </is>
      </c>
      <c r="C45" t="inlineStr">
        <is>
          <t>Föryngringsavverkning</t>
        </is>
      </c>
      <c r="D45" s="1" t="n">
        <v>46206</v>
      </c>
      <c r="E45" s="1" t="n">
        <v>46252</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46252</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36217-2022</t>
        </is>
      </c>
      <c r="B47" t="inlineStr">
        <is>
          <t>avverkningsanmälan</t>
        </is>
      </c>
      <c r="C47" t="inlineStr">
        <is>
          <t>Avverkning för annat ändamål</t>
        </is>
      </c>
      <c r="D47" s="1" t="n">
        <v>44803</v>
      </c>
      <c r="E47" s="1" t="n">
        <v>46252</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46252</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32187-2025</t>
        </is>
      </c>
      <c r="B49" t="inlineStr">
        <is>
          <t>avverkningsanmälan</t>
        </is>
      </c>
      <c r="C49" t="inlineStr">
        <is>
          <t>Föryngringsavverkning</t>
        </is>
      </c>
      <c r="D49" s="1" t="n">
        <v>45835</v>
      </c>
      <c r="E49" s="1" t="n">
        <v>46252</v>
      </c>
      <c r="F49" t="inlineStr">
        <is>
          <t>UPPSALA LÄN</t>
        </is>
      </c>
      <c r="G49" t="inlineStr">
        <is>
          <t>ÄLVKARLEBY</t>
        </is>
      </c>
      <c r="H49" t="inlineStr">
        <is>
          <t>Bergvik skog väst AB</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46113-2023</t>
        </is>
      </c>
      <c r="B50" t="inlineStr">
        <is>
          <t>avverkningsanmälan</t>
        </is>
      </c>
      <c r="C50" t="inlineStr">
        <is>
          <t>Föryngringsavverkning</t>
        </is>
      </c>
      <c r="D50" s="1" t="n">
        <v>45196</v>
      </c>
      <c r="E50" s="1" t="n">
        <v>46252</v>
      </c>
      <c r="F50" t="inlineStr">
        <is>
          <t>UPPSALA LÄN</t>
        </is>
      </c>
      <c r="G50" t="inlineStr">
        <is>
          <t>ÄLVKARLEBY</t>
        </is>
      </c>
      <c r="H50" t="inlineStr">
        <is>
          <t>Bergvik skog väst AB</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14590-2023</t>
        </is>
      </c>
      <c r="B51" t="inlineStr">
        <is>
          <t>avverkningsanmälan</t>
        </is>
      </c>
      <c r="C51" t="inlineStr">
        <is>
          <t>Föryngringsavverkning</t>
        </is>
      </c>
      <c r="D51" s="1" t="n">
        <v>45013</v>
      </c>
      <c r="E51" s="1" t="n">
        <v>46252</v>
      </c>
      <c r="F51" t="inlineStr">
        <is>
          <t>UPPSALA LÄN</t>
        </is>
      </c>
      <c r="G51" t="inlineStr">
        <is>
          <t>ÄLVKARLEBY</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26664-2025</t>
        </is>
      </c>
      <c r="B52" t="inlineStr">
        <is>
          <t>avverkningsanmälan</t>
        </is>
      </c>
      <c r="C52" t="inlineStr">
        <is>
          <t>Avverkning för att bevara och utveckla /försöksver</t>
        </is>
      </c>
      <c r="D52" s="1" t="n">
        <v>45810</v>
      </c>
      <c r="E52" s="1" t="n">
        <v>46252</v>
      </c>
      <c r="F52" t="inlineStr">
        <is>
          <t>UPPSALA LÄN</t>
        </is>
      </c>
      <c r="G52" t="inlineStr">
        <is>
          <t>ÄLVKARLEBY</t>
        </is>
      </c>
      <c r="H52" t="inlineStr">
        <is>
          <t>Bergvik skog väst AB</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45033-2025</t>
        </is>
      </c>
      <c r="B53" t="inlineStr">
        <is>
          <t>avverkningsanmälan</t>
        </is>
      </c>
      <c r="C53" t="inlineStr">
        <is>
          <t>Föryngringsavverkning</t>
        </is>
      </c>
      <c r="D53" s="1" t="n">
        <v>45918</v>
      </c>
      <c r="E53" s="1" t="n">
        <v>46252</v>
      </c>
      <c r="F53" t="inlineStr">
        <is>
          <t>UPPSALA LÄN</t>
        </is>
      </c>
      <c r="G53" t="inlineStr">
        <is>
          <t>ÄLVKARLEBY</t>
        </is>
      </c>
      <c r="H53" t="inlineStr">
        <is>
          <t>Bergvik skog väst AB</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46252</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36216-2022</t>
        </is>
      </c>
      <c r="B55" t="inlineStr">
        <is>
          <t>avverkningsanmälan</t>
        </is>
      </c>
      <c r="C55" t="inlineStr">
        <is>
          <t>Avverkning för annat ändamål</t>
        </is>
      </c>
      <c r="D55" s="1" t="n">
        <v>44803</v>
      </c>
      <c r="E55" s="1" t="n">
        <v>46252</v>
      </c>
      <c r="F55" t="inlineStr">
        <is>
          <t>UPPSALA LÄN</t>
        </is>
      </c>
      <c r="G55" t="inlineStr">
        <is>
          <t>ÄLVKARLEBY</t>
        </is>
      </c>
      <c r="H55" t="inlineStr">
        <is>
          <t>Bergvik skog väst AB</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2183-2024</t>
        </is>
      </c>
      <c r="B56" t="inlineStr">
        <is>
          <t>avverkningsanmälan</t>
        </is>
      </c>
      <c r="C56" t="inlineStr">
        <is>
          <t>Föryngringsavverkning</t>
        </is>
      </c>
      <c r="D56" s="1" t="n">
        <v>45309</v>
      </c>
      <c r="E56" s="1" t="n">
        <v>46252</v>
      </c>
      <c r="F56" t="inlineStr">
        <is>
          <t>UPPSALA LÄN</t>
        </is>
      </c>
      <c r="G56" t="inlineStr">
        <is>
          <t>ÄLVKARLEBY</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50398-2025</t>
        </is>
      </c>
      <c r="B57" t="inlineStr">
        <is>
          <t>avverkningsanmälan</t>
        </is>
      </c>
      <c r="C57" t="inlineStr">
        <is>
          <t>Avverkning för att bevara och utveckla /försöksver</t>
        </is>
      </c>
      <c r="D57" s="1" t="n">
        <v>45944</v>
      </c>
      <c r="E57" s="1" t="n">
        <v>46252</v>
      </c>
      <c r="F57" t="inlineStr">
        <is>
          <t>UPPSALA LÄN</t>
        </is>
      </c>
      <c r="G57" t="inlineStr">
        <is>
          <t>ÄLVKARLEBY</t>
        </is>
      </c>
      <c r="H57" t="inlineStr">
        <is>
          <t>Bergvik skog väst AB</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50371-2025</t>
        </is>
      </c>
      <c r="B58" t="inlineStr">
        <is>
          <t>avverkningsanmälan</t>
        </is>
      </c>
      <c r="C58" t="inlineStr">
        <is>
          <t>Föryngringsavverkning</t>
        </is>
      </c>
      <c r="D58" s="1" t="n">
        <v>45944</v>
      </c>
      <c r="E58" s="1" t="n">
        <v>46252</v>
      </c>
      <c r="F58" t="inlineStr">
        <is>
          <t>UPPSALA LÄN</t>
        </is>
      </c>
      <c r="G58" t="inlineStr">
        <is>
          <t>ÄLVKARLEBY</t>
        </is>
      </c>
      <c r="H58" t="inlineStr">
        <is>
          <t>Bergvik skog väst AB</t>
        </is>
      </c>
      <c r="I58" t="n">
        <v>1.4</v>
      </c>
      <c r="J58" t="n">
        <v>0</v>
      </c>
      <c r="K58" t="n">
        <v>0</v>
      </c>
      <c r="L58" t="n">
        <v>0</v>
      </c>
      <c r="M58" t="n">
        <v>0</v>
      </c>
      <c r="N58" t="n">
        <v>0</v>
      </c>
      <c r="O58" t="n">
        <v>0</v>
      </c>
      <c r="P58" t="n">
        <v>0</v>
      </c>
      <c r="Q58" t="n">
        <v>0</v>
      </c>
      <c r="R58" t="n">
        <v>0</v>
      </c>
      <c r="S58" t="n">
        <v>0</v>
      </c>
      <c r="T58" t="n">
        <v>0</v>
      </c>
      <c r="U58" t="n">
        <v>0</v>
      </c>
      <c r="V58" s="2" t="inlineStr"/>
    </row>
    <row r="59" ht="15" customHeight="1">
      <c r="A59" t="inlineStr">
        <is>
          <t>A 51237-2025</t>
        </is>
      </c>
      <c r="B59" t="inlineStr">
        <is>
          <t>avverkningsanmälan</t>
        </is>
      </c>
      <c r="C59" t="inlineStr">
        <is>
          <t>Föryngringsavverkning</t>
        </is>
      </c>
      <c r="D59" s="1" t="n">
        <v>45947</v>
      </c>
      <c r="E59" s="1" t="n">
        <v>46252</v>
      </c>
      <c r="F59" t="inlineStr">
        <is>
          <t>UPPSALA LÄN</t>
        </is>
      </c>
      <c r="G59" t="inlineStr">
        <is>
          <t>ÄLVKARLEBY</t>
        </is>
      </c>
      <c r="H59" t="inlineStr">
        <is>
          <t>Bergvik skog väst AB</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52477-2025</t>
        </is>
      </c>
      <c r="B60" t="inlineStr">
        <is>
          <t>avverkningsanmälan</t>
        </is>
      </c>
      <c r="C60" t="inlineStr">
        <is>
          <t>Föryngringsavverkning</t>
        </is>
      </c>
      <c r="D60" s="1" t="n">
        <v>45954</v>
      </c>
      <c r="E60" s="1" t="n">
        <v>46252</v>
      </c>
      <c r="F60" t="inlineStr">
        <is>
          <t>UPPSALA LÄN</t>
        </is>
      </c>
      <c r="G60" t="inlineStr">
        <is>
          <t>ÄLVKARLEBY</t>
        </is>
      </c>
      <c r="H60" t="inlineStr">
        <is>
          <t>Bergvik skog väst AB</t>
        </is>
      </c>
      <c r="I60" t="n">
        <v>5.3</v>
      </c>
      <c r="J60" t="n">
        <v>0</v>
      </c>
      <c r="K60" t="n">
        <v>0</v>
      </c>
      <c r="L60" t="n">
        <v>0</v>
      </c>
      <c r="M60" t="n">
        <v>0</v>
      </c>
      <c r="N60" t="n">
        <v>0</v>
      </c>
      <c r="O60" t="n">
        <v>0</v>
      </c>
      <c r="P60" t="n">
        <v>0</v>
      </c>
      <c r="Q60" t="n">
        <v>0</v>
      </c>
      <c r="R60" t="n">
        <v>0</v>
      </c>
      <c r="S60" t="n">
        <v>0</v>
      </c>
      <c r="T60" t="n">
        <v>0</v>
      </c>
      <c r="U60" t="n">
        <v>0</v>
      </c>
      <c r="V60" s="2" t="inlineStr"/>
    </row>
    <row r="61" ht="15" customHeight="1">
      <c r="A61" t="inlineStr">
        <is>
          <t>A 52498-2025</t>
        </is>
      </c>
      <c r="B61" t="inlineStr">
        <is>
          <t>avverkningsanmälan</t>
        </is>
      </c>
      <c r="C61" t="inlineStr">
        <is>
          <t>Föryngringsavverkning</t>
        </is>
      </c>
      <c r="D61" s="1" t="n">
        <v>45954</v>
      </c>
      <c r="E61" s="1" t="n">
        <v>46252</v>
      </c>
      <c r="F61" t="inlineStr">
        <is>
          <t>UPPSALA LÄN</t>
        </is>
      </c>
      <c r="G61" t="inlineStr">
        <is>
          <t>ÄLVKARLEBY</t>
        </is>
      </c>
      <c r="H61" t="inlineStr">
        <is>
          <t>Bergvik skog väst AB</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53184-2025</t>
        </is>
      </c>
      <c r="B62" t="inlineStr">
        <is>
          <t>avverkningsanmälan</t>
        </is>
      </c>
      <c r="C62" t="inlineStr">
        <is>
          <t>Föryngringsavverkning</t>
        </is>
      </c>
      <c r="D62" s="1" t="n">
        <v>45958</v>
      </c>
      <c r="E62" s="1" t="n">
        <v>46252</v>
      </c>
      <c r="F62" t="inlineStr">
        <is>
          <t>UPPSALA LÄN</t>
        </is>
      </c>
      <c r="G62" t="inlineStr">
        <is>
          <t>ÄLVKARLEBY</t>
        </is>
      </c>
      <c r="H62" t="inlineStr">
        <is>
          <t>Bergvik skog väst AB</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46252</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16990-2022</t>
        </is>
      </c>
      <c r="B64" t="inlineStr">
        <is>
          <t>avverkningsanmälan</t>
        </is>
      </c>
      <c r="C64" t="inlineStr">
        <is>
          <t>Föryngringsavverkning</t>
        </is>
      </c>
      <c r="D64" s="1" t="n">
        <v>44676</v>
      </c>
      <c r="E64" s="1" t="n">
        <v>46252</v>
      </c>
      <c r="F64" t="inlineStr">
        <is>
          <t>UPPSALA LÄN</t>
        </is>
      </c>
      <c r="G64" t="inlineStr">
        <is>
          <t>ÄLVKARLEBY</t>
        </is>
      </c>
      <c r="H64" t="inlineStr">
        <is>
          <t>Bergvik skog väst AB</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56861-2025</t>
        </is>
      </c>
      <c r="B65" t="inlineStr">
        <is>
          <t>avverkningsanmälan</t>
        </is>
      </c>
      <c r="C65" t="inlineStr">
        <is>
          <t>Avverkning för att bevara och utveckla /försöksver</t>
        </is>
      </c>
      <c r="D65" s="1" t="n">
        <v>45978</v>
      </c>
      <c r="E65" s="1" t="n">
        <v>46252</v>
      </c>
      <c r="F65" t="inlineStr">
        <is>
          <t>UPPSALA LÄN</t>
        </is>
      </c>
      <c r="G65" t="inlineStr">
        <is>
          <t>ÄLVKARLEBY</t>
        </is>
      </c>
      <c r="H65" t="inlineStr">
        <is>
          <t>Bergvik skog väst AB</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58168-2025</t>
        </is>
      </c>
      <c r="B66" t="inlineStr">
        <is>
          <t>avverkningsanmälan</t>
        </is>
      </c>
      <c r="C66" t="inlineStr">
        <is>
          <t>Föryngringsavverkning</t>
        </is>
      </c>
      <c r="D66" s="1" t="n">
        <v>45982</v>
      </c>
      <c r="E66" s="1" t="n">
        <v>46252</v>
      </c>
      <c r="F66" t="inlineStr">
        <is>
          <t>UPPSALA LÄN</t>
        </is>
      </c>
      <c r="G66" t="inlineStr">
        <is>
          <t>ÄLVKARLEBY</t>
        </is>
      </c>
      <c r="H66" t="inlineStr">
        <is>
          <t>Bergvik skog väst AB</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58497-2025</t>
        </is>
      </c>
      <c r="B67" t="inlineStr">
        <is>
          <t>avverkningsanmälan</t>
        </is>
      </c>
      <c r="C67" t="inlineStr">
        <is>
          <t>Föryngringsavverkning</t>
        </is>
      </c>
      <c r="D67" s="1" t="n">
        <v>45985</v>
      </c>
      <c r="E67" s="1" t="n">
        <v>46252</v>
      </c>
      <c r="F67" t="inlineStr">
        <is>
          <t>UPPSALA LÄN</t>
        </is>
      </c>
      <c r="G67" t="inlineStr">
        <is>
          <t>ÄLVKARLEBY</t>
        </is>
      </c>
      <c r="H67" t="inlineStr">
        <is>
          <t>Bergvik skog väst AB</t>
        </is>
      </c>
      <c r="I67" t="n">
        <v>4.6</v>
      </c>
      <c r="J67" t="n">
        <v>0</v>
      </c>
      <c r="K67" t="n">
        <v>0</v>
      </c>
      <c r="L67" t="n">
        <v>0</v>
      </c>
      <c r="M67" t="n">
        <v>0</v>
      </c>
      <c r="N67" t="n">
        <v>0</v>
      </c>
      <c r="O67" t="n">
        <v>0</v>
      </c>
      <c r="P67" t="n">
        <v>0</v>
      </c>
      <c r="Q67" t="n">
        <v>0</v>
      </c>
      <c r="R67" t="n">
        <v>0</v>
      </c>
      <c r="S67" t="n">
        <v>0</v>
      </c>
      <c r="T67" t="n">
        <v>0</v>
      </c>
      <c r="U67" t="n">
        <v>0</v>
      </c>
      <c r="V67" s="2" t="inlineStr"/>
    </row>
    <row r="68" ht="15" customHeight="1">
      <c r="A68" t="inlineStr">
        <is>
          <t>A 60256-2025</t>
        </is>
      </c>
      <c r="B68" t="inlineStr">
        <is>
          <t>avverkningsanmälan</t>
        </is>
      </c>
      <c r="C68" t="inlineStr">
        <is>
          <t>Föryngringsavverkning</t>
        </is>
      </c>
      <c r="D68" s="1" t="n">
        <v>45994</v>
      </c>
      <c r="E68" s="1" t="n">
        <v>46252</v>
      </c>
      <c r="F68" t="inlineStr">
        <is>
          <t>UPPSALA LÄN</t>
        </is>
      </c>
      <c r="G68" t="inlineStr">
        <is>
          <t>ÄLVKARLEBY</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60842-2025</t>
        </is>
      </c>
      <c r="B69" t="inlineStr">
        <is>
          <t>avverkningsanmälan</t>
        </is>
      </c>
      <c r="C69" t="inlineStr">
        <is>
          <t>Avverkning för att bevara och utveckla /försöksver</t>
        </is>
      </c>
      <c r="D69" s="1" t="n">
        <v>45999</v>
      </c>
      <c r="E69" s="1" t="n">
        <v>46252</v>
      </c>
      <c r="F69" t="inlineStr">
        <is>
          <t>UPPSALA LÄN</t>
        </is>
      </c>
      <c r="G69" t="inlineStr">
        <is>
          <t>ÄLVKARLEBY</t>
        </is>
      </c>
      <c r="H69" t="inlineStr">
        <is>
          <t>Bergvik skog väst AB</t>
        </is>
      </c>
      <c r="I69" t="n">
        <v>1.9</v>
      </c>
      <c r="J69" t="n">
        <v>0</v>
      </c>
      <c r="K69" t="n">
        <v>0</v>
      </c>
      <c r="L69" t="n">
        <v>0</v>
      </c>
      <c r="M69" t="n">
        <v>0</v>
      </c>
      <c r="N69" t="n">
        <v>0</v>
      </c>
      <c r="O69" t="n">
        <v>0</v>
      </c>
      <c r="P69" t="n">
        <v>0</v>
      </c>
      <c r="Q69" t="n">
        <v>0</v>
      </c>
      <c r="R69" t="n">
        <v>0</v>
      </c>
      <c r="S69" t="n">
        <v>0</v>
      </c>
      <c r="T69" t="n">
        <v>0</v>
      </c>
      <c r="U69" t="n">
        <v>0</v>
      </c>
      <c r="V69" s="2" t="inlineStr"/>
    </row>
    <row r="70" ht="15" customHeight="1">
      <c r="A70" t="inlineStr">
        <is>
          <t>A 38226-2023</t>
        </is>
      </c>
      <c r="B70" t="inlineStr">
        <is>
          <t>avverkningsanmälan</t>
        </is>
      </c>
      <c r="C70" t="inlineStr">
        <is>
          <t>Föryngringsavverkning</t>
        </is>
      </c>
      <c r="D70" s="1" t="n">
        <v>45161</v>
      </c>
      <c r="E70" s="1" t="n">
        <v>46252</v>
      </c>
      <c r="F70" t="inlineStr">
        <is>
          <t>UPPSALA LÄN</t>
        </is>
      </c>
      <c r="G70" t="inlineStr">
        <is>
          <t>ÄLVKARLEBY</t>
        </is>
      </c>
      <c r="H70" t="inlineStr">
        <is>
          <t>Bergvik skog väst AB</t>
        </is>
      </c>
      <c r="I70" t="n">
        <v>4.5</v>
      </c>
      <c r="J70" t="n">
        <v>0</v>
      </c>
      <c r="K70" t="n">
        <v>0</v>
      </c>
      <c r="L70" t="n">
        <v>0</v>
      </c>
      <c r="M70" t="n">
        <v>0</v>
      </c>
      <c r="N70" t="n">
        <v>0</v>
      </c>
      <c r="O70" t="n">
        <v>0</v>
      </c>
      <c r="P70" t="n">
        <v>0</v>
      </c>
      <c r="Q70" t="n">
        <v>0</v>
      </c>
      <c r="R70" t="n">
        <v>0</v>
      </c>
      <c r="S70" t="n">
        <v>0</v>
      </c>
      <c r="T70" t="n">
        <v>0</v>
      </c>
      <c r="U70" t="n">
        <v>0</v>
      </c>
      <c r="V70" s="2" t="inlineStr"/>
    </row>
    <row r="71" ht="15" customHeight="1">
      <c r="A71" t="inlineStr">
        <is>
          <t>A 61694-2025</t>
        </is>
      </c>
      <c r="B71" t="inlineStr">
        <is>
          <t>avverkningsanmälan</t>
        </is>
      </c>
      <c r="C71" t="inlineStr">
        <is>
          <t>Föryngringsavverkning</t>
        </is>
      </c>
      <c r="D71" s="1" t="n">
        <v>46002</v>
      </c>
      <c r="E71" s="1" t="n">
        <v>46252</v>
      </c>
      <c r="F71" t="inlineStr">
        <is>
          <t>UPPSALA LÄN</t>
        </is>
      </c>
      <c r="G71" t="inlineStr">
        <is>
          <t>ÄLVKARLEBY</t>
        </is>
      </c>
      <c r="H71" t="inlineStr">
        <is>
          <t>Bergvik skog öst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61691-2025</t>
        </is>
      </c>
      <c r="B72" t="inlineStr">
        <is>
          <t>avverkningsanmälan</t>
        </is>
      </c>
      <c r="C72" t="inlineStr">
        <is>
          <t>Föryngringsavverkning</t>
        </is>
      </c>
      <c r="D72" s="1" t="n">
        <v>46002</v>
      </c>
      <c r="E72" s="1" t="n">
        <v>46252</v>
      </c>
      <c r="F72" t="inlineStr">
        <is>
          <t>UPPSALA LÄN</t>
        </is>
      </c>
      <c r="G72" t="inlineStr">
        <is>
          <t>ÄLVKARLEBY</t>
        </is>
      </c>
      <c r="H72" t="inlineStr">
        <is>
          <t>Bergvik skog öst AB</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9533-2025</t>
        </is>
      </c>
      <c r="B73" t="inlineStr">
        <is>
          <t>avverkningsanmälan</t>
        </is>
      </c>
      <c r="C73" t="inlineStr">
        <is>
          <t>Föryngringsavverkning</t>
        </is>
      </c>
      <c r="D73" s="1" t="n">
        <v>45715</v>
      </c>
      <c r="E73" s="1" t="n">
        <v>46252</v>
      </c>
      <c r="F73" t="inlineStr">
        <is>
          <t>UPPSALA LÄN</t>
        </is>
      </c>
      <c r="G73" t="inlineStr">
        <is>
          <t>ÄLVKARLEBY</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2184-2024</t>
        </is>
      </c>
      <c r="B74" t="inlineStr">
        <is>
          <t>avverkningsanmälan</t>
        </is>
      </c>
      <c r="C74" t="inlineStr">
        <is>
          <t>Föryngringsavverkning</t>
        </is>
      </c>
      <c r="D74" s="1" t="n">
        <v>45309</v>
      </c>
      <c r="E74" s="1" t="n">
        <v>46252</v>
      </c>
      <c r="F74" t="inlineStr">
        <is>
          <t>UPPSALA LÄN</t>
        </is>
      </c>
      <c r="G74" t="inlineStr">
        <is>
          <t>ÄLVKARLEBY</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62938-2025</t>
        </is>
      </c>
      <c r="B75" t="inlineStr">
        <is>
          <t>avverkningsanmälan</t>
        </is>
      </c>
      <c r="C75" t="inlineStr">
        <is>
          <t>Föryngringsavverkning</t>
        </is>
      </c>
      <c r="D75" s="1" t="n">
        <v>46009</v>
      </c>
      <c r="E75" s="1" t="n">
        <v>46252</v>
      </c>
      <c r="F75" t="inlineStr">
        <is>
          <t>UPPSALA LÄN</t>
        </is>
      </c>
      <c r="G75" t="inlineStr">
        <is>
          <t>ÄLVKARLEBY</t>
        </is>
      </c>
      <c r="H75" t="inlineStr">
        <is>
          <t>Bergvik skog väst AB</t>
        </is>
      </c>
      <c r="I75" t="n">
        <v>10.2</v>
      </c>
      <c r="J75" t="n">
        <v>0</v>
      </c>
      <c r="K75" t="n">
        <v>0</v>
      </c>
      <c r="L75" t="n">
        <v>0</v>
      </c>
      <c r="M75" t="n">
        <v>0</v>
      </c>
      <c r="N75" t="n">
        <v>0</v>
      </c>
      <c r="O75" t="n">
        <v>0</v>
      </c>
      <c r="P75" t="n">
        <v>0</v>
      </c>
      <c r="Q75" t="n">
        <v>0</v>
      </c>
      <c r="R75" t="n">
        <v>0</v>
      </c>
      <c r="S75" t="n">
        <v>0</v>
      </c>
      <c r="T75" t="n">
        <v>0</v>
      </c>
      <c r="U75" t="n">
        <v>0</v>
      </c>
      <c r="V75" s="2" t="inlineStr"/>
    </row>
    <row r="76" ht="15" customHeight="1">
      <c r="A76" t="inlineStr">
        <is>
          <t>A 63365-2025</t>
        </is>
      </c>
      <c r="B76" t="inlineStr">
        <is>
          <t>avverkningsanmälan</t>
        </is>
      </c>
      <c r="C76" t="inlineStr">
        <is>
          <t>Föryngringsavverkning</t>
        </is>
      </c>
      <c r="D76" s="1" t="n">
        <v>46010</v>
      </c>
      <c r="E76" s="1" t="n">
        <v>46252</v>
      </c>
      <c r="F76" t="inlineStr">
        <is>
          <t>UPPSALA LÄN</t>
        </is>
      </c>
      <c r="G76" t="inlineStr">
        <is>
          <t>ÄLVKARLEBY</t>
        </is>
      </c>
      <c r="H76" t="inlineStr">
        <is>
          <t>Bergvik skog väst AB</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61839-2025</t>
        </is>
      </c>
      <c r="B77" t="inlineStr">
        <is>
          <t>avverkningsanmälan</t>
        </is>
      </c>
      <c r="C77" t="inlineStr">
        <is>
          <t>Föryngringsavverkning</t>
        </is>
      </c>
      <c r="D77" s="1" t="n">
        <v>46003</v>
      </c>
      <c r="E77" s="1" t="n">
        <v>46252</v>
      </c>
      <c r="F77" t="inlineStr">
        <is>
          <t>UPPSALA LÄN</t>
        </is>
      </c>
      <c r="G77" t="inlineStr">
        <is>
          <t>ÄLVKARLEBY</t>
        </is>
      </c>
      <c r="H77" t="inlineStr">
        <is>
          <t>Bergvik skog väst AB</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45372-2024</t>
        </is>
      </c>
      <c r="B78" t="inlineStr">
        <is>
          <t>avverkningsanmälan</t>
        </is>
      </c>
      <c r="C78" t="inlineStr">
        <is>
          <t>Föryngringsavverkning</t>
        </is>
      </c>
      <c r="D78" s="1" t="n">
        <v>45576</v>
      </c>
      <c r="E78" s="1" t="n">
        <v>46252</v>
      </c>
      <c r="F78" t="inlineStr">
        <is>
          <t>UPPSALA LÄN</t>
        </is>
      </c>
      <c r="G78" t="inlineStr">
        <is>
          <t>ÄLVKARLEBY</t>
        </is>
      </c>
      <c r="H78" t="inlineStr">
        <is>
          <t>Bergvik skog väst AB</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41929-2024</t>
        </is>
      </c>
      <c r="B79" t="inlineStr">
        <is>
          <t>avverkningsanmälan</t>
        </is>
      </c>
      <c r="C79" t="inlineStr">
        <is>
          <t>Föryngringsavverkning</t>
        </is>
      </c>
      <c r="D79" s="1" t="n">
        <v>45561</v>
      </c>
      <c r="E79" s="1" t="n">
        <v>46252</v>
      </c>
      <c r="F79" t="inlineStr">
        <is>
          <t>UPPSALA LÄN</t>
        </is>
      </c>
      <c r="G79" t="inlineStr">
        <is>
          <t>ÄLVKARLEBY</t>
        </is>
      </c>
      <c r="H79" t="inlineStr">
        <is>
          <t>Bergvik skog väst AB</t>
        </is>
      </c>
      <c r="I79" t="n">
        <v>4.9</v>
      </c>
      <c r="J79" t="n">
        <v>0</v>
      </c>
      <c r="K79" t="n">
        <v>0</v>
      </c>
      <c r="L79" t="n">
        <v>0</v>
      </c>
      <c r="M79" t="n">
        <v>0</v>
      </c>
      <c r="N79" t="n">
        <v>0</v>
      </c>
      <c r="O79" t="n">
        <v>0</v>
      </c>
      <c r="P79" t="n">
        <v>0</v>
      </c>
      <c r="Q79" t="n">
        <v>0</v>
      </c>
      <c r="R79" t="n">
        <v>0</v>
      </c>
      <c r="S79" t="n">
        <v>0</v>
      </c>
      <c r="T79" t="n">
        <v>0</v>
      </c>
      <c r="U79" t="n">
        <v>0</v>
      </c>
      <c r="V79" s="2" t="inlineStr"/>
    </row>
    <row r="80" ht="15" customHeight="1">
      <c r="A80" t="inlineStr">
        <is>
          <t>A 4134-2026</t>
        </is>
      </c>
      <c r="B80" t="inlineStr">
        <is>
          <t>avverkningsanmälan</t>
        </is>
      </c>
      <c r="C80" t="inlineStr">
        <is>
          <t>Föryngringsavverkning</t>
        </is>
      </c>
      <c r="D80" s="1" t="n">
        <v>46044</v>
      </c>
      <c r="E80" s="1" t="n">
        <v>46252</v>
      </c>
      <c r="F80" t="inlineStr">
        <is>
          <t>UPPSALA LÄN</t>
        </is>
      </c>
      <c r="G80" t="inlineStr">
        <is>
          <t>ÄLVKARLEBY</t>
        </is>
      </c>
      <c r="H80" t="inlineStr">
        <is>
          <t>Bergvik skog öst AB</t>
        </is>
      </c>
      <c r="I80" t="n">
        <v>5.1</v>
      </c>
      <c r="J80" t="n">
        <v>0</v>
      </c>
      <c r="K80" t="n">
        <v>0</v>
      </c>
      <c r="L80" t="n">
        <v>0</v>
      </c>
      <c r="M80" t="n">
        <v>0</v>
      </c>
      <c r="N80" t="n">
        <v>0</v>
      </c>
      <c r="O80" t="n">
        <v>0</v>
      </c>
      <c r="P80" t="n">
        <v>0</v>
      </c>
      <c r="Q80" t="n">
        <v>0</v>
      </c>
      <c r="R80" t="n">
        <v>0</v>
      </c>
      <c r="S80" t="n">
        <v>0</v>
      </c>
      <c r="T80" t="n">
        <v>0</v>
      </c>
      <c r="U80" t="n">
        <v>0</v>
      </c>
      <c r="V80" s="2" t="inlineStr"/>
    </row>
    <row r="81" ht="15" customHeight="1">
      <c r="A81" t="inlineStr">
        <is>
          <t>A 9394-2026</t>
        </is>
      </c>
      <c r="B81" t="inlineStr">
        <is>
          <t>avverkningsanmälan</t>
        </is>
      </c>
      <c r="C81" t="inlineStr">
        <is>
          <t>Föryngringsavverkning</t>
        </is>
      </c>
      <c r="D81" s="1" t="n">
        <v>46071</v>
      </c>
      <c r="E81" s="1" t="n">
        <v>46252</v>
      </c>
      <c r="F81" t="inlineStr">
        <is>
          <t>UPPSALA LÄN</t>
        </is>
      </c>
      <c r="G81" t="inlineStr">
        <is>
          <t>ÄLVKARLEBY</t>
        </is>
      </c>
      <c r="H81" t="inlineStr">
        <is>
          <t>Bergvik skog väst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26815-2022</t>
        </is>
      </c>
      <c r="B82" t="inlineStr">
        <is>
          <t>avverkningsanmälan</t>
        </is>
      </c>
      <c r="C82" t="inlineStr">
        <is>
          <t>Föryngringsavverkning</t>
        </is>
      </c>
      <c r="D82" s="1" t="n">
        <v>44740</v>
      </c>
      <c r="E82" s="1" t="n">
        <v>46252</v>
      </c>
      <c r="F82" t="inlineStr">
        <is>
          <t>UPPSALA LÄN</t>
        </is>
      </c>
      <c r="G82" t="inlineStr">
        <is>
          <t>ÄLVKARLEBY</t>
        </is>
      </c>
      <c r="I82" t="n">
        <v>5.8</v>
      </c>
      <c r="J82" t="n">
        <v>0</v>
      </c>
      <c r="K82" t="n">
        <v>0</v>
      </c>
      <c r="L82" t="n">
        <v>0</v>
      </c>
      <c r="M82" t="n">
        <v>0</v>
      </c>
      <c r="N82" t="n">
        <v>0</v>
      </c>
      <c r="O82" t="n">
        <v>0</v>
      </c>
      <c r="P82" t="n">
        <v>0</v>
      </c>
      <c r="Q82" t="n">
        <v>0</v>
      </c>
      <c r="R82" t="n">
        <v>0</v>
      </c>
      <c r="S82" t="n">
        <v>0</v>
      </c>
      <c r="T82" t="n">
        <v>0</v>
      </c>
      <c r="U82" t="n">
        <v>0</v>
      </c>
      <c r="V82" s="2" t="inlineStr"/>
    </row>
    <row r="83" ht="15" customHeight="1">
      <c r="A83" t="inlineStr">
        <is>
          <t>A 11467-2026</t>
        </is>
      </c>
      <c r="B83" t="inlineStr">
        <is>
          <t>avverkningsanmälan</t>
        </is>
      </c>
      <c r="C83" t="inlineStr">
        <is>
          <t>Föryngringsavverkning</t>
        </is>
      </c>
      <c r="D83" s="1" t="n">
        <v>46083</v>
      </c>
      <c r="E83" s="1" t="n">
        <v>46252</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11848-2026</t>
        </is>
      </c>
      <c r="B84" t="inlineStr">
        <is>
          <t>avverkningsanmälan</t>
        </is>
      </c>
      <c r="C84" t="inlineStr">
        <is>
          <t>Föryngringsavverkning</t>
        </is>
      </c>
      <c r="D84" s="1" t="n">
        <v>46085</v>
      </c>
      <c r="E84" s="1" t="n">
        <v>46252</v>
      </c>
      <c r="F84" t="inlineStr">
        <is>
          <t>UPPSALA LÄN</t>
        </is>
      </c>
      <c r="G84" t="inlineStr">
        <is>
          <t>ÄLVKARLEBY</t>
        </is>
      </c>
      <c r="H84" t="inlineStr">
        <is>
          <t>Bergvik skog väst AB</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14091-2026</t>
        </is>
      </c>
      <c r="B85" t="inlineStr">
        <is>
          <t>avverkningsanmälan</t>
        </is>
      </c>
      <c r="C85" t="inlineStr">
        <is>
          <t>Föryngringsavverkning</t>
        </is>
      </c>
      <c r="D85" s="1" t="n">
        <v>46099</v>
      </c>
      <c r="E85" s="1" t="n">
        <v>46252</v>
      </c>
      <c r="F85" t="inlineStr">
        <is>
          <t>UPPSALA LÄN</t>
        </is>
      </c>
      <c r="G85" t="inlineStr">
        <is>
          <t>ÄLVKARLEBY</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17851-2026</t>
        </is>
      </c>
      <c r="B86" t="inlineStr">
        <is>
          <t>avverkningsanmälan</t>
        </is>
      </c>
      <c r="C86" t="inlineStr">
        <is>
          <t>Föryngringsavverkning</t>
        </is>
      </c>
      <c r="D86" s="1" t="n">
        <v>46122</v>
      </c>
      <c r="E86" s="1" t="n">
        <v>46252</v>
      </c>
      <c r="F86" t="inlineStr">
        <is>
          <t>UPPSALA LÄN</t>
        </is>
      </c>
      <c r="G86" t="inlineStr">
        <is>
          <t>ÄLVKARLEBY</t>
        </is>
      </c>
      <c r="H86" t="inlineStr">
        <is>
          <t>Bergvik skog öst AB</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41272-2023</t>
        </is>
      </c>
      <c r="B87" t="inlineStr">
        <is>
          <t>avverkningsanmälan</t>
        </is>
      </c>
      <c r="C87" t="inlineStr">
        <is>
          <t>Föryngringsavverkning</t>
        </is>
      </c>
      <c r="D87" s="1" t="n">
        <v>45174</v>
      </c>
      <c r="E87" s="1" t="n">
        <v>46252</v>
      </c>
      <c r="F87" t="inlineStr">
        <is>
          <t>UPPSALA LÄN</t>
        </is>
      </c>
      <c r="G87" t="inlineStr">
        <is>
          <t>ÄLVKARLEBY</t>
        </is>
      </c>
      <c r="H87" t="inlineStr">
        <is>
          <t>Bergvik skog väst AB</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33485-2026</t>
        </is>
      </c>
      <c r="B88" t="inlineStr">
        <is>
          <t>avverkningsanmälan</t>
        </is>
      </c>
      <c r="C88" t="inlineStr">
        <is>
          <t>Föryngringsavverkning</t>
        </is>
      </c>
      <c r="D88" s="1" t="n">
        <v>46247</v>
      </c>
      <c r="E88" s="1" t="n">
        <v>46252</v>
      </c>
      <c r="F88" t="inlineStr">
        <is>
          <t>UPPSALA LÄN</t>
        </is>
      </c>
      <c r="G88" t="inlineStr">
        <is>
          <t>ÄLVKARLEBY</t>
        </is>
      </c>
      <c r="H88" t="inlineStr">
        <is>
          <t>Bergvik skog öst AB</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28670-2025</t>
        </is>
      </c>
      <c r="B89" t="inlineStr">
        <is>
          <t>avverkningsanmälan</t>
        </is>
      </c>
      <c r="C89" t="inlineStr">
        <is>
          <t>Föryngringsavverkning</t>
        </is>
      </c>
      <c r="D89" s="1" t="n">
        <v>45819</v>
      </c>
      <c r="E89" s="1" t="n">
        <v>46252</v>
      </c>
      <c r="F89" t="inlineStr">
        <is>
          <t>UPPSALA LÄN</t>
        </is>
      </c>
      <c r="G89" t="inlineStr">
        <is>
          <t>ÄLVKARLEBY</t>
        </is>
      </c>
      <c r="H89" t="inlineStr">
        <is>
          <t>Bergvik skog väst AB</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41276-2023</t>
        </is>
      </c>
      <c r="B90" t="inlineStr">
        <is>
          <t>avverkningsanmälan</t>
        </is>
      </c>
      <c r="C90" t="inlineStr">
        <is>
          <t>Föryngringsavverkning</t>
        </is>
      </c>
      <c r="D90" s="1" t="n">
        <v>45174</v>
      </c>
      <c r="E90" s="1" t="n">
        <v>46252</v>
      </c>
      <c r="F90" t="inlineStr">
        <is>
          <t>UPPSALA LÄN</t>
        </is>
      </c>
      <c r="G90" t="inlineStr">
        <is>
          <t>ÄLVKARLEBY</t>
        </is>
      </c>
      <c r="H90" t="inlineStr">
        <is>
          <t>Bergvik skog väst AB</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30238-2026</t>
        </is>
      </c>
      <c r="B91" t="inlineStr">
        <is>
          <t>avverkningsanmälan</t>
        </is>
      </c>
      <c r="C91" t="inlineStr">
        <is>
          <t>Föryngringsavverkning</t>
        </is>
      </c>
      <c r="D91" s="1" t="n">
        <v>46206</v>
      </c>
      <c r="E91" s="1" t="n">
        <v>46252</v>
      </c>
      <c r="F91" t="inlineStr">
        <is>
          <t>UPPSALA LÄN</t>
        </is>
      </c>
      <c r="G91" t="inlineStr">
        <is>
          <t>ÄLVKARLEBY</t>
        </is>
      </c>
      <c r="H91" t="inlineStr">
        <is>
          <t>Bergvik skog öst AB</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30234-2026</t>
        </is>
      </c>
      <c r="B92" t="inlineStr">
        <is>
          <t>avverkningsanmälan</t>
        </is>
      </c>
      <c r="C92" t="inlineStr">
        <is>
          <t>Föryngringsavverkning</t>
        </is>
      </c>
      <c r="D92" s="1" t="n">
        <v>46206</v>
      </c>
      <c r="E92" s="1" t="n">
        <v>46252</v>
      </c>
      <c r="F92" t="inlineStr">
        <is>
          <t>UPPSALA LÄN</t>
        </is>
      </c>
      <c r="G92" t="inlineStr">
        <is>
          <t>ÄLVKARLEBY</t>
        </is>
      </c>
      <c r="H92" t="inlineStr">
        <is>
          <t>Bergvik skog öst AB</t>
        </is>
      </c>
      <c r="I92" t="n">
        <v>3.6</v>
      </c>
      <c r="J92" t="n">
        <v>0</v>
      </c>
      <c r="K92" t="n">
        <v>0</v>
      </c>
      <c r="L92" t="n">
        <v>0</v>
      </c>
      <c r="M92" t="n">
        <v>0</v>
      </c>
      <c r="N92" t="n">
        <v>0</v>
      </c>
      <c r="O92" t="n">
        <v>0</v>
      </c>
      <c r="P92" t="n">
        <v>0</v>
      </c>
      <c r="Q92" t="n">
        <v>0</v>
      </c>
      <c r="R92" t="n">
        <v>0</v>
      </c>
      <c r="S92" t="n">
        <v>0</v>
      </c>
      <c r="T92" t="n">
        <v>0</v>
      </c>
      <c r="U92" t="n">
        <v>0</v>
      </c>
      <c r="V92" s="2" t="inlineStr"/>
    </row>
    <row r="93">
      <c r="A93" t="inlineStr">
        <is>
          <t>A 25330-2025</t>
        </is>
      </c>
      <c r="B93" t="inlineStr">
        <is>
          <t>avverkningsanmälan</t>
        </is>
      </c>
      <c r="C93" t="inlineStr">
        <is>
          <t>Föryngringsavverkning</t>
        </is>
      </c>
      <c r="D93" s="1" t="n">
        <v>45800</v>
      </c>
      <c r="E93" s="1" t="n">
        <v>46252</v>
      </c>
      <c r="F93" t="inlineStr">
        <is>
          <t>UPPSALA LÄN</t>
        </is>
      </c>
      <c r="G93" t="inlineStr">
        <is>
          <t>ÄLVKARLEBY</t>
        </is>
      </c>
      <c r="H93" t="inlineStr">
        <is>
          <t>Bergvik skog väst AB</t>
        </is>
      </c>
      <c r="I93" t="n">
        <v>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2026-08-18T01:47:17Z</dcterms:created>
  <dcterms:modified xmlns:dcterms="http://purl.org/dc/terms/" xmlns:xsi="http://www.w3.org/2001/XMLSchema-instance" xsi:type="dcterms:W3CDTF">2026-08-18T01:47:17Z</dcterms:modified>
</cp:coreProperties>
</file>