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45788</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45788</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45788</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45788</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45788</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45788</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45788</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45788</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45788</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45788</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45788</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45788</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45788</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45788</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45788</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45788</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45788</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45788</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45788</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45788</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45788</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45788</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45788</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45788</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45788</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45788</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45788</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46354-2023</t>
        </is>
      </c>
      <c r="B38" s="1" t="n">
        <v>45197</v>
      </c>
      <c r="C38" s="1" t="n">
        <v>45788</v>
      </c>
      <c r="D38" t="inlineStr">
        <is>
          <t>UPPSALA LÄN</t>
        </is>
      </c>
      <c r="E38" t="inlineStr">
        <is>
          <t>ÄLVKARLEBY</t>
        </is>
      </c>
      <c r="F38" t="inlineStr">
        <is>
          <t>Bergvik skog öst AB</t>
        </is>
      </c>
      <c r="G38" t="n">
        <v>2.3</v>
      </c>
      <c r="H38" t="n">
        <v>1</v>
      </c>
      <c r="I38" t="n">
        <v>1</v>
      </c>
      <c r="J38" t="n">
        <v>0</v>
      </c>
      <c r="K38" t="n">
        <v>0</v>
      </c>
      <c r="L38" t="n">
        <v>0</v>
      </c>
      <c r="M38" t="n">
        <v>0</v>
      </c>
      <c r="N38" t="n">
        <v>0</v>
      </c>
      <c r="O38" t="n">
        <v>0</v>
      </c>
      <c r="P38" t="n">
        <v>0</v>
      </c>
      <c r="Q38" t="n">
        <v>1</v>
      </c>
      <c r="R38" s="2" t="inlineStr">
        <is>
          <t>Skogsknipprot</t>
        </is>
      </c>
      <c r="S38">
        <f>HYPERLINK("https://klasma.github.io/Logging_0319/artfynd/A 46354-2023 artfynd.xlsx", "A 46354-2023")</f>
        <v/>
      </c>
      <c r="T38">
        <f>HYPERLINK("https://klasma.github.io/Logging_0319/kartor/A 46354-2023 karta.png", "A 46354-2023")</f>
        <v/>
      </c>
      <c r="V38">
        <f>HYPERLINK("https://klasma.github.io/Logging_0319/klagomål/A 46354-2023 FSC-klagomål.docx", "A 46354-2023")</f>
        <v/>
      </c>
      <c r="W38">
        <f>HYPERLINK("https://klasma.github.io/Logging_0319/klagomålsmail/A 46354-2023 FSC-klagomål mail.docx", "A 46354-2023")</f>
        <v/>
      </c>
      <c r="X38">
        <f>HYPERLINK("https://klasma.github.io/Logging_0319/tillsyn/A 46354-2023 tillsynsbegäran.docx", "A 46354-2023")</f>
        <v/>
      </c>
      <c r="Y38">
        <f>HYPERLINK("https://klasma.github.io/Logging_0319/tillsynsmail/A 46354-2023 tillsynsbegäran mail.docx", "A 46354-2023")</f>
        <v/>
      </c>
    </row>
    <row r="39" ht="15" customHeight="1">
      <c r="A39" t="inlineStr">
        <is>
          <t>A 5209-2024</t>
        </is>
      </c>
      <c r="B39" s="1" t="n">
        <v>45330</v>
      </c>
      <c r="C39" s="1" t="n">
        <v>45788</v>
      </c>
      <c r="D39" t="inlineStr">
        <is>
          <t>UPPSALA LÄN</t>
        </is>
      </c>
      <c r="E39" t="inlineStr">
        <is>
          <t>ÄLVKARLEBY</t>
        </is>
      </c>
      <c r="G39" t="n">
        <v>6.3</v>
      </c>
      <c r="H39" t="n">
        <v>1</v>
      </c>
      <c r="I39" t="n">
        <v>1</v>
      </c>
      <c r="J39" t="n">
        <v>0</v>
      </c>
      <c r="K39" t="n">
        <v>0</v>
      </c>
      <c r="L39" t="n">
        <v>0</v>
      </c>
      <c r="M39" t="n">
        <v>0</v>
      </c>
      <c r="N39" t="n">
        <v>0</v>
      </c>
      <c r="O39" t="n">
        <v>0</v>
      </c>
      <c r="P39" t="n">
        <v>0</v>
      </c>
      <c r="Q39" t="n">
        <v>1</v>
      </c>
      <c r="R39" s="2" t="inlineStr">
        <is>
          <t>Guckusko</t>
        </is>
      </c>
      <c r="S39">
        <f>HYPERLINK("https://klasma.github.io/Logging_0319/artfynd/A 5209-2024 artfynd.xlsx", "A 5209-2024")</f>
        <v/>
      </c>
      <c r="T39">
        <f>HYPERLINK("https://klasma.github.io/Logging_0319/kartor/A 5209-2024 karta.png", "A 5209-2024")</f>
        <v/>
      </c>
      <c r="V39">
        <f>HYPERLINK("https://klasma.github.io/Logging_0319/klagomål/A 5209-2024 FSC-klagomål.docx", "A 5209-2024")</f>
        <v/>
      </c>
      <c r="W39">
        <f>HYPERLINK("https://klasma.github.io/Logging_0319/klagomålsmail/A 5209-2024 FSC-klagomål mail.docx", "A 5209-2024")</f>
        <v/>
      </c>
      <c r="X39">
        <f>HYPERLINK("https://klasma.github.io/Logging_0319/tillsyn/A 5209-2024 tillsynsbegäran.docx", "A 5209-2024")</f>
        <v/>
      </c>
      <c r="Y39">
        <f>HYPERLINK("https://klasma.github.io/Logging_0319/tillsynsmail/A 5209-2024 tillsynsbegäran mail.docx", "A 5209-2024")</f>
        <v/>
      </c>
    </row>
    <row r="40" ht="15" customHeight="1">
      <c r="A40" t="inlineStr">
        <is>
          <t>A 19300-2024</t>
        </is>
      </c>
      <c r="B40" s="1" t="n">
        <v>45428</v>
      </c>
      <c r="C40" s="1" t="n">
        <v>45788</v>
      </c>
      <c r="D40" t="inlineStr">
        <is>
          <t>UPPSALA LÄN</t>
        </is>
      </c>
      <c r="E40" t="inlineStr">
        <is>
          <t>ÄLVKARLEBY</t>
        </is>
      </c>
      <c r="G40" t="n">
        <v>0.9</v>
      </c>
      <c r="H40" t="n">
        <v>1</v>
      </c>
      <c r="I40" t="n">
        <v>0</v>
      </c>
      <c r="J40" t="n">
        <v>0</v>
      </c>
      <c r="K40" t="n">
        <v>1</v>
      </c>
      <c r="L40" t="n">
        <v>0</v>
      </c>
      <c r="M40" t="n">
        <v>0</v>
      </c>
      <c r="N40" t="n">
        <v>0</v>
      </c>
      <c r="O40" t="n">
        <v>1</v>
      </c>
      <c r="P40" t="n">
        <v>1</v>
      </c>
      <c r="Q40" t="n">
        <v>1</v>
      </c>
      <c r="R40" s="2" t="inlineStr">
        <is>
          <t>Kricka</t>
        </is>
      </c>
      <c r="S40">
        <f>HYPERLINK("https://klasma.github.io/Logging_0319/artfynd/A 19300-2024 artfynd.xlsx", "A 19300-2024")</f>
        <v/>
      </c>
      <c r="T40">
        <f>HYPERLINK("https://klasma.github.io/Logging_0319/kartor/A 19300-2024 karta.png", "A 19300-2024")</f>
        <v/>
      </c>
      <c r="V40">
        <f>HYPERLINK("https://klasma.github.io/Logging_0319/klagomål/A 19300-2024 FSC-klagomål.docx", "A 19300-2024")</f>
        <v/>
      </c>
      <c r="W40">
        <f>HYPERLINK("https://klasma.github.io/Logging_0319/klagomålsmail/A 19300-2024 FSC-klagomål mail.docx", "A 19300-2024")</f>
        <v/>
      </c>
      <c r="X40">
        <f>HYPERLINK("https://klasma.github.io/Logging_0319/tillsyn/A 19300-2024 tillsynsbegäran.docx", "A 19300-2024")</f>
        <v/>
      </c>
      <c r="Y40">
        <f>HYPERLINK("https://klasma.github.io/Logging_0319/tillsynsmail/A 19300-2024 tillsynsbegäran mail.docx", "A 19300-2024")</f>
        <v/>
      </c>
      <c r="Z40">
        <f>HYPERLINK("https://klasma.github.io/Logging_0319/fåglar/A 19300-2024 prioriterade fågelarter.docx", "A 19300-2024")</f>
        <v/>
      </c>
    </row>
    <row r="41" ht="15" customHeight="1">
      <c r="A41" t="inlineStr">
        <is>
          <t>A 21700-2024</t>
        </is>
      </c>
      <c r="B41" s="1" t="n">
        <v>45442</v>
      </c>
      <c r="C41" s="1" t="n">
        <v>45788</v>
      </c>
      <c r="D41" t="inlineStr">
        <is>
          <t>UPPSALA LÄN</t>
        </is>
      </c>
      <c r="E41" t="inlineStr">
        <is>
          <t>ÄLVKARLEBY</t>
        </is>
      </c>
      <c r="F41" t="inlineStr">
        <is>
          <t>Bergvik skog väst AB</t>
        </is>
      </c>
      <c r="G41" t="n">
        <v>1.1</v>
      </c>
      <c r="H41" t="n">
        <v>0</v>
      </c>
      <c r="I41" t="n">
        <v>0</v>
      </c>
      <c r="J41" t="n">
        <v>0</v>
      </c>
      <c r="K41" t="n">
        <v>1</v>
      </c>
      <c r="L41" t="n">
        <v>0</v>
      </c>
      <c r="M41" t="n">
        <v>0</v>
      </c>
      <c r="N41" t="n">
        <v>0</v>
      </c>
      <c r="O41" t="n">
        <v>1</v>
      </c>
      <c r="P41" t="n">
        <v>1</v>
      </c>
      <c r="Q41" t="n">
        <v>1</v>
      </c>
      <c r="R41" s="2" t="inlineStr">
        <is>
          <t>Töcknig trymal</t>
        </is>
      </c>
      <c r="S41">
        <f>HYPERLINK("https://klasma.github.io/Logging_0319/artfynd/A 21700-2024 artfynd.xlsx", "A 21700-2024")</f>
        <v/>
      </c>
      <c r="T41">
        <f>HYPERLINK("https://klasma.github.io/Logging_0319/kartor/A 21700-2024 karta.png", "A 21700-2024")</f>
        <v/>
      </c>
      <c r="V41">
        <f>HYPERLINK("https://klasma.github.io/Logging_0319/klagomål/A 21700-2024 FSC-klagomål.docx", "A 21700-2024")</f>
        <v/>
      </c>
      <c r="W41">
        <f>HYPERLINK("https://klasma.github.io/Logging_0319/klagomålsmail/A 21700-2024 FSC-klagomål mail.docx", "A 21700-2024")</f>
        <v/>
      </c>
      <c r="X41">
        <f>HYPERLINK("https://klasma.github.io/Logging_0319/tillsyn/A 21700-2024 tillsynsbegäran.docx", "A 21700-2024")</f>
        <v/>
      </c>
      <c r="Y41">
        <f>HYPERLINK("https://klasma.github.io/Logging_0319/tillsynsmail/A 21700-2024 tillsynsbegäran mail.docx", "A 21700-2024")</f>
        <v/>
      </c>
    </row>
    <row r="42" ht="15" customHeight="1">
      <c r="A42" t="inlineStr">
        <is>
          <t>A 26471-2024</t>
        </is>
      </c>
      <c r="B42" s="1" t="n">
        <v>45469</v>
      </c>
      <c r="C42" s="1" t="n">
        <v>45788</v>
      </c>
      <c r="D42" t="inlineStr">
        <is>
          <t>UPPSALA LÄN</t>
        </is>
      </c>
      <c r="E42" t="inlineStr">
        <is>
          <t>ÄLVKARLEBY</t>
        </is>
      </c>
      <c r="F42" t="inlineStr">
        <is>
          <t>Bergvik skog väst AB</t>
        </is>
      </c>
      <c r="G42" t="n">
        <v>5.3</v>
      </c>
      <c r="H42" t="n">
        <v>1</v>
      </c>
      <c r="I42" t="n">
        <v>0</v>
      </c>
      <c r="J42" t="n">
        <v>1</v>
      </c>
      <c r="K42" t="n">
        <v>0</v>
      </c>
      <c r="L42" t="n">
        <v>0</v>
      </c>
      <c r="M42" t="n">
        <v>0</v>
      </c>
      <c r="N42" t="n">
        <v>0</v>
      </c>
      <c r="O42" t="n">
        <v>1</v>
      </c>
      <c r="P42" t="n">
        <v>0</v>
      </c>
      <c r="Q42" t="n">
        <v>1</v>
      </c>
      <c r="R42" s="2" t="inlineStr">
        <is>
          <t>Slaguggla</t>
        </is>
      </c>
      <c r="S42">
        <f>HYPERLINK("https://klasma.github.io/Logging_0319/artfynd/A 26471-2024 artfynd.xlsx", "A 26471-2024")</f>
        <v/>
      </c>
      <c r="T42">
        <f>HYPERLINK("https://klasma.github.io/Logging_0319/kartor/A 26471-2024 karta.png", "A 26471-2024")</f>
        <v/>
      </c>
      <c r="V42">
        <f>HYPERLINK("https://klasma.github.io/Logging_0319/klagomål/A 26471-2024 FSC-klagomål.docx", "A 26471-2024")</f>
        <v/>
      </c>
      <c r="W42">
        <f>HYPERLINK("https://klasma.github.io/Logging_0319/klagomålsmail/A 26471-2024 FSC-klagomål mail.docx", "A 26471-2024")</f>
        <v/>
      </c>
      <c r="X42">
        <f>HYPERLINK("https://klasma.github.io/Logging_0319/tillsyn/A 26471-2024 tillsynsbegäran.docx", "A 26471-2024")</f>
        <v/>
      </c>
      <c r="Y42">
        <f>HYPERLINK("https://klasma.github.io/Logging_0319/tillsynsmail/A 26471-2024 tillsynsbegäran mail.docx", "A 26471-2024")</f>
        <v/>
      </c>
      <c r="Z42">
        <f>HYPERLINK("https://klasma.github.io/Logging_0319/fåglar/A 26471-2024 prioriterade fågelarter.docx", "A 26471-2024")</f>
        <v/>
      </c>
    </row>
    <row r="43" ht="15" customHeight="1">
      <c r="A43" t="inlineStr">
        <is>
          <t>A 33775-2024</t>
        </is>
      </c>
      <c r="B43" s="1" t="n">
        <v>45520</v>
      </c>
      <c r="C43" s="1" t="n">
        <v>45788</v>
      </c>
      <c r="D43" t="inlineStr">
        <is>
          <t>UPPSALA LÄN</t>
        </is>
      </c>
      <c r="E43" t="inlineStr">
        <is>
          <t>ÄLVKARLEBY</t>
        </is>
      </c>
      <c r="F43" t="inlineStr">
        <is>
          <t>Bergvik skog väst AB</t>
        </is>
      </c>
      <c r="G43" t="n">
        <v>5.6</v>
      </c>
      <c r="H43" t="n">
        <v>0</v>
      </c>
      <c r="I43" t="n">
        <v>1</v>
      </c>
      <c r="J43" t="n">
        <v>0</v>
      </c>
      <c r="K43" t="n">
        <v>0</v>
      </c>
      <c r="L43" t="n">
        <v>0</v>
      </c>
      <c r="M43" t="n">
        <v>0</v>
      </c>
      <c r="N43" t="n">
        <v>0</v>
      </c>
      <c r="O43" t="n">
        <v>0</v>
      </c>
      <c r="P43" t="n">
        <v>0</v>
      </c>
      <c r="Q43" t="n">
        <v>1</v>
      </c>
      <c r="R43" s="2" t="inlineStr">
        <is>
          <t>Tibast</t>
        </is>
      </c>
      <c r="S43">
        <f>HYPERLINK("https://klasma.github.io/Logging_0319/artfynd/A 33775-2024 artfynd.xlsx", "A 33775-2024")</f>
        <v/>
      </c>
      <c r="T43">
        <f>HYPERLINK("https://klasma.github.io/Logging_0319/kartor/A 33775-2024 karta.png", "A 33775-2024")</f>
        <v/>
      </c>
      <c r="V43">
        <f>HYPERLINK("https://klasma.github.io/Logging_0319/klagomål/A 33775-2024 FSC-klagomål.docx", "A 33775-2024")</f>
        <v/>
      </c>
      <c r="W43">
        <f>HYPERLINK("https://klasma.github.io/Logging_0319/klagomålsmail/A 33775-2024 FSC-klagomål mail.docx", "A 33775-2024")</f>
        <v/>
      </c>
      <c r="X43">
        <f>HYPERLINK("https://klasma.github.io/Logging_0319/tillsyn/A 33775-2024 tillsynsbegäran.docx", "A 33775-2024")</f>
        <v/>
      </c>
      <c r="Y43">
        <f>HYPERLINK("https://klasma.github.io/Logging_0319/tillsynsmail/A 33775-2024 tillsynsbegäran mail.docx", "A 33775-2024")</f>
        <v/>
      </c>
    </row>
    <row r="44" ht="15" customHeight="1">
      <c r="A44" t="inlineStr">
        <is>
          <t>A 33796-2024</t>
        </is>
      </c>
      <c r="B44" s="1" t="n">
        <v>45520</v>
      </c>
      <c r="C44" s="1" t="n">
        <v>45788</v>
      </c>
      <c r="D44" t="inlineStr">
        <is>
          <t>UPPSALA LÄN</t>
        </is>
      </c>
      <c r="E44" t="inlineStr">
        <is>
          <t>ÄLVKARLEBY</t>
        </is>
      </c>
      <c r="F44" t="inlineStr">
        <is>
          <t>Bergvik skog väst AB</t>
        </is>
      </c>
      <c r="G44" t="n">
        <v>4.6</v>
      </c>
      <c r="H44" t="n">
        <v>1</v>
      </c>
      <c r="I44" t="n">
        <v>0</v>
      </c>
      <c r="J44" t="n">
        <v>0</v>
      </c>
      <c r="K44" t="n">
        <v>0</v>
      </c>
      <c r="L44" t="n">
        <v>0</v>
      </c>
      <c r="M44" t="n">
        <v>0</v>
      </c>
      <c r="N44" t="n">
        <v>0</v>
      </c>
      <c r="O44" t="n">
        <v>0</v>
      </c>
      <c r="P44" t="n">
        <v>0</v>
      </c>
      <c r="Q44" t="n">
        <v>1</v>
      </c>
      <c r="R44" s="2" t="inlineStr">
        <is>
          <t>Revlummer</t>
        </is>
      </c>
      <c r="S44">
        <f>HYPERLINK("https://klasma.github.io/Logging_0319/artfynd/A 33796-2024 artfynd.xlsx", "A 33796-2024")</f>
        <v/>
      </c>
      <c r="T44">
        <f>HYPERLINK("https://klasma.github.io/Logging_0319/kartor/A 33796-2024 karta.png", "A 33796-2024")</f>
        <v/>
      </c>
      <c r="V44">
        <f>HYPERLINK("https://klasma.github.io/Logging_0319/klagomål/A 33796-2024 FSC-klagomål.docx", "A 33796-2024")</f>
        <v/>
      </c>
      <c r="W44">
        <f>HYPERLINK("https://klasma.github.io/Logging_0319/klagomålsmail/A 33796-2024 FSC-klagomål mail.docx", "A 33796-2024")</f>
        <v/>
      </c>
      <c r="X44">
        <f>HYPERLINK("https://klasma.github.io/Logging_0319/tillsyn/A 33796-2024 tillsynsbegäran.docx", "A 33796-2024")</f>
        <v/>
      </c>
      <c r="Y44">
        <f>HYPERLINK("https://klasma.github.io/Logging_0319/tillsynsmail/A 33796-2024 tillsynsbegäran mail.docx", "A 33796-2024")</f>
        <v/>
      </c>
    </row>
    <row r="45" ht="15" customHeight="1">
      <c r="A45" t="inlineStr">
        <is>
          <t>A 55554-2024</t>
        </is>
      </c>
      <c r="B45" s="1" t="n">
        <v>45622</v>
      </c>
      <c r="C45" s="1" t="n">
        <v>45788</v>
      </c>
      <c r="D45" t="inlineStr">
        <is>
          <t>UPPSALA LÄN</t>
        </is>
      </c>
      <c r="E45" t="inlineStr">
        <is>
          <t>ÄLVKARLEBY</t>
        </is>
      </c>
      <c r="F45" t="inlineStr">
        <is>
          <t>Bergvik skog väst AB</t>
        </is>
      </c>
      <c r="G45" t="n">
        <v>1.2</v>
      </c>
      <c r="H45" t="n">
        <v>1</v>
      </c>
      <c r="I45" t="n">
        <v>0</v>
      </c>
      <c r="J45" t="n">
        <v>0</v>
      </c>
      <c r="K45" t="n">
        <v>1</v>
      </c>
      <c r="L45" t="n">
        <v>0</v>
      </c>
      <c r="M45" t="n">
        <v>0</v>
      </c>
      <c r="N45" t="n">
        <v>0</v>
      </c>
      <c r="O45" t="n">
        <v>1</v>
      </c>
      <c r="P45" t="n">
        <v>1</v>
      </c>
      <c r="Q45" t="n">
        <v>1</v>
      </c>
      <c r="R45" s="2" t="inlineStr">
        <is>
          <t>Knärot</t>
        </is>
      </c>
      <c r="S45">
        <f>HYPERLINK("https://klasma.github.io/Logging_0319/artfynd/A 55554-2024 artfynd.xlsx", "A 55554-2024")</f>
        <v/>
      </c>
      <c r="T45">
        <f>HYPERLINK("https://klasma.github.io/Logging_0319/kartor/A 55554-2024 karta.png", "A 55554-2024")</f>
        <v/>
      </c>
      <c r="U45">
        <f>HYPERLINK("https://klasma.github.io/Logging_0319/knärot/A 55554-2024 karta knärot.png", "A 55554-2024")</f>
        <v/>
      </c>
      <c r="V45">
        <f>HYPERLINK("https://klasma.github.io/Logging_0319/klagomål/A 55554-2024 FSC-klagomål.docx", "A 55554-2024")</f>
        <v/>
      </c>
      <c r="W45">
        <f>HYPERLINK("https://klasma.github.io/Logging_0319/klagomålsmail/A 55554-2024 FSC-klagomål mail.docx", "A 55554-2024")</f>
        <v/>
      </c>
      <c r="X45">
        <f>HYPERLINK("https://klasma.github.io/Logging_0319/tillsyn/A 55554-2024 tillsynsbegäran.docx", "A 55554-2024")</f>
        <v/>
      </c>
      <c r="Y45">
        <f>HYPERLINK("https://klasma.github.io/Logging_0319/tillsynsmail/A 55554-2024 tillsynsbegäran mail.docx", "A 55554-2024")</f>
        <v/>
      </c>
    </row>
    <row r="46" ht="15" customHeight="1">
      <c r="A46" t="inlineStr">
        <is>
          <t>A 55560-2024</t>
        </is>
      </c>
      <c r="B46" s="1" t="n">
        <v>45622</v>
      </c>
      <c r="C46" s="1" t="n">
        <v>45788</v>
      </c>
      <c r="D46" t="inlineStr">
        <is>
          <t>UPPSALA LÄN</t>
        </is>
      </c>
      <c r="E46" t="inlineStr">
        <is>
          <t>ÄLVKARLEBY</t>
        </is>
      </c>
      <c r="F46" t="inlineStr">
        <is>
          <t>Bergvik skog väst AB</t>
        </is>
      </c>
      <c r="G46" t="n">
        <v>1</v>
      </c>
      <c r="H46" t="n">
        <v>1</v>
      </c>
      <c r="I46" t="n">
        <v>0</v>
      </c>
      <c r="J46" t="n">
        <v>0</v>
      </c>
      <c r="K46" t="n">
        <v>1</v>
      </c>
      <c r="L46" t="n">
        <v>0</v>
      </c>
      <c r="M46" t="n">
        <v>0</v>
      </c>
      <c r="N46" t="n">
        <v>0</v>
      </c>
      <c r="O46" t="n">
        <v>1</v>
      </c>
      <c r="P46" t="n">
        <v>1</v>
      </c>
      <c r="Q46" t="n">
        <v>1</v>
      </c>
      <c r="R46" s="2" t="inlineStr">
        <is>
          <t>Knärot</t>
        </is>
      </c>
      <c r="S46">
        <f>HYPERLINK("https://klasma.github.io/Logging_0319/artfynd/A 55560-2024 artfynd.xlsx", "A 55560-2024")</f>
        <v/>
      </c>
      <c r="T46">
        <f>HYPERLINK("https://klasma.github.io/Logging_0319/kartor/A 55560-2024 karta.png", "A 55560-2024")</f>
        <v/>
      </c>
      <c r="U46">
        <f>HYPERLINK("https://klasma.github.io/Logging_0319/knärot/A 55560-2024 karta knärot.png", "A 55560-2024")</f>
        <v/>
      </c>
      <c r="V46">
        <f>HYPERLINK("https://klasma.github.io/Logging_0319/klagomål/A 55560-2024 FSC-klagomål.docx", "A 55560-2024")</f>
        <v/>
      </c>
      <c r="W46">
        <f>HYPERLINK("https://klasma.github.io/Logging_0319/klagomålsmail/A 55560-2024 FSC-klagomål mail.docx", "A 55560-2024")</f>
        <v/>
      </c>
      <c r="X46">
        <f>HYPERLINK("https://klasma.github.io/Logging_0319/tillsyn/A 55560-2024 tillsynsbegäran.docx", "A 55560-2024")</f>
        <v/>
      </c>
      <c r="Y46">
        <f>HYPERLINK("https://klasma.github.io/Logging_0319/tillsynsmail/A 55560-2024 tillsynsbegäran mail.docx", "A 55560-2024")</f>
        <v/>
      </c>
    </row>
    <row r="47" ht="15" customHeight="1">
      <c r="A47" t="inlineStr">
        <is>
          <t>A 9521-2025</t>
        </is>
      </c>
      <c r="B47" s="1" t="n">
        <v>45715</v>
      </c>
      <c r="C47" s="1" t="n">
        <v>45788</v>
      </c>
      <c r="D47" t="inlineStr">
        <is>
          <t>UPPSALA LÄN</t>
        </is>
      </c>
      <c r="E47" t="inlineStr">
        <is>
          <t>ÄLVKARLEBY</t>
        </is>
      </c>
      <c r="G47" t="n">
        <v>6.3</v>
      </c>
      <c r="H47" t="n">
        <v>0</v>
      </c>
      <c r="I47" t="n">
        <v>1</v>
      </c>
      <c r="J47" t="n">
        <v>0</v>
      </c>
      <c r="K47" t="n">
        <v>0</v>
      </c>
      <c r="L47" t="n">
        <v>0</v>
      </c>
      <c r="M47" t="n">
        <v>0</v>
      </c>
      <c r="N47" t="n">
        <v>0</v>
      </c>
      <c r="O47" t="n">
        <v>0</v>
      </c>
      <c r="P47" t="n">
        <v>0</v>
      </c>
      <c r="Q47" t="n">
        <v>1</v>
      </c>
      <c r="R47" s="2" t="inlineStr">
        <is>
          <t>Rödgul trumpetsvamp</t>
        </is>
      </c>
      <c r="S47">
        <f>HYPERLINK("https://klasma.github.io/Logging_030319/artfynd/A 9521-2025 artfynd.xlsx", "A 9521-2025")</f>
        <v/>
      </c>
      <c r="T47">
        <f>HYPERLINK("https://klasma.github.io/Logging_030319/kartor/A 9521-2025 karta.png", "A 9521-2025")</f>
        <v/>
      </c>
      <c r="V47">
        <f>HYPERLINK("https://klasma.github.io/Logging_030319/klagomål/A 9521-2025 FSC-klagomål.docx", "A 9521-2025")</f>
        <v/>
      </c>
      <c r="W47">
        <f>HYPERLINK("https://klasma.github.io/Logging_030319/klagomålsmail/A 9521-2025 FSC-klagomål mail.docx", "A 9521-2025")</f>
        <v/>
      </c>
      <c r="X47">
        <f>HYPERLINK("https://klasma.github.io/Logging_030319/tillsyn/A 9521-2025 tillsynsbegäran.docx", "A 9521-2025")</f>
        <v/>
      </c>
      <c r="Y47">
        <f>HYPERLINK("https://klasma.github.io/Logging_030319/tillsynsmail/A 9521-2025 tillsynsbegäran mail.docx", "A 9521-2025")</f>
        <v/>
      </c>
    </row>
    <row r="48" ht="15" customHeight="1">
      <c r="A48" t="inlineStr">
        <is>
          <t>A 12427-2025</t>
        </is>
      </c>
      <c r="B48" s="1" t="n">
        <v>45730</v>
      </c>
      <c r="C48" s="1" t="n">
        <v>45788</v>
      </c>
      <c r="D48" t="inlineStr">
        <is>
          <t>UPPSALA LÄN</t>
        </is>
      </c>
      <c r="E48" t="inlineStr">
        <is>
          <t>ÄLVKARLEBY</t>
        </is>
      </c>
      <c r="F48" t="inlineStr">
        <is>
          <t>Bergvik skog öst AB</t>
        </is>
      </c>
      <c r="G48" t="n">
        <v>9.300000000000001</v>
      </c>
      <c r="H48" t="n">
        <v>1</v>
      </c>
      <c r="I48" t="n">
        <v>1</v>
      </c>
      <c r="J48" t="n">
        <v>0</v>
      </c>
      <c r="K48" t="n">
        <v>0</v>
      </c>
      <c r="L48" t="n">
        <v>0</v>
      </c>
      <c r="M48" t="n">
        <v>0</v>
      </c>
      <c r="N48" t="n">
        <v>0</v>
      </c>
      <c r="O48" t="n">
        <v>0</v>
      </c>
      <c r="P48" t="n">
        <v>0</v>
      </c>
      <c r="Q48" t="n">
        <v>1</v>
      </c>
      <c r="R48" s="2" t="inlineStr">
        <is>
          <t>Guckusko</t>
        </is>
      </c>
      <c r="S48">
        <f>HYPERLINK("https://klasma.github.io/Logging_030319/artfynd/A 12427-2025 artfynd.xlsx", "A 12427-2025")</f>
        <v/>
      </c>
      <c r="T48">
        <f>HYPERLINK("https://klasma.github.io/Logging_030319/kartor/A 12427-2025 karta.png", "A 12427-2025")</f>
        <v/>
      </c>
      <c r="V48">
        <f>HYPERLINK("https://klasma.github.io/Logging_030319/klagomål/A 12427-2025 FSC-klagomål.docx", "A 12427-2025")</f>
        <v/>
      </c>
      <c r="W48">
        <f>HYPERLINK("https://klasma.github.io/Logging_030319/klagomålsmail/A 12427-2025 FSC-klagomål mail.docx", "A 12427-2025")</f>
        <v/>
      </c>
      <c r="X48">
        <f>HYPERLINK("https://klasma.github.io/Logging_030319/tillsyn/A 12427-2025 tillsynsbegäran.docx", "A 12427-2025")</f>
        <v/>
      </c>
      <c r="Y48">
        <f>HYPERLINK("https://klasma.github.io/Logging_030319/tillsynsmail/A 12427-2025 tillsynsbegäran mail.docx", "A 12427-2025")</f>
        <v/>
      </c>
    </row>
    <row r="49" ht="15" customHeight="1">
      <c r="A49" t="inlineStr">
        <is>
          <t>A 19969-2019</t>
        </is>
      </c>
      <c r="B49" s="1" t="n">
        <v>43570</v>
      </c>
      <c r="C49" s="1" t="n">
        <v>45788</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24105-2019</t>
        </is>
      </c>
      <c r="B50" s="1" t="n">
        <v>43598</v>
      </c>
      <c r="C50" s="1" t="n">
        <v>45788</v>
      </c>
      <c r="D50" t="inlineStr">
        <is>
          <t>UPPSALA LÄN</t>
        </is>
      </c>
      <c r="E50" t="inlineStr">
        <is>
          <t>ÄLVKARLEBY</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25340-2019</t>
        </is>
      </c>
      <c r="B51" s="1" t="n">
        <v>43606</v>
      </c>
      <c r="C51" s="1" t="n">
        <v>45788</v>
      </c>
      <c r="D51" t="inlineStr">
        <is>
          <t>UPPSALA LÄN</t>
        </is>
      </c>
      <c r="E51" t="inlineStr">
        <is>
          <t>ÄLVKARLEBY</t>
        </is>
      </c>
      <c r="F51" t="inlineStr">
        <is>
          <t>Bergvik skog väst AB</t>
        </is>
      </c>
      <c r="G51" t="n">
        <v>2.9</v>
      </c>
      <c r="H51" t="n">
        <v>0</v>
      </c>
      <c r="I51" t="n">
        <v>0</v>
      </c>
      <c r="J51" t="n">
        <v>0</v>
      </c>
      <c r="K51" t="n">
        <v>0</v>
      </c>
      <c r="L51" t="n">
        <v>0</v>
      </c>
      <c r="M51" t="n">
        <v>0</v>
      </c>
      <c r="N51" t="n">
        <v>0</v>
      </c>
      <c r="O51" t="n">
        <v>0</v>
      </c>
      <c r="P51" t="n">
        <v>0</v>
      </c>
      <c r="Q51" t="n">
        <v>0</v>
      </c>
      <c r="R51" s="2" t="inlineStr"/>
    </row>
    <row r="52" ht="15" customHeight="1">
      <c r="A52" t="inlineStr">
        <is>
          <t>A 44457-2019</t>
        </is>
      </c>
      <c r="B52" s="1" t="n">
        <v>43711</v>
      </c>
      <c r="C52" s="1" t="n">
        <v>45788</v>
      </c>
      <c r="D52" t="inlineStr">
        <is>
          <t>UPPSALA LÄN</t>
        </is>
      </c>
      <c r="E52" t="inlineStr">
        <is>
          <t>ÄLVKARLEBY</t>
        </is>
      </c>
      <c r="F52" t="inlineStr">
        <is>
          <t>Bergvik skog väst AB</t>
        </is>
      </c>
      <c r="G52" t="n">
        <v>8.699999999999999</v>
      </c>
      <c r="H52" t="n">
        <v>0</v>
      </c>
      <c r="I52" t="n">
        <v>0</v>
      </c>
      <c r="J52" t="n">
        <v>0</v>
      </c>
      <c r="K52" t="n">
        <v>0</v>
      </c>
      <c r="L52" t="n">
        <v>0</v>
      </c>
      <c r="M52" t="n">
        <v>0</v>
      </c>
      <c r="N52" t="n">
        <v>0</v>
      </c>
      <c r="O52" t="n">
        <v>0</v>
      </c>
      <c r="P52" t="n">
        <v>0</v>
      </c>
      <c r="Q52" t="n">
        <v>0</v>
      </c>
      <c r="R52" s="2" t="inlineStr"/>
    </row>
    <row r="53" ht="15" customHeight="1">
      <c r="A53" t="inlineStr">
        <is>
          <t>A 57745-2019</t>
        </is>
      </c>
      <c r="B53" s="1" t="n">
        <v>43768</v>
      </c>
      <c r="C53" s="1" t="n">
        <v>45788</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5511-2020</t>
        </is>
      </c>
      <c r="B54" s="1" t="n">
        <v>43861</v>
      </c>
      <c r="C54" s="1" t="n">
        <v>45788</v>
      </c>
      <c r="D54" t="inlineStr">
        <is>
          <t>UPPSALA LÄN</t>
        </is>
      </c>
      <c r="E54" t="inlineStr">
        <is>
          <t>ÄLVKARLEBY</t>
        </is>
      </c>
      <c r="G54" t="n">
        <v>1.2</v>
      </c>
      <c r="H54" t="n">
        <v>0</v>
      </c>
      <c r="I54" t="n">
        <v>0</v>
      </c>
      <c r="J54" t="n">
        <v>0</v>
      </c>
      <c r="K54" t="n">
        <v>0</v>
      </c>
      <c r="L54" t="n">
        <v>0</v>
      </c>
      <c r="M54" t="n">
        <v>0</v>
      </c>
      <c r="N54" t="n">
        <v>0</v>
      </c>
      <c r="O54" t="n">
        <v>0</v>
      </c>
      <c r="P54" t="n">
        <v>0</v>
      </c>
      <c r="Q54" t="n">
        <v>0</v>
      </c>
      <c r="R54" s="2" t="inlineStr"/>
    </row>
    <row r="55" ht="15" customHeight="1">
      <c r="A55" t="inlineStr">
        <is>
          <t>A 15213-2020</t>
        </is>
      </c>
      <c r="B55" s="1" t="n">
        <v>43913</v>
      </c>
      <c r="C55" s="1" t="n">
        <v>45788</v>
      </c>
      <c r="D55" t="inlineStr">
        <is>
          <t>UPPSALA LÄN</t>
        </is>
      </c>
      <c r="E55" t="inlineStr">
        <is>
          <t>ÄLVKARLEBY</t>
        </is>
      </c>
      <c r="G55" t="n">
        <v>5</v>
      </c>
      <c r="H55" t="n">
        <v>0</v>
      </c>
      <c r="I55" t="n">
        <v>0</v>
      </c>
      <c r="J55" t="n">
        <v>0</v>
      </c>
      <c r="K55" t="n">
        <v>0</v>
      </c>
      <c r="L55" t="n">
        <v>0</v>
      </c>
      <c r="M55" t="n">
        <v>0</v>
      </c>
      <c r="N55" t="n">
        <v>0</v>
      </c>
      <c r="O55" t="n">
        <v>0</v>
      </c>
      <c r="P55" t="n">
        <v>0</v>
      </c>
      <c r="Q55" t="n">
        <v>0</v>
      </c>
      <c r="R55" s="2" t="inlineStr"/>
    </row>
    <row r="56" ht="15" customHeight="1">
      <c r="A56" t="inlineStr">
        <is>
          <t>A 32416-2020</t>
        </is>
      </c>
      <c r="B56" s="1" t="n">
        <v>44018</v>
      </c>
      <c r="C56" s="1" t="n">
        <v>45788</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37193-2020</t>
        </is>
      </c>
      <c r="B57" s="1" t="n">
        <v>44054</v>
      </c>
      <c r="C57" s="1" t="n">
        <v>45788</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40667-2020</t>
        </is>
      </c>
      <c r="B58" s="1" t="n">
        <v>44069</v>
      </c>
      <c r="C58" s="1" t="n">
        <v>45788</v>
      </c>
      <c r="D58" t="inlineStr">
        <is>
          <t>UPPSALA LÄN</t>
        </is>
      </c>
      <c r="E58" t="inlineStr">
        <is>
          <t>ÄLVKARLEBY</t>
        </is>
      </c>
      <c r="F58" t="inlineStr">
        <is>
          <t>Bergvik skog väst AB</t>
        </is>
      </c>
      <c r="G58" t="n">
        <v>20.7</v>
      </c>
      <c r="H58" t="n">
        <v>0</v>
      </c>
      <c r="I58" t="n">
        <v>0</v>
      </c>
      <c r="J58" t="n">
        <v>0</v>
      </c>
      <c r="K58" t="n">
        <v>0</v>
      </c>
      <c r="L58" t="n">
        <v>0</v>
      </c>
      <c r="M58" t="n">
        <v>0</v>
      </c>
      <c r="N58" t="n">
        <v>0</v>
      </c>
      <c r="O58" t="n">
        <v>0</v>
      </c>
      <c r="P58" t="n">
        <v>0</v>
      </c>
      <c r="Q58" t="n">
        <v>0</v>
      </c>
      <c r="R58" s="2" t="inlineStr"/>
    </row>
    <row r="59" ht="15" customHeight="1">
      <c r="A59" t="inlineStr">
        <is>
          <t>A 50413-2020</t>
        </is>
      </c>
      <c r="B59" s="1" t="n">
        <v>44110</v>
      </c>
      <c r="C59" s="1" t="n">
        <v>45788</v>
      </c>
      <c r="D59" t="inlineStr">
        <is>
          <t>UPPSALA LÄN</t>
        </is>
      </c>
      <c r="E59" t="inlineStr">
        <is>
          <t>ÄLVKARLEBY</t>
        </is>
      </c>
      <c r="F59" t="inlineStr">
        <is>
          <t>Bergvik skog väst AB</t>
        </is>
      </c>
      <c r="G59" t="n">
        <v>2.1</v>
      </c>
      <c r="H59" t="n">
        <v>0</v>
      </c>
      <c r="I59" t="n">
        <v>0</v>
      </c>
      <c r="J59" t="n">
        <v>0</v>
      </c>
      <c r="K59" t="n">
        <v>0</v>
      </c>
      <c r="L59" t="n">
        <v>0</v>
      </c>
      <c r="M59" t="n">
        <v>0</v>
      </c>
      <c r="N59" t="n">
        <v>0</v>
      </c>
      <c r="O59" t="n">
        <v>0</v>
      </c>
      <c r="P59" t="n">
        <v>0</v>
      </c>
      <c r="Q59" t="n">
        <v>0</v>
      </c>
      <c r="R59" s="2" t="inlineStr"/>
    </row>
    <row r="60" ht="15" customHeight="1">
      <c r="A60" t="inlineStr">
        <is>
          <t>A 50416-2020</t>
        </is>
      </c>
      <c r="B60" s="1" t="n">
        <v>44110</v>
      </c>
      <c r="C60" s="1" t="n">
        <v>45788</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50409-2020</t>
        </is>
      </c>
      <c r="B61" s="1" t="n">
        <v>44110</v>
      </c>
      <c r="C61" s="1" t="n">
        <v>45788</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66278-2020</t>
        </is>
      </c>
      <c r="B62" s="1" t="n">
        <v>44176</v>
      </c>
      <c r="C62" s="1" t="n">
        <v>45788</v>
      </c>
      <c r="D62" t="inlineStr">
        <is>
          <t>UPPSALA LÄN</t>
        </is>
      </c>
      <c r="E62" t="inlineStr">
        <is>
          <t>ÄLVKARLEBY</t>
        </is>
      </c>
      <c r="F62" t="inlineStr">
        <is>
          <t>Bergvik skog väst AB</t>
        </is>
      </c>
      <c r="G62" t="n">
        <v>4.1</v>
      </c>
      <c r="H62" t="n">
        <v>0</v>
      </c>
      <c r="I62" t="n">
        <v>0</v>
      </c>
      <c r="J62" t="n">
        <v>0</v>
      </c>
      <c r="K62" t="n">
        <v>0</v>
      </c>
      <c r="L62" t="n">
        <v>0</v>
      </c>
      <c r="M62" t="n">
        <v>0</v>
      </c>
      <c r="N62" t="n">
        <v>0</v>
      </c>
      <c r="O62" t="n">
        <v>0</v>
      </c>
      <c r="P62" t="n">
        <v>0</v>
      </c>
      <c r="Q62" t="n">
        <v>0</v>
      </c>
      <c r="R62" s="2" t="inlineStr"/>
    </row>
    <row r="63" ht="15" customHeight="1">
      <c r="A63" t="inlineStr">
        <is>
          <t>A 967-2021</t>
        </is>
      </c>
      <c r="B63" s="1" t="n">
        <v>44207</v>
      </c>
      <c r="C63" s="1" t="n">
        <v>45788</v>
      </c>
      <c r="D63" t="inlineStr">
        <is>
          <t>UPPSALA LÄN</t>
        </is>
      </c>
      <c r="E63" t="inlineStr">
        <is>
          <t>ÄLVKARLEBY</t>
        </is>
      </c>
      <c r="G63" t="n">
        <v>0.7</v>
      </c>
      <c r="H63" t="n">
        <v>0</v>
      </c>
      <c r="I63" t="n">
        <v>0</v>
      </c>
      <c r="J63" t="n">
        <v>0</v>
      </c>
      <c r="K63" t="n">
        <v>0</v>
      </c>
      <c r="L63" t="n">
        <v>0</v>
      </c>
      <c r="M63" t="n">
        <v>0</v>
      </c>
      <c r="N63" t="n">
        <v>0</v>
      </c>
      <c r="O63" t="n">
        <v>0</v>
      </c>
      <c r="P63" t="n">
        <v>0</v>
      </c>
      <c r="Q63" t="n">
        <v>0</v>
      </c>
      <c r="R63" s="2" t="inlineStr"/>
    </row>
    <row r="64" ht="15" customHeight="1">
      <c r="A64" t="inlineStr">
        <is>
          <t>A 11553-2021</t>
        </is>
      </c>
      <c r="B64" s="1" t="n">
        <v>44264</v>
      </c>
      <c r="C64" s="1" t="n">
        <v>45788</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13476-2021</t>
        </is>
      </c>
      <c r="B65" s="1" t="n">
        <v>44273</v>
      </c>
      <c r="C65" s="1" t="n">
        <v>45788</v>
      </c>
      <c r="D65" t="inlineStr">
        <is>
          <t>UPPSALA LÄN</t>
        </is>
      </c>
      <c r="E65" t="inlineStr">
        <is>
          <t>ÄLVKARLEBY</t>
        </is>
      </c>
      <c r="F65" t="inlineStr">
        <is>
          <t>Bergvik skog väst AB</t>
        </is>
      </c>
      <c r="G65" t="n">
        <v>12.1</v>
      </c>
      <c r="H65" t="n">
        <v>0</v>
      </c>
      <c r="I65" t="n">
        <v>0</v>
      </c>
      <c r="J65" t="n">
        <v>0</v>
      </c>
      <c r="K65" t="n">
        <v>0</v>
      </c>
      <c r="L65" t="n">
        <v>0</v>
      </c>
      <c r="M65" t="n">
        <v>0</v>
      </c>
      <c r="N65" t="n">
        <v>0</v>
      </c>
      <c r="O65" t="n">
        <v>0</v>
      </c>
      <c r="P65" t="n">
        <v>0</v>
      </c>
      <c r="Q65" t="n">
        <v>0</v>
      </c>
      <c r="R65" s="2" t="inlineStr"/>
    </row>
    <row r="66" ht="15" customHeight="1">
      <c r="A66" t="inlineStr">
        <is>
          <t>A 39791-2021</t>
        </is>
      </c>
      <c r="B66" s="1" t="n">
        <v>44417</v>
      </c>
      <c r="C66" s="1" t="n">
        <v>45788</v>
      </c>
      <c r="D66" t="inlineStr">
        <is>
          <t>UPPSALA LÄN</t>
        </is>
      </c>
      <c r="E66" t="inlineStr">
        <is>
          <t>ÄLVKARLEBY</t>
        </is>
      </c>
      <c r="G66" t="n">
        <v>1.8</v>
      </c>
      <c r="H66" t="n">
        <v>0</v>
      </c>
      <c r="I66" t="n">
        <v>0</v>
      </c>
      <c r="J66" t="n">
        <v>0</v>
      </c>
      <c r="K66" t="n">
        <v>0</v>
      </c>
      <c r="L66" t="n">
        <v>0</v>
      </c>
      <c r="M66" t="n">
        <v>0</v>
      </c>
      <c r="N66" t="n">
        <v>0</v>
      </c>
      <c r="O66" t="n">
        <v>0</v>
      </c>
      <c r="P66" t="n">
        <v>0</v>
      </c>
      <c r="Q66" t="n">
        <v>0</v>
      </c>
      <c r="R66" s="2" t="inlineStr"/>
    </row>
    <row r="67" ht="15" customHeight="1">
      <c r="A67" t="inlineStr">
        <is>
          <t>A 47226-2021</t>
        </is>
      </c>
      <c r="B67" s="1" t="n">
        <v>44447</v>
      </c>
      <c r="C67" s="1" t="n">
        <v>45788</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16990-2022</t>
        </is>
      </c>
      <c r="B68" s="1" t="n">
        <v>44676</v>
      </c>
      <c r="C68" s="1" t="n">
        <v>45788</v>
      </c>
      <c r="D68" t="inlineStr">
        <is>
          <t>UPPSALA LÄN</t>
        </is>
      </c>
      <c r="E68" t="inlineStr">
        <is>
          <t>ÄLVKARLEBY</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22916-2022</t>
        </is>
      </c>
      <c r="B69" s="1" t="n">
        <v>44715</v>
      </c>
      <c r="C69" s="1" t="n">
        <v>45788</v>
      </c>
      <c r="D69" t="inlineStr">
        <is>
          <t>UPPSALA LÄN</t>
        </is>
      </c>
      <c r="E69" t="inlineStr">
        <is>
          <t>ÄLVKARLEBY</t>
        </is>
      </c>
      <c r="F69" t="inlineStr">
        <is>
          <t>Bergvik skog väst AB</t>
        </is>
      </c>
      <c r="G69" t="n">
        <v>9.199999999999999</v>
      </c>
      <c r="H69" t="n">
        <v>0</v>
      </c>
      <c r="I69" t="n">
        <v>0</v>
      </c>
      <c r="J69" t="n">
        <v>0</v>
      </c>
      <c r="K69" t="n">
        <v>0</v>
      </c>
      <c r="L69" t="n">
        <v>0</v>
      </c>
      <c r="M69" t="n">
        <v>0</v>
      </c>
      <c r="N69" t="n">
        <v>0</v>
      </c>
      <c r="O69" t="n">
        <v>0</v>
      </c>
      <c r="P69" t="n">
        <v>0</v>
      </c>
      <c r="Q69" t="n">
        <v>0</v>
      </c>
      <c r="R69" s="2" t="inlineStr"/>
    </row>
    <row r="70" ht="15" customHeight="1">
      <c r="A70" t="inlineStr">
        <is>
          <t>A 26815-2022</t>
        </is>
      </c>
      <c r="B70" s="1" t="n">
        <v>44740</v>
      </c>
      <c r="C70" s="1" t="n">
        <v>45788</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29116-2022</t>
        </is>
      </c>
      <c r="B71" s="1" t="n">
        <v>44750</v>
      </c>
      <c r="C71" s="1" t="n">
        <v>45788</v>
      </c>
      <c r="D71" t="inlineStr">
        <is>
          <t>UPPSALA LÄN</t>
        </is>
      </c>
      <c r="E71" t="inlineStr">
        <is>
          <t>ÄLVKARLEBY</t>
        </is>
      </c>
      <c r="F71" t="inlineStr">
        <is>
          <t>Kommuner</t>
        </is>
      </c>
      <c r="G71" t="n">
        <v>1.6</v>
      </c>
      <c r="H71" t="n">
        <v>0</v>
      </c>
      <c r="I71" t="n">
        <v>0</v>
      </c>
      <c r="J71" t="n">
        <v>0</v>
      </c>
      <c r="K71" t="n">
        <v>0</v>
      </c>
      <c r="L71" t="n">
        <v>0</v>
      </c>
      <c r="M71" t="n">
        <v>0</v>
      </c>
      <c r="N71" t="n">
        <v>0</v>
      </c>
      <c r="O71" t="n">
        <v>0</v>
      </c>
      <c r="P71" t="n">
        <v>0</v>
      </c>
      <c r="Q71" t="n">
        <v>0</v>
      </c>
      <c r="R71" s="2" t="inlineStr"/>
    </row>
    <row r="72" ht="15" customHeight="1">
      <c r="A72" t="inlineStr">
        <is>
          <t>A 29168-2022</t>
        </is>
      </c>
      <c r="B72" s="1" t="n">
        <v>44750</v>
      </c>
      <c r="C72" s="1" t="n">
        <v>45788</v>
      </c>
      <c r="D72" t="inlineStr">
        <is>
          <t>UPPSALA LÄN</t>
        </is>
      </c>
      <c r="E72" t="inlineStr">
        <is>
          <t>ÄLVKARLEBY</t>
        </is>
      </c>
      <c r="F72" t="inlineStr">
        <is>
          <t>Kommuner</t>
        </is>
      </c>
      <c r="G72" t="n">
        <v>5.1</v>
      </c>
      <c r="H72" t="n">
        <v>0</v>
      </c>
      <c r="I72" t="n">
        <v>0</v>
      </c>
      <c r="J72" t="n">
        <v>0</v>
      </c>
      <c r="K72" t="n">
        <v>0</v>
      </c>
      <c r="L72" t="n">
        <v>0</v>
      </c>
      <c r="M72" t="n">
        <v>0</v>
      </c>
      <c r="N72" t="n">
        <v>0</v>
      </c>
      <c r="O72" t="n">
        <v>0</v>
      </c>
      <c r="P72" t="n">
        <v>0</v>
      </c>
      <c r="Q72" t="n">
        <v>0</v>
      </c>
      <c r="R72" s="2" t="inlineStr"/>
    </row>
    <row r="73" ht="15" customHeight="1">
      <c r="A73" t="inlineStr">
        <is>
          <t>A 36216-2022</t>
        </is>
      </c>
      <c r="B73" s="1" t="n">
        <v>44803</v>
      </c>
      <c r="C73" s="1" t="n">
        <v>45788</v>
      </c>
      <c r="D73" t="inlineStr">
        <is>
          <t>UPPSALA LÄN</t>
        </is>
      </c>
      <c r="E73" t="inlineStr">
        <is>
          <t>ÄLVKARLEBY</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36217-2022</t>
        </is>
      </c>
      <c r="B74" s="1" t="n">
        <v>44803</v>
      </c>
      <c r="C74" s="1" t="n">
        <v>45788</v>
      </c>
      <c r="D74" t="inlineStr">
        <is>
          <t>UPPSALA LÄN</t>
        </is>
      </c>
      <c r="E74" t="inlineStr">
        <is>
          <t>ÄLVKARLEBY</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36282-2022</t>
        </is>
      </c>
      <c r="B75" s="1" t="n">
        <v>44803</v>
      </c>
      <c r="C75" s="1" t="n">
        <v>45788</v>
      </c>
      <c r="D75" t="inlineStr">
        <is>
          <t>UPPSALA LÄN</t>
        </is>
      </c>
      <c r="E75" t="inlineStr">
        <is>
          <t>ÄLVKARLEBY</t>
        </is>
      </c>
      <c r="G75" t="n">
        <v>0.1</v>
      </c>
      <c r="H75" t="n">
        <v>0</v>
      </c>
      <c r="I75" t="n">
        <v>0</v>
      </c>
      <c r="J75" t="n">
        <v>0</v>
      </c>
      <c r="K75" t="n">
        <v>0</v>
      </c>
      <c r="L75" t="n">
        <v>0</v>
      </c>
      <c r="M75" t="n">
        <v>0</v>
      </c>
      <c r="N75" t="n">
        <v>0</v>
      </c>
      <c r="O75" t="n">
        <v>0</v>
      </c>
      <c r="P75" t="n">
        <v>0</v>
      </c>
      <c r="Q75" t="n">
        <v>0</v>
      </c>
      <c r="R75" s="2" t="inlineStr"/>
    </row>
    <row r="76" ht="15" customHeight="1">
      <c r="A76" t="inlineStr">
        <is>
          <t>A 41757-2022</t>
        </is>
      </c>
      <c r="B76" s="1" t="n">
        <v>44827</v>
      </c>
      <c r="C76" s="1" t="n">
        <v>45788</v>
      </c>
      <c r="D76" t="inlineStr">
        <is>
          <t>UPPSALA LÄN</t>
        </is>
      </c>
      <c r="E76" t="inlineStr">
        <is>
          <t>ÄLVKARLEBY</t>
        </is>
      </c>
      <c r="F76" t="inlineStr">
        <is>
          <t>Bergvik skog väst AB</t>
        </is>
      </c>
      <c r="G76" t="n">
        <v>12.7</v>
      </c>
      <c r="H76" t="n">
        <v>0</v>
      </c>
      <c r="I76" t="n">
        <v>0</v>
      </c>
      <c r="J76" t="n">
        <v>0</v>
      </c>
      <c r="K76" t="n">
        <v>0</v>
      </c>
      <c r="L76" t="n">
        <v>0</v>
      </c>
      <c r="M76" t="n">
        <v>0</v>
      </c>
      <c r="N76" t="n">
        <v>0</v>
      </c>
      <c r="O76" t="n">
        <v>0</v>
      </c>
      <c r="P76" t="n">
        <v>0</v>
      </c>
      <c r="Q76" t="n">
        <v>0</v>
      </c>
      <c r="R76" s="2" t="inlineStr"/>
    </row>
    <row r="77" ht="15" customHeight="1">
      <c r="A77" t="inlineStr">
        <is>
          <t>A 60837-2022</t>
        </is>
      </c>
      <c r="B77" s="1" t="n">
        <v>44914</v>
      </c>
      <c r="C77" s="1" t="n">
        <v>45788</v>
      </c>
      <c r="D77" t="inlineStr">
        <is>
          <t>UPPSALA LÄN</t>
        </is>
      </c>
      <c r="E77" t="inlineStr">
        <is>
          <t>ÄLVKARLEBY</t>
        </is>
      </c>
      <c r="F77" t="inlineStr">
        <is>
          <t>Bergvik skog väst AB</t>
        </is>
      </c>
      <c r="G77" t="n">
        <v>3.1</v>
      </c>
      <c r="H77" t="n">
        <v>0</v>
      </c>
      <c r="I77" t="n">
        <v>0</v>
      </c>
      <c r="J77" t="n">
        <v>0</v>
      </c>
      <c r="K77" t="n">
        <v>0</v>
      </c>
      <c r="L77" t="n">
        <v>0</v>
      </c>
      <c r="M77" t="n">
        <v>0</v>
      </c>
      <c r="N77" t="n">
        <v>0</v>
      </c>
      <c r="O77" t="n">
        <v>0</v>
      </c>
      <c r="P77" t="n">
        <v>0</v>
      </c>
      <c r="Q77" t="n">
        <v>0</v>
      </c>
      <c r="R77" s="2" t="inlineStr"/>
    </row>
    <row r="78" ht="15" customHeight="1">
      <c r="A78" t="inlineStr">
        <is>
          <t>A 6839-2023</t>
        </is>
      </c>
      <c r="B78" s="1" t="n">
        <v>44967</v>
      </c>
      <c r="C78" s="1" t="n">
        <v>45788</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45788</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14590-2023</t>
        </is>
      </c>
      <c r="B80" s="1" t="n">
        <v>45013</v>
      </c>
      <c r="C80" s="1" t="n">
        <v>45788</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21520-2023</t>
        </is>
      </c>
      <c r="B81" s="1" t="n">
        <v>45063</v>
      </c>
      <c r="C81" s="1" t="n">
        <v>45788</v>
      </c>
      <c r="D81" t="inlineStr">
        <is>
          <t>UPPSALA LÄN</t>
        </is>
      </c>
      <c r="E81" t="inlineStr">
        <is>
          <t>ÄLVKARLEBY</t>
        </is>
      </c>
      <c r="F81" t="inlineStr">
        <is>
          <t>Bergvik skog väst AB</t>
        </is>
      </c>
      <c r="G81" t="n">
        <v>3.8</v>
      </c>
      <c r="H81" t="n">
        <v>0</v>
      </c>
      <c r="I81" t="n">
        <v>0</v>
      </c>
      <c r="J81" t="n">
        <v>0</v>
      </c>
      <c r="K81" t="n">
        <v>0</v>
      </c>
      <c r="L81" t="n">
        <v>0</v>
      </c>
      <c r="M81" t="n">
        <v>0</v>
      </c>
      <c r="N81" t="n">
        <v>0</v>
      </c>
      <c r="O81" t="n">
        <v>0</v>
      </c>
      <c r="P81" t="n">
        <v>0</v>
      </c>
      <c r="Q81" t="n">
        <v>0</v>
      </c>
      <c r="R81" s="2" t="inlineStr"/>
    </row>
    <row r="82" ht="15" customHeight="1">
      <c r="A82" t="inlineStr">
        <is>
          <t>A 26983-2023</t>
        </is>
      </c>
      <c r="B82" s="1" t="n">
        <v>45093</v>
      </c>
      <c r="C82" s="1" t="n">
        <v>45788</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45788</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45788</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45788</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45788</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45788</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45788</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45788</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45788</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45788</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45788</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45788</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45788</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45788</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45788</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45788</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45788</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45788</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45788</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45788</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45788</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45788</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45788</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45788</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45788</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45788</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45788</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45788</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45788</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45788</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45788</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45788</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45788</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45788</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45788</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45788</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45788</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45788</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45788</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45788</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45788</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45788</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45788</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45788</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45788</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45788</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45788</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45788</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45788</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45788</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45788</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45788</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45788</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45788</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45788</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45788</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45788</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45788</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45788</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45788</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45788</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45788</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45788</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45788</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45788</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45788</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45788</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45788</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45788</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45788</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45788</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45788</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45788</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45788</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45788</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45788</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45788</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45788</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45788</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45788</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45788</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45788</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45788</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45788</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45788</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2025-05-11T17:30:00Z</dcterms:created>
  <dcterms:modified xmlns:dcterms="http://purl.org/dc/terms/" xmlns:xsi="http://www.w3.org/2001/XMLSchema-instance" xsi:type="dcterms:W3CDTF">2025-05-11T17:30:01Z</dcterms:modified>
</cp:coreProperties>
</file>