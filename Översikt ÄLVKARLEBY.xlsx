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46178</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46178</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46178</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46178</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46178</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46178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46178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46178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46178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62278-2025</t>
        </is>
      </c>
      <c r="B13" s="1" t="n">
        <v>46006.63202546296</v>
      </c>
      <c r="C13" s="1" t="n">
        <v>46178</v>
      </c>
      <c r="D13" t="inlineStr">
        <is>
          <t>UPPSALA LÄN</t>
        </is>
      </c>
      <c r="E13" t="inlineStr">
        <is>
          <t>ÄLVKARLEBY</t>
        </is>
      </c>
      <c r="F13" t="inlineStr">
        <is>
          <t>Bergvik skog väst AB</t>
        </is>
      </c>
      <c r="G13" t="n">
        <v>6.3</v>
      </c>
      <c r="H13" t="n">
        <v>2</v>
      </c>
      <c r="I13" t="n">
        <v>0</v>
      </c>
      <c r="J13" t="n">
        <v>1</v>
      </c>
      <c r="K13" t="n">
        <v>1</v>
      </c>
      <c r="L13" t="n">
        <v>1</v>
      </c>
      <c r="M13" t="n">
        <v>0</v>
      </c>
      <c r="N13" t="n">
        <v>0</v>
      </c>
      <c r="O13" t="n">
        <v>3</v>
      </c>
      <c r="P13" t="n">
        <v>2</v>
      </c>
      <c r="Q13" t="n">
        <v>3</v>
      </c>
      <c r="R13" s="2" t="inlineStr">
        <is>
          <t>Mosippa
Knärot
Rökfingersvamp</t>
        </is>
      </c>
      <c r="S13">
        <f>HYPERLINK("https://klasma.github.io/Logging_0319/artfynd/A 62278-2025 artfynd.xlsx", "A 62278-2025")</f>
        <v/>
      </c>
      <c r="T13">
        <f>HYPERLINK("https://klasma.github.io/Logging_0319/kartor/A 62278-2025 karta.png", "A 62278-2025")</f>
        <v/>
      </c>
      <c r="U13">
        <f>HYPERLINK("https://klasma.github.io/Logging_0319/knärot/A 62278-2025 karta knärot.png", "A 62278-2025")</f>
        <v/>
      </c>
      <c r="V13">
        <f>HYPERLINK("https://klasma.github.io/Logging_0319/klagomål/A 62278-2025 FSC-klagomål.docx", "A 62278-2025")</f>
        <v/>
      </c>
      <c r="W13">
        <f>HYPERLINK("https://klasma.github.io/Logging_0319/klagomålsmail/A 62278-2025 FSC-klagomål mail.docx", "A 62278-2025")</f>
        <v/>
      </c>
      <c r="X13">
        <f>HYPERLINK("https://klasma.github.io/Logging_0319/tillsyn/A 62278-2025 tillsynsbegäran.docx", "A 62278-2025")</f>
        <v/>
      </c>
      <c r="Y13">
        <f>HYPERLINK("https://klasma.github.io/Logging_0319/tillsynsmail/A 62278-2025 tillsynsbegäran mail.docx", "A 62278-2025")</f>
        <v/>
      </c>
    </row>
    <row r="14" ht="15" customHeight="1">
      <c r="A14" t="inlineStr">
        <is>
          <t>A 70017-2021</t>
        </is>
      </c>
      <c r="B14" s="1" t="n">
        <v>44533</v>
      </c>
      <c r="C14" s="1" t="n">
        <v>46178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46178</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46178</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34798-2024</t>
        </is>
      </c>
      <c r="B17" s="1" t="n">
        <v>45526</v>
      </c>
      <c r="C17" s="1" t="n">
        <v>46178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58485-2025</t>
        </is>
      </c>
      <c r="B18" s="1" t="n">
        <v>45985.65565972222</v>
      </c>
      <c r="C18" s="1" t="n">
        <v>46178</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10455-2022</t>
        </is>
      </c>
      <c r="B19" s="1" t="n">
        <v>44623</v>
      </c>
      <c r="C19" s="1" t="n">
        <v>46178</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39902-2025</t>
        </is>
      </c>
      <c r="B20" s="1" t="n">
        <v>45891.63597222222</v>
      </c>
      <c r="C20" s="1" t="n">
        <v>46178</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4132-2026</t>
        </is>
      </c>
      <c r="B21" s="1" t="n">
        <v>46044.62596064815</v>
      </c>
      <c r="C21" s="1" t="n">
        <v>46178</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47207-2025</t>
        </is>
      </c>
      <c r="B22" s="1" t="n">
        <v>45930.37263888889</v>
      </c>
      <c r="C22" s="1" t="n">
        <v>46178</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46178</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46178</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46178</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46178</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46178</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46178</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46178</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46178</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46178</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46178</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2183-2024</t>
        </is>
      </c>
      <c r="B33" s="1" t="n">
        <v>45309</v>
      </c>
      <c r="C33" s="1" t="n">
        <v>46178</v>
      </c>
      <c r="D33" t="inlineStr">
        <is>
          <t>UPPSALA LÄN</t>
        </is>
      </c>
      <c r="E33" t="inlineStr">
        <is>
          <t>ÄLVKARLEBY</t>
        </is>
      </c>
      <c r="G33" t="n">
        <v>0.5</v>
      </c>
      <c r="H33" t="n">
        <v>0</v>
      </c>
      <c r="I33" t="n">
        <v>0</v>
      </c>
      <c r="J33" t="n">
        <v>0</v>
      </c>
      <c r="K33" t="n">
        <v>0</v>
      </c>
      <c r="L33" t="n">
        <v>0</v>
      </c>
      <c r="M33" t="n">
        <v>0</v>
      </c>
      <c r="N33" t="n">
        <v>0</v>
      </c>
      <c r="O33" t="n">
        <v>0</v>
      </c>
      <c r="P33" t="n">
        <v>0</v>
      </c>
      <c r="Q33" t="n">
        <v>0</v>
      </c>
      <c r="R33" s="2" t="inlineStr"/>
    </row>
    <row r="34" ht="15" customHeight="1">
      <c r="A34" t="inlineStr">
        <is>
          <t>A 24591-2025</t>
        </is>
      </c>
      <c r="B34" s="1" t="n">
        <v>45798.53666666667</v>
      </c>
      <c r="C34" s="1" t="n">
        <v>46178</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61839-2025</t>
        </is>
      </c>
      <c r="B35" s="1" t="n">
        <v>46003.35768518518</v>
      </c>
      <c r="C35" s="1" t="n">
        <v>46178</v>
      </c>
      <c r="D35" t="inlineStr">
        <is>
          <t>UPPSALA LÄN</t>
        </is>
      </c>
      <c r="E35" t="inlineStr">
        <is>
          <t>ÄLVKARLEBY</t>
        </is>
      </c>
      <c r="F35" t="inlineStr">
        <is>
          <t>Bergvik skog väst AB</t>
        </is>
      </c>
      <c r="G35" t="n">
        <v>2.3</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46178</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46178</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1673-2026</t>
        </is>
      </c>
      <c r="B38" s="1" t="n">
        <v>46034.56863425926</v>
      </c>
      <c r="C38" s="1" t="n">
        <v>46178</v>
      </c>
      <c r="D38" t="inlineStr">
        <is>
          <t>UPPSALA LÄN</t>
        </is>
      </c>
      <c r="E38" t="inlineStr">
        <is>
          <t>ÄLVKARLEBY</t>
        </is>
      </c>
      <c r="F38" t="inlineStr">
        <is>
          <t>Bergvik skog väst AB</t>
        </is>
      </c>
      <c r="G38" t="n">
        <v>1.9</v>
      </c>
      <c r="H38" t="n">
        <v>0</v>
      </c>
      <c r="I38" t="n">
        <v>0</v>
      </c>
      <c r="J38" t="n">
        <v>0</v>
      </c>
      <c r="K38" t="n">
        <v>0</v>
      </c>
      <c r="L38" t="n">
        <v>0</v>
      </c>
      <c r="M38" t="n">
        <v>0</v>
      </c>
      <c r="N38" t="n">
        <v>0</v>
      </c>
      <c r="O38" t="n">
        <v>0</v>
      </c>
      <c r="P38" t="n">
        <v>0</v>
      </c>
      <c r="Q38" t="n">
        <v>0</v>
      </c>
      <c r="R38" s="2" t="inlineStr"/>
    </row>
    <row r="39" ht="15" customHeight="1">
      <c r="A39" t="inlineStr">
        <is>
          <t>A 26670-2025</t>
        </is>
      </c>
      <c r="B39" s="1" t="n">
        <v>45810.41489583333</v>
      </c>
      <c r="C39" s="1" t="n">
        <v>46178</v>
      </c>
      <c r="D39" t="inlineStr">
        <is>
          <t>UPPSALA LÄN</t>
        </is>
      </c>
      <c r="E39" t="inlineStr">
        <is>
          <t>ÄLVKARLEBY</t>
        </is>
      </c>
      <c r="F39" t="inlineStr">
        <is>
          <t>Bergvik skog väst AB</t>
        </is>
      </c>
      <c r="G39" t="n">
        <v>1.1</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46178</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27741-2025</t>
        </is>
      </c>
      <c r="B41" s="1" t="n">
        <v>45815.5346875</v>
      </c>
      <c r="C41" s="1" t="n">
        <v>46178</v>
      </c>
      <c r="D41" t="inlineStr">
        <is>
          <t>UPPSALA LÄN</t>
        </is>
      </c>
      <c r="E41" t="inlineStr">
        <is>
          <t>ÄLVKARLEBY</t>
        </is>
      </c>
      <c r="F41" t="inlineStr">
        <is>
          <t>Bergvik skog väst AB</t>
        </is>
      </c>
      <c r="G41" t="n">
        <v>4.4</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46178</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46178</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46178</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4131-2026</t>
        </is>
      </c>
      <c r="B45" s="1" t="n">
        <v>46044.62451388889</v>
      </c>
      <c r="C45" s="1" t="n">
        <v>46178</v>
      </c>
      <c r="D45" t="inlineStr">
        <is>
          <t>UPPSALA LÄN</t>
        </is>
      </c>
      <c r="E45" t="inlineStr">
        <is>
          <t>ÄLVKARLEBY</t>
        </is>
      </c>
      <c r="F45" t="inlineStr">
        <is>
          <t>Bergvik skog öst AB</t>
        </is>
      </c>
      <c r="G45" t="n">
        <v>2.4</v>
      </c>
      <c r="H45" t="n">
        <v>0</v>
      </c>
      <c r="I45" t="n">
        <v>0</v>
      </c>
      <c r="J45" t="n">
        <v>0</v>
      </c>
      <c r="K45" t="n">
        <v>0</v>
      </c>
      <c r="L45" t="n">
        <v>0</v>
      </c>
      <c r="M45" t="n">
        <v>0</v>
      </c>
      <c r="N45" t="n">
        <v>0</v>
      </c>
      <c r="O45" t="n">
        <v>0</v>
      </c>
      <c r="P45" t="n">
        <v>0</v>
      </c>
      <c r="Q45" t="n">
        <v>0</v>
      </c>
      <c r="R45" s="2" t="inlineStr"/>
    </row>
    <row r="46" ht="15" customHeight="1">
      <c r="A46" t="inlineStr">
        <is>
          <t>A 4134-2026</t>
        </is>
      </c>
      <c r="B46" s="1" t="n">
        <v>46044.6280787037</v>
      </c>
      <c r="C46" s="1" t="n">
        <v>46178</v>
      </c>
      <c r="D46" t="inlineStr">
        <is>
          <t>UPPSALA LÄN</t>
        </is>
      </c>
      <c r="E46" t="inlineStr">
        <is>
          <t>ÄLVKARLEBY</t>
        </is>
      </c>
      <c r="F46" t="inlineStr">
        <is>
          <t>Bergvik skog öst AB</t>
        </is>
      </c>
      <c r="G46" t="n">
        <v>5.1</v>
      </c>
      <c r="H46" t="n">
        <v>0</v>
      </c>
      <c r="I46" t="n">
        <v>0</v>
      </c>
      <c r="J46" t="n">
        <v>0</v>
      </c>
      <c r="K46" t="n">
        <v>0</v>
      </c>
      <c r="L46" t="n">
        <v>0</v>
      </c>
      <c r="M46" t="n">
        <v>0</v>
      </c>
      <c r="N46" t="n">
        <v>0</v>
      </c>
      <c r="O46" t="n">
        <v>0</v>
      </c>
      <c r="P46" t="n">
        <v>0</v>
      </c>
      <c r="Q46" t="n">
        <v>0</v>
      </c>
      <c r="R46" s="2" t="inlineStr"/>
    </row>
    <row r="47" ht="15" customHeight="1">
      <c r="A47" t="inlineStr">
        <is>
          <t>A 4133-2026</t>
        </is>
      </c>
      <c r="B47" s="1" t="n">
        <v>46044.626875</v>
      </c>
      <c r="C47" s="1" t="n">
        <v>46178</v>
      </c>
      <c r="D47" t="inlineStr">
        <is>
          <t>UPPSALA LÄN</t>
        </is>
      </c>
      <c r="E47" t="inlineStr">
        <is>
          <t>ÄLVKARLEBY</t>
        </is>
      </c>
      <c r="F47" t="inlineStr">
        <is>
          <t>Bergvik skog öst AB</t>
        </is>
      </c>
      <c r="G47" t="n">
        <v>4.1</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46178</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46178</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46178</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14004-2025</t>
        </is>
      </c>
      <c r="B51" s="1" t="n">
        <v>45740.2997337963</v>
      </c>
      <c r="C51" s="1" t="n">
        <v>46178</v>
      </c>
      <c r="D51" t="inlineStr">
        <is>
          <t>UPPSALA LÄN</t>
        </is>
      </c>
      <c r="E51" t="inlineStr">
        <is>
          <t>ÄLVKARLEBY</t>
        </is>
      </c>
      <c r="F51" t="inlineStr">
        <is>
          <t>Bergvik skog öst AB</t>
        </is>
      </c>
      <c r="G51" t="n">
        <v>10.1</v>
      </c>
      <c r="H51" t="n">
        <v>0</v>
      </c>
      <c r="I51" t="n">
        <v>0</v>
      </c>
      <c r="J51" t="n">
        <v>0</v>
      </c>
      <c r="K51" t="n">
        <v>0</v>
      </c>
      <c r="L51" t="n">
        <v>0</v>
      </c>
      <c r="M51" t="n">
        <v>0</v>
      </c>
      <c r="N51" t="n">
        <v>0</v>
      </c>
      <c r="O51" t="n">
        <v>0</v>
      </c>
      <c r="P51" t="n">
        <v>0</v>
      </c>
      <c r="Q51" t="n">
        <v>0</v>
      </c>
      <c r="R51" s="2" t="inlineStr"/>
    </row>
    <row r="52" ht="15" customHeight="1">
      <c r="A52" t="inlineStr">
        <is>
          <t>A 32187-2025</t>
        </is>
      </c>
      <c r="B52" s="1" t="n">
        <v>45835.56949074074</v>
      </c>
      <c r="C52" s="1" t="n">
        <v>46178</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32203-2025</t>
        </is>
      </c>
      <c r="B53" s="1" t="n">
        <v>45835.57951388889</v>
      </c>
      <c r="C53" s="1" t="n">
        <v>46178</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32186-2025</t>
        </is>
      </c>
      <c r="B54" s="1" t="n">
        <v>45835.5667824074</v>
      </c>
      <c r="C54" s="1" t="n">
        <v>46178</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46178</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32221-2025</t>
        </is>
      </c>
      <c r="B56" s="1" t="n">
        <v>45835.5909837963</v>
      </c>
      <c r="C56" s="1" t="n">
        <v>46178</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46178</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46178</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46178</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45033-2025</t>
        </is>
      </c>
      <c r="B60" s="1" t="n">
        <v>45918.70299768518</v>
      </c>
      <c r="C60" s="1" t="n">
        <v>46178</v>
      </c>
      <c r="D60" t="inlineStr">
        <is>
          <t>UPPSALA LÄN</t>
        </is>
      </c>
      <c r="E60" t="inlineStr">
        <is>
          <t>ÄLVKARLEBY</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2184-2024</t>
        </is>
      </c>
      <c r="B61" s="1" t="n">
        <v>45309</v>
      </c>
      <c r="C61" s="1" t="n">
        <v>46178</v>
      </c>
      <c r="D61" t="inlineStr">
        <is>
          <t>UPPSALA LÄN</t>
        </is>
      </c>
      <c r="E61" t="inlineStr">
        <is>
          <t>ÄLVKARLEBY</t>
        </is>
      </c>
      <c r="G61" t="n">
        <v>0.6</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46178</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46335-2025</t>
        </is>
      </c>
      <c r="B63" s="1" t="n">
        <v>45925.46199074074</v>
      </c>
      <c r="C63" s="1" t="n">
        <v>46178</v>
      </c>
      <c r="D63" t="inlineStr">
        <is>
          <t>UPPSALA LÄN</t>
        </is>
      </c>
      <c r="E63" t="inlineStr">
        <is>
          <t>ÄLVKARLEBY</t>
        </is>
      </c>
      <c r="G63" t="n">
        <v>1.3</v>
      </c>
      <c r="H63" t="n">
        <v>0</v>
      </c>
      <c r="I63" t="n">
        <v>0</v>
      </c>
      <c r="J63" t="n">
        <v>0</v>
      </c>
      <c r="K63" t="n">
        <v>0</v>
      </c>
      <c r="L63" t="n">
        <v>0</v>
      </c>
      <c r="M63" t="n">
        <v>0</v>
      </c>
      <c r="N63" t="n">
        <v>0</v>
      </c>
      <c r="O63" t="n">
        <v>0</v>
      </c>
      <c r="P63" t="n">
        <v>0</v>
      </c>
      <c r="Q63" t="n">
        <v>0</v>
      </c>
      <c r="R63" s="2" t="inlineStr"/>
    </row>
    <row r="64" ht="15" customHeight="1">
      <c r="A64" t="inlineStr">
        <is>
          <t>A 46510-2025</t>
        </is>
      </c>
      <c r="B64" s="1" t="n">
        <v>45925.92368055556</v>
      </c>
      <c r="C64" s="1" t="n">
        <v>46178</v>
      </c>
      <c r="D64" t="inlineStr">
        <is>
          <t>UPPSALA LÄN</t>
        </is>
      </c>
      <c r="E64" t="inlineStr">
        <is>
          <t>ÄLVKARLEBY</t>
        </is>
      </c>
      <c r="G64" t="n">
        <v>2.3</v>
      </c>
      <c r="H64" t="n">
        <v>0</v>
      </c>
      <c r="I64" t="n">
        <v>0</v>
      </c>
      <c r="J64" t="n">
        <v>0</v>
      </c>
      <c r="K64" t="n">
        <v>0</v>
      </c>
      <c r="L64" t="n">
        <v>0</v>
      </c>
      <c r="M64" t="n">
        <v>0</v>
      </c>
      <c r="N64" t="n">
        <v>0</v>
      </c>
      <c r="O64" t="n">
        <v>0</v>
      </c>
      <c r="P64" t="n">
        <v>0</v>
      </c>
      <c r="Q64" t="n">
        <v>0</v>
      </c>
      <c r="R64" s="2" t="inlineStr"/>
    </row>
    <row r="65" ht="15" customHeight="1">
      <c r="A65" t="inlineStr">
        <is>
          <t>A 9394-2026</t>
        </is>
      </c>
      <c r="B65" s="1" t="n">
        <v>46071.36576388889</v>
      </c>
      <c r="C65" s="1" t="n">
        <v>46178</v>
      </c>
      <c r="D65" t="inlineStr">
        <is>
          <t>UPPSALA LÄN</t>
        </is>
      </c>
      <c r="E65" t="inlineStr">
        <is>
          <t>ÄLVKARLEBY</t>
        </is>
      </c>
      <c r="F65" t="inlineStr">
        <is>
          <t>Bergvik skog väst AB</t>
        </is>
      </c>
      <c r="G65" t="n">
        <v>2.2</v>
      </c>
      <c r="H65" t="n">
        <v>0</v>
      </c>
      <c r="I65" t="n">
        <v>0</v>
      </c>
      <c r="J65" t="n">
        <v>0</v>
      </c>
      <c r="K65" t="n">
        <v>0</v>
      </c>
      <c r="L65" t="n">
        <v>0</v>
      </c>
      <c r="M65" t="n">
        <v>0</v>
      </c>
      <c r="N65" t="n">
        <v>0</v>
      </c>
      <c r="O65" t="n">
        <v>0</v>
      </c>
      <c r="P65" t="n">
        <v>0</v>
      </c>
      <c r="Q65" t="n">
        <v>0</v>
      </c>
      <c r="R65" s="2" t="inlineStr"/>
    </row>
    <row r="66" ht="15" customHeight="1">
      <c r="A66" t="inlineStr">
        <is>
          <t>A 36626-2025</t>
        </is>
      </c>
      <c r="B66" s="1" t="n">
        <v>45870.66732638889</v>
      </c>
      <c r="C66" s="1" t="n">
        <v>46178</v>
      </c>
      <c r="D66" t="inlineStr">
        <is>
          <t>UPPSALA LÄN</t>
        </is>
      </c>
      <c r="E66" t="inlineStr">
        <is>
          <t>ÄLVKARLEBY</t>
        </is>
      </c>
      <c r="F66" t="inlineStr">
        <is>
          <t>Bergvik skog väst AB</t>
        </is>
      </c>
      <c r="G66" t="n">
        <v>2.7</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46178</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11467-2026</t>
        </is>
      </c>
      <c r="B68" s="1" t="n">
        <v>46083.58950231481</v>
      </c>
      <c r="C68" s="1" t="n">
        <v>46178</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11848-2026</t>
        </is>
      </c>
      <c r="B69" s="1" t="n">
        <v>46085.45927083334</v>
      </c>
      <c r="C69" s="1" t="n">
        <v>46178</v>
      </c>
      <c r="D69" t="inlineStr">
        <is>
          <t>UPPSALA LÄN</t>
        </is>
      </c>
      <c r="E69" t="inlineStr">
        <is>
          <t>ÄLVKARLEBY</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46178</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46178</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46178</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46178</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46178</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46178</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53184-2025</t>
        </is>
      </c>
      <c r="B76" s="1" t="n">
        <v>45958</v>
      </c>
      <c r="C76" s="1" t="n">
        <v>46178</v>
      </c>
      <c r="D76" t="inlineStr">
        <is>
          <t>UPPSALA LÄN</t>
        </is>
      </c>
      <c r="E76" t="inlineStr">
        <is>
          <t>ÄLVKARLEBY</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53173-2025</t>
        </is>
      </c>
      <c r="B77" s="1" t="n">
        <v>45958.51738425926</v>
      </c>
      <c r="C77" s="1" t="n">
        <v>46178</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46178</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14127-2026</t>
        </is>
      </c>
      <c r="B79" s="1" t="n">
        <v>46099.44534722222</v>
      </c>
      <c r="C79" s="1" t="n">
        <v>46178</v>
      </c>
      <c r="D79" t="inlineStr">
        <is>
          <t>UPPSALA LÄN</t>
        </is>
      </c>
      <c r="E79" t="inlineStr">
        <is>
          <t>ÄLVKARLEBY</t>
        </is>
      </c>
      <c r="G79" t="n">
        <v>1.7</v>
      </c>
      <c r="H79" t="n">
        <v>0</v>
      </c>
      <c r="I79" t="n">
        <v>0</v>
      </c>
      <c r="J79" t="n">
        <v>0</v>
      </c>
      <c r="K79" t="n">
        <v>0</v>
      </c>
      <c r="L79" t="n">
        <v>0</v>
      </c>
      <c r="M79" t="n">
        <v>0</v>
      </c>
      <c r="N79" t="n">
        <v>0</v>
      </c>
      <c r="O79" t="n">
        <v>0</v>
      </c>
      <c r="P79" t="n">
        <v>0</v>
      </c>
      <c r="Q79" t="n">
        <v>0</v>
      </c>
      <c r="R79" s="2" t="inlineStr"/>
    </row>
    <row r="80" ht="15" customHeight="1">
      <c r="A80" t="inlineStr">
        <is>
          <t>A 14091-2026</t>
        </is>
      </c>
      <c r="B80" s="1" t="n">
        <v>46099.38484953704</v>
      </c>
      <c r="C80" s="1" t="n">
        <v>46178</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46178</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56861-2025</t>
        </is>
      </c>
      <c r="B82" s="1" t="n">
        <v>45978.50824074074</v>
      </c>
      <c r="C82" s="1" t="n">
        <v>46178</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22563-2026</t>
        </is>
      </c>
      <c r="B83" s="1" t="n">
        <v>46155.55376157408</v>
      </c>
      <c r="C83" s="1" t="n">
        <v>46178</v>
      </c>
      <c r="D83" t="inlineStr">
        <is>
          <t>UPPSALA LÄN</t>
        </is>
      </c>
      <c r="E83" t="inlineStr">
        <is>
          <t>ÄLVKARLEBY</t>
        </is>
      </c>
      <c r="F83" t="inlineStr">
        <is>
          <t>Bergvik skog öst AB</t>
        </is>
      </c>
      <c r="G83" t="n">
        <v>3.5</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46178</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7286-2023</t>
        </is>
      </c>
      <c r="B85" s="1" t="n">
        <v>44970</v>
      </c>
      <c r="C85" s="1" t="n">
        <v>46178</v>
      </c>
      <c r="D85" t="inlineStr">
        <is>
          <t>UPPSALA LÄN</t>
        </is>
      </c>
      <c r="E85" t="inlineStr">
        <is>
          <t>ÄLVKARLEBY</t>
        </is>
      </c>
      <c r="F85" t="inlineStr">
        <is>
          <t>Bergvik skog väst AB</t>
        </is>
      </c>
      <c r="G85" t="n">
        <v>2.5</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46178</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46178</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17851-2026</t>
        </is>
      </c>
      <c r="B88" s="1" t="n">
        <v>46122.481875</v>
      </c>
      <c r="C88" s="1" t="n">
        <v>46178</v>
      </c>
      <c r="D88" t="inlineStr">
        <is>
          <t>UPPSALA LÄN</t>
        </is>
      </c>
      <c r="E88" t="inlineStr">
        <is>
          <t>ÄLVKARLEBY</t>
        </is>
      </c>
      <c r="F88" t="inlineStr">
        <is>
          <t>Bergvik skog öst AB</t>
        </is>
      </c>
      <c r="G88" t="n">
        <v>3.6</v>
      </c>
      <c r="H88" t="n">
        <v>0</v>
      </c>
      <c r="I88" t="n">
        <v>0</v>
      </c>
      <c r="J88" t="n">
        <v>0</v>
      </c>
      <c r="K88" t="n">
        <v>0</v>
      </c>
      <c r="L88" t="n">
        <v>0</v>
      </c>
      <c r="M88" t="n">
        <v>0</v>
      </c>
      <c r="N88" t="n">
        <v>0</v>
      </c>
      <c r="O88" t="n">
        <v>0</v>
      </c>
      <c r="P88" t="n">
        <v>0</v>
      </c>
      <c r="Q88" t="n">
        <v>0</v>
      </c>
      <c r="R88" s="2" t="inlineStr"/>
    </row>
    <row r="89" ht="15" customHeight="1">
      <c r="A89" t="inlineStr">
        <is>
          <t>A 60083-2025</t>
        </is>
      </c>
      <c r="B89" s="1" t="n">
        <v>45993.69733796296</v>
      </c>
      <c r="C89" s="1" t="n">
        <v>46178</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60256-2025</t>
        </is>
      </c>
      <c r="B90" s="1" t="n">
        <v>45994.60216435185</v>
      </c>
      <c r="C90" s="1" t="n">
        <v>46178</v>
      </c>
      <c r="D90" t="inlineStr">
        <is>
          <t>UPPSALA LÄN</t>
        </is>
      </c>
      <c r="E90" t="inlineStr">
        <is>
          <t>ÄLVKARLEBY</t>
        </is>
      </c>
      <c r="G90" t="n">
        <v>1</v>
      </c>
      <c r="H90" t="n">
        <v>0</v>
      </c>
      <c r="I90" t="n">
        <v>0</v>
      </c>
      <c r="J90" t="n">
        <v>0</v>
      </c>
      <c r="K90" t="n">
        <v>0</v>
      </c>
      <c r="L90" t="n">
        <v>0</v>
      </c>
      <c r="M90" t="n">
        <v>0</v>
      </c>
      <c r="N90" t="n">
        <v>0</v>
      </c>
      <c r="O90" t="n">
        <v>0</v>
      </c>
      <c r="P90" t="n">
        <v>0</v>
      </c>
      <c r="Q90" t="n">
        <v>0</v>
      </c>
      <c r="R90" s="2" t="inlineStr"/>
    </row>
    <row r="91" ht="15" customHeight="1">
      <c r="A91" t="inlineStr">
        <is>
          <t>A 60842-2025</t>
        </is>
      </c>
      <c r="B91" s="1" t="n">
        <v>45999.48721064815</v>
      </c>
      <c r="C91" s="1" t="n">
        <v>46178</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60829-2025</t>
        </is>
      </c>
      <c r="B92" s="1" t="n">
        <v>45999.46523148148</v>
      </c>
      <c r="C92" s="1" t="n">
        <v>46178</v>
      </c>
      <c r="D92" t="inlineStr">
        <is>
          <t>UPPSALA LÄN</t>
        </is>
      </c>
      <c r="E92" t="inlineStr">
        <is>
          <t>ÄLVKARLEBY</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61694-2025</t>
        </is>
      </c>
      <c r="B93" s="1" t="n">
        <v>46002.52361111111</v>
      </c>
      <c r="C93" s="1" t="n">
        <v>46178</v>
      </c>
      <c r="D93" t="inlineStr">
        <is>
          <t>UPPSALA LÄN</t>
        </is>
      </c>
      <c r="E93" t="inlineStr">
        <is>
          <t>ÄLVKARLEBY</t>
        </is>
      </c>
      <c r="F93" t="inlineStr">
        <is>
          <t>Bergvik skog öst AB</t>
        </is>
      </c>
      <c r="G93" t="n">
        <v>1.5</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46178</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46178</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36216-2022</t>
        </is>
      </c>
      <c r="B96" s="1" t="n">
        <v>44803</v>
      </c>
      <c r="C96" s="1" t="n">
        <v>46178</v>
      </c>
      <c r="D96" t="inlineStr">
        <is>
          <t>UPPSALA LÄN</t>
        </is>
      </c>
      <c r="E96" t="inlineStr">
        <is>
          <t>ÄLVKARLEBY</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46178</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62938-2025</t>
        </is>
      </c>
      <c r="B98" s="1" t="n">
        <v>46009.42092592592</v>
      </c>
      <c r="C98" s="1" t="n">
        <v>46178</v>
      </c>
      <c r="D98" t="inlineStr">
        <is>
          <t>UPPSALA LÄN</t>
        </is>
      </c>
      <c r="E98" t="inlineStr">
        <is>
          <t>ÄLVKARLEBY</t>
        </is>
      </c>
      <c r="F98" t="inlineStr">
        <is>
          <t>Bergvik skog väst AB</t>
        </is>
      </c>
      <c r="G98" t="n">
        <v>10.2</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46178</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63365-2025</t>
        </is>
      </c>
      <c r="B100" s="1" t="n">
        <v>46010.70717592593</v>
      </c>
      <c r="C100" s="1" t="n">
        <v>46178</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22223-2025</t>
        </is>
      </c>
      <c r="B101" s="1" t="n">
        <v>45785</v>
      </c>
      <c r="C101" s="1" t="n">
        <v>46178</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16990-2022</t>
        </is>
      </c>
      <c r="B102" s="1" t="n">
        <v>44676.6122337963</v>
      </c>
      <c r="C102" s="1" t="n">
        <v>46178</v>
      </c>
      <c r="D102" t="inlineStr">
        <is>
          <t>UPPSALA LÄN</t>
        </is>
      </c>
      <c r="E102" t="inlineStr">
        <is>
          <t>ÄLVKARLEBY</t>
        </is>
      </c>
      <c r="F102" t="inlineStr">
        <is>
          <t>Bergvik skog väst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38226-2023</t>
        </is>
      </c>
      <c r="B103" s="1" t="n">
        <v>45161</v>
      </c>
      <c r="C103" s="1" t="n">
        <v>46178</v>
      </c>
      <c r="D103" t="inlineStr">
        <is>
          <t>UPPSALA LÄN</t>
        </is>
      </c>
      <c r="E103" t="inlineStr">
        <is>
          <t>ÄLVKARLEBY</t>
        </is>
      </c>
      <c r="F103" t="inlineStr">
        <is>
          <t>Bergvik skog väst AB</t>
        </is>
      </c>
      <c r="G103" t="n">
        <v>4.5</v>
      </c>
      <c r="H103" t="n">
        <v>0</v>
      </c>
      <c r="I103" t="n">
        <v>0</v>
      </c>
      <c r="J103" t="n">
        <v>0</v>
      </c>
      <c r="K103" t="n">
        <v>0</v>
      </c>
      <c r="L103" t="n">
        <v>0</v>
      </c>
      <c r="M103" t="n">
        <v>0</v>
      </c>
      <c r="N103" t="n">
        <v>0</v>
      </c>
      <c r="O103" t="n">
        <v>0</v>
      </c>
      <c r="P103" t="n">
        <v>0</v>
      </c>
      <c r="Q103" t="n">
        <v>0</v>
      </c>
      <c r="R103" s="2" t="inlineStr"/>
    </row>
    <row r="104" ht="15" customHeight="1">
      <c r="A104" t="inlineStr">
        <is>
          <t>A 19303-2024</t>
        </is>
      </c>
      <c r="B104" s="1" t="n">
        <v>45428.70386574074</v>
      </c>
      <c r="C104" s="1" t="n">
        <v>46178</v>
      </c>
      <c r="D104" t="inlineStr">
        <is>
          <t>UPPSALA LÄN</t>
        </is>
      </c>
      <c r="E104" t="inlineStr">
        <is>
          <t>ÄLVKARLEBY</t>
        </is>
      </c>
      <c r="G104" t="n">
        <v>0.4</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46178</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19862-2025</t>
        </is>
      </c>
      <c r="B106" s="1" t="n">
        <v>45771.53560185185</v>
      </c>
      <c r="C106" s="1" t="n">
        <v>46178</v>
      </c>
      <c r="D106" t="inlineStr">
        <is>
          <t>UPPSALA LÄN</t>
        </is>
      </c>
      <c r="E106" t="inlineStr">
        <is>
          <t>ÄLVKARLEBY</t>
        </is>
      </c>
      <c r="F106" t="inlineStr">
        <is>
          <t>Kyrkan</t>
        </is>
      </c>
      <c r="G106" t="n">
        <v>3</v>
      </c>
      <c r="H106" t="n">
        <v>0</v>
      </c>
      <c r="I106" t="n">
        <v>0</v>
      </c>
      <c r="J106" t="n">
        <v>0</v>
      </c>
      <c r="K106" t="n">
        <v>0</v>
      </c>
      <c r="L106" t="n">
        <v>0</v>
      </c>
      <c r="M106" t="n">
        <v>0</v>
      </c>
      <c r="N106" t="n">
        <v>0</v>
      </c>
      <c r="O106" t="n">
        <v>0</v>
      </c>
      <c r="P106" t="n">
        <v>0</v>
      </c>
      <c r="Q106" t="n">
        <v>0</v>
      </c>
      <c r="R106" s="2" t="inlineStr"/>
    </row>
    <row r="107" ht="15" customHeight="1">
      <c r="A107" t="inlineStr">
        <is>
          <t>A 45372-2024</t>
        </is>
      </c>
      <c r="B107" s="1" t="n">
        <v>45576.51116898148</v>
      </c>
      <c r="C107" s="1" t="n">
        <v>46178</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41929-2024</t>
        </is>
      </c>
      <c r="B108" s="1" t="n">
        <v>45561</v>
      </c>
      <c r="C108" s="1" t="n">
        <v>46178</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46178</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26815-2022</t>
        </is>
      </c>
      <c r="B110" s="1" t="n">
        <v>44740.44644675926</v>
      </c>
      <c r="C110" s="1" t="n">
        <v>46178</v>
      </c>
      <c r="D110" t="inlineStr">
        <is>
          <t>UPPSALA LÄN</t>
        </is>
      </c>
      <c r="E110" t="inlineStr">
        <is>
          <t>ÄLVKARLEBY</t>
        </is>
      </c>
      <c r="G110" t="n">
        <v>5.8</v>
      </c>
      <c r="H110" t="n">
        <v>0</v>
      </c>
      <c r="I110" t="n">
        <v>0</v>
      </c>
      <c r="J110" t="n">
        <v>0</v>
      </c>
      <c r="K110" t="n">
        <v>0</v>
      </c>
      <c r="L110" t="n">
        <v>0</v>
      </c>
      <c r="M110" t="n">
        <v>0</v>
      </c>
      <c r="N110" t="n">
        <v>0</v>
      </c>
      <c r="O110" t="n">
        <v>0</v>
      </c>
      <c r="P110" t="n">
        <v>0</v>
      </c>
      <c r="Q110" t="n">
        <v>0</v>
      </c>
      <c r="R110" s="2" t="inlineStr"/>
    </row>
    <row r="111" ht="15" customHeight="1">
      <c r="A111" t="inlineStr">
        <is>
          <t>A 8031-2025</t>
        </is>
      </c>
      <c r="B111" s="1" t="n">
        <v>45707.59112268518</v>
      </c>
      <c r="C111" s="1" t="n">
        <v>46178</v>
      </c>
      <c r="D111" t="inlineStr">
        <is>
          <t>UPPSALA LÄN</t>
        </is>
      </c>
      <c r="E111" t="inlineStr">
        <is>
          <t>ÄLVKARLEBY</t>
        </is>
      </c>
      <c r="F111" t="inlineStr">
        <is>
          <t>Bergvik skog väst AB</t>
        </is>
      </c>
      <c r="G111" t="n">
        <v>4</v>
      </c>
      <c r="H111" t="n">
        <v>0</v>
      </c>
      <c r="I111" t="n">
        <v>0</v>
      </c>
      <c r="J111" t="n">
        <v>0</v>
      </c>
      <c r="K111" t="n">
        <v>0</v>
      </c>
      <c r="L111" t="n">
        <v>0</v>
      </c>
      <c r="M111" t="n">
        <v>0</v>
      </c>
      <c r="N111" t="n">
        <v>0</v>
      </c>
      <c r="O111" t="n">
        <v>0</v>
      </c>
      <c r="P111" t="n">
        <v>0</v>
      </c>
      <c r="Q111" t="n">
        <v>0</v>
      </c>
      <c r="R111" s="2" t="inlineStr"/>
    </row>
    <row r="112" ht="15" customHeight="1">
      <c r="A112" t="inlineStr">
        <is>
          <t>A 41272-2023</t>
        </is>
      </c>
      <c r="B112" s="1" t="n">
        <v>45174</v>
      </c>
      <c r="C112" s="1" t="n">
        <v>46178</v>
      </c>
      <c r="D112" t="inlineStr">
        <is>
          <t>UPPSALA LÄN</t>
        </is>
      </c>
      <c r="E112" t="inlineStr">
        <is>
          <t>ÄLVKARLEBY</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46178</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19304-2024</t>
        </is>
      </c>
      <c r="B114" s="1" t="n">
        <v>45428</v>
      </c>
      <c r="C114" s="1" t="n">
        <v>46178</v>
      </c>
      <c r="D114" t="inlineStr">
        <is>
          <t>UPPSALA LÄN</t>
        </is>
      </c>
      <c r="E114" t="inlineStr">
        <is>
          <t>ÄLVKARLEBY</t>
        </is>
      </c>
      <c r="G114" t="n">
        <v>0.2</v>
      </c>
      <c r="H114" t="n">
        <v>0</v>
      </c>
      <c r="I114" t="n">
        <v>0</v>
      </c>
      <c r="J114" t="n">
        <v>0</v>
      </c>
      <c r="K114" t="n">
        <v>0</v>
      </c>
      <c r="L114" t="n">
        <v>0</v>
      </c>
      <c r="M114" t="n">
        <v>0</v>
      </c>
      <c r="N114" t="n">
        <v>0</v>
      </c>
      <c r="O114" t="n">
        <v>0</v>
      </c>
      <c r="P114" t="n">
        <v>0</v>
      </c>
      <c r="Q114" t="n">
        <v>0</v>
      </c>
      <c r="R114" s="2" t="inlineStr"/>
    </row>
    <row r="115">
      <c r="A115" t="inlineStr">
        <is>
          <t>A 19697-2025</t>
        </is>
      </c>
      <c r="B115" s="1" t="n">
        <v>45771</v>
      </c>
      <c r="C115" s="1" t="n">
        <v>46178</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2026-06-05T10:47:58Z</dcterms:created>
  <dcterms:modified xmlns:dcterms="http://purl.org/dc/terms/" xmlns:xsi="http://www.w3.org/2001/XMLSchema-instance" xsi:type="dcterms:W3CDTF">2026-06-05T10:47:58Z</dcterms:modified>
</cp:coreProperties>
</file>