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45984</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45984</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45984</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45984</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39902-2025</t>
        </is>
      </c>
      <c r="B17" s="1" t="n">
        <v>45891.63597222222</v>
      </c>
      <c r="C17" s="1" t="n">
        <v>45984</v>
      </c>
      <c r="D17" t="inlineStr">
        <is>
          <t>UPPSALA LÄN</t>
        </is>
      </c>
      <c r="E17" t="inlineStr">
        <is>
          <t>ÄLVKARLEBY</t>
        </is>
      </c>
      <c r="F17" t="inlineStr">
        <is>
          <t>Bergvik skog väst AB</t>
        </is>
      </c>
      <c r="G17" t="n">
        <v>11.2</v>
      </c>
      <c r="H17" t="n">
        <v>0</v>
      </c>
      <c r="I17" t="n">
        <v>1</v>
      </c>
      <c r="J17" t="n">
        <v>0</v>
      </c>
      <c r="K17" t="n">
        <v>0</v>
      </c>
      <c r="L17" t="n">
        <v>0</v>
      </c>
      <c r="M17" t="n">
        <v>0</v>
      </c>
      <c r="N17" t="n">
        <v>0</v>
      </c>
      <c r="O17" t="n">
        <v>0</v>
      </c>
      <c r="P17" t="n">
        <v>0</v>
      </c>
      <c r="Q17" t="n">
        <v>1</v>
      </c>
      <c r="R17" s="2" t="inlineStr">
        <is>
          <t>Anisspindling</t>
        </is>
      </c>
      <c r="S17">
        <f>HYPERLINK("https://klasma.github.io/Logging_0319/artfynd/A 39902-2025 artfynd.xlsx", "A 39902-2025")</f>
        <v/>
      </c>
      <c r="T17">
        <f>HYPERLINK("https://klasma.github.io/Logging_0319/kartor/A 39902-2025 karta.png", "A 39902-2025")</f>
        <v/>
      </c>
      <c r="V17">
        <f>HYPERLINK("https://klasma.github.io/Logging_0319/klagomål/A 39902-2025 FSC-klagomål.docx", "A 39902-2025")</f>
        <v/>
      </c>
      <c r="W17">
        <f>HYPERLINK("https://klasma.github.io/Logging_0319/klagomålsmail/A 39902-2025 FSC-klagomål mail.docx", "A 39902-2025")</f>
        <v/>
      </c>
      <c r="X17">
        <f>HYPERLINK("https://klasma.github.io/Logging_0319/tillsyn/A 39902-2025 tillsynsbegäran.docx", "A 39902-2025")</f>
        <v/>
      </c>
      <c r="Y17">
        <f>HYPERLINK("https://klasma.github.io/Logging_0319/tillsynsmail/A 39902-2025 tillsynsbegäran mail.docx", "A 39902-2025")</f>
        <v/>
      </c>
    </row>
    <row r="18" ht="15" customHeight="1">
      <c r="A18" t="inlineStr">
        <is>
          <t>A 66277-2020</t>
        </is>
      </c>
      <c r="B18" s="1" t="n">
        <v>44176</v>
      </c>
      <c r="C18" s="1" t="n">
        <v>45984</v>
      </c>
      <c r="D18" t="inlineStr">
        <is>
          <t>UPPSALA LÄN</t>
        </is>
      </c>
      <c r="E18" t="inlineStr">
        <is>
          <t>ÄLVKARLEBY</t>
        </is>
      </c>
      <c r="F18" t="inlineStr">
        <is>
          <t>Bergvik skog väst AB</t>
        </is>
      </c>
      <c r="G18" t="n">
        <v>2.6</v>
      </c>
      <c r="H18" t="n">
        <v>1</v>
      </c>
      <c r="I18" t="n">
        <v>0</v>
      </c>
      <c r="J18" t="n">
        <v>0</v>
      </c>
      <c r="K18" t="n">
        <v>0</v>
      </c>
      <c r="L18" t="n">
        <v>0</v>
      </c>
      <c r="M18" t="n">
        <v>0</v>
      </c>
      <c r="N18" t="n">
        <v>0</v>
      </c>
      <c r="O18" t="n">
        <v>0</v>
      </c>
      <c r="P18" t="n">
        <v>0</v>
      </c>
      <c r="Q18" t="n">
        <v>1</v>
      </c>
      <c r="R18" s="2" t="inlineStr">
        <is>
          <t>Vanlig padda</t>
        </is>
      </c>
      <c r="S18">
        <f>HYPERLINK("https://klasma.github.io/Logging_0319/artfynd/A 66277-2020 artfynd.xlsx", "A 66277-2020")</f>
        <v/>
      </c>
      <c r="T18">
        <f>HYPERLINK("https://klasma.github.io/Logging_0319/kartor/A 66277-2020 karta.png", "A 66277-2020")</f>
        <v/>
      </c>
      <c r="V18">
        <f>HYPERLINK("https://klasma.github.io/Logging_0319/klagomål/A 66277-2020 FSC-klagomål.docx", "A 66277-2020")</f>
        <v/>
      </c>
      <c r="W18">
        <f>HYPERLINK("https://klasma.github.io/Logging_0319/klagomålsmail/A 66277-2020 FSC-klagomål mail.docx", "A 66277-2020")</f>
        <v/>
      </c>
      <c r="X18">
        <f>HYPERLINK("https://klasma.github.io/Logging_0319/tillsyn/A 66277-2020 tillsynsbegäran.docx", "A 66277-2020")</f>
        <v/>
      </c>
      <c r="Y18">
        <f>HYPERLINK("https://klasma.github.io/Logging_0319/tillsynsmail/A 66277-2020 tillsynsbegäran mail.docx", "A 66277-2020")</f>
        <v/>
      </c>
    </row>
    <row r="19" ht="15" customHeight="1">
      <c r="A19" t="inlineStr">
        <is>
          <t>A 19300-2024</t>
        </is>
      </c>
      <c r="B19" s="1" t="n">
        <v>45428.70128472222</v>
      </c>
      <c r="C19" s="1" t="n">
        <v>45984</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47207-2025</t>
        </is>
      </c>
      <c r="B20" s="1" t="n">
        <v>45930.37263888889</v>
      </c>
      <c r="C20" s="1" t="n">
        <v>45984</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21700-2024</t>
        </is>
      </c>
      <c r="B21" s="1" t="n">
        <v>45442</v>
      </c>
      <c r="C21" s="1" t="n">
        <v>45984</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45984</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45984</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45984</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45984</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45984</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45984</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24591-2025</t>
        </is>
      </c>
      <c r="B28" s="1" t="n">
        <v>45798.53666666667</v>
      </c>
      <c r="C28" s="1" t="n">
        <v>45984</v>
      </c>
      <c r="D28" t="inlineStr">
        <is>
          <t>UPPSALA LÄN</t>
        </is>
      </c>
      <c r="E28" t="inlineStr">
        <is>
          <t>ÄLVKARLEBY</t>
        </is>
      </c>
      <c r="F28" t="inlineStr">
        <is>
          <t>Bergvik skog väst AB</t>
        </is>
      </c>
      <c r="G28" t="n">
        <v>1.7</v>
      </c>
      <c r="H28" t="n">
        <v>0</v>
      </c>
      <c r="I28" t="n">
        <v>0</v>
      </c>
      <c r="J28" t="n">
        <v>0</v>
      </c>
      <c r="K28" t="n">
        <v>0</v>
      </c>
      <c r="L28" t="n">
        <v>0</v>
      </c>
      <c r="M28" t="n">
        <v>0</v>
      </c>
      <c r="N28" t="n">
        <v>0</v>
      </c>
      <c r="O28" t="n">
        <v>0</v>
      </c>
      <c r="P28" t="n">
        <v>0</v>
      </c>
      <c r="Q28" t="n">
        <v>0</v>
      </c>
      <c r="R28" s="2" t="inlineStr"/>
    </row>
    <row r="29" ht="15" customHeight="1">
      <c r="A29" t="inlineStr">
        <is>
          <t>A 2184-2024</t>
        </is>
      </c>
      <c r="B29" s="1" t="n">
        <v>45309</v>
      </c>
      <c r="C29" s="1" t="n">
        <v>45984</v>
      </c>
      <c r="D29" t="inlineStr">
        <is>
          <t>UPPSALA LÄN</t>
        </is>
      </c>
      <c r="E29" t="inlineStr">
        <is>
          <t>ÄLVKARLEBY</t>
        </is>
      </c>
      <c r="G29" t="n">
        <v>0.6</v>
      </c>
      <c r="H29" t="n">
        <v>0</v>
      </c>
      <c r="I29" t="n">
        <v>0</v>
      </c>
      <c r="J29" t="n">
        <v>0</v>
      </c>
      <c r="K29" t="n">
        <v>0</v>
      </c>
      <c r="L29" t="n">
        <v>0</v>
      </c>
      <c r="M29" t="n">
        <v>0</v>
      </c>
      <c r="N29" t="n">
        <v>0</v>
      </c>
      <c r="O29" t="n">
        <v>0</v>
      </c>
      <c r="P29" t="n">
        <v>0</v>
      </c>
      <c r="Q29" t="n">
        <v>0</v>
      </c>
      <c r="R29" s="2" t="inlineStr"/>
    </row>
    <row r="30" ht="15" customHeight="1">
      <c r="A30" t="inlineStr">
        <is>
          <t>A 25330-2025</t>
        </is>
      </c>
      <c r="B30" s="1" t="n">
        <v>45800.59114583334</v>
      </c>
      <c r="C30" s="1" t="n">
        <v>45984</v>
      </c>
      <c r="D30" t="inlineStr">
        <is>
          <t>UPPSALA LÄN</t>
        </is>
      </c>
      <c r="E30" t="inlineStr">
        <is>
          <t>ÄLVKARLEBY</t>
        </is>
      </c>
      <c r="F30" t="inlineStr">
        <is>
          <t>Bergvik skog väst AB</t>
        </is>
      </c>
      <c r="G30" t="n">
        <v>5</v>
      </c>
      <c r="H30" t="n">
        <v>0</v>
      </c>
      <c r="I30" t="n">
        <v>0</v>
      </c>
      <c r="J30" t="n">
        <v>0</v>
      </c>
      <c r="K30" t="n">
        <v>0</v>
      </c>
      <c r="L30" t="n">
        <v>0</v>
      </c>
      <c r="M30" t="n">
        <v>0</v>
      </c>
      <c r="N30" t="n">
        <v>0</v>
      </c>
      <c r="O30" t="n">
        <v>0</v>
      </c>
      <c r="P30" t="n">
        <v>0</v>
      </c>
      <c r="Q30" t="n">
        <v>0</v>
      </c>
      <c r="R30" s="2" t="inlineStr"/>
    </row>
    <row r="31" ht="15" customHeight="1">
      <c r="A31" t="inlineStr">
        <is>
          <t>A 19303-2024</t>
        </is>
      </c>
      <c r="B31" s="1" t="n">
        <v>45428.70386574074</v>
      </c>
      <c r="C31" s="1" t="n">
        <v>45984</v>
      </c>
      <c r="D31" t="inlineStr">
        <is>
          <t>UPPSALA LÄN</t>
        </is>
      </c>
      <c r="E31" t="inlineStr">
        <is>
          <t>ÄLVKARLEBY</t>
        </is>
      </c>
      <c r="G31" t="n">
        <v>0.4</v>
      </c>
      <c r="H31" t="n">
        <v>0</v>
      </c>
      <c r="I31" t="n">
        <v>0</v>
      </c>
      <c r="J31" t="n">
        <v>0</v>
      </c>
      <c r="K31" t="n">
        <v>0</v>
      </c>
      <c r="L31" t="n">
        <v>0</v>
      </c>
      <c r="M31" t="n">
        <v>0</v>
      </c>
      <c r="N31" t="n">
        <v>0</v>
      </c>
      <c r="O31" t="n">
        <v>0</v>
      </c>
      <c r="P31" t="n">
        <v>0</v>
      </c>
      <c r="Q31" t="n">
        <v>0</v>
      </c>
      <c r="R31" s="2" t="inlineStr"/>
    </row>
    <row r="32" ht="15" customHeight="1">
      <c r="A32" t="inlineStr">
        <is>
          <t>A 25264-2025</t>
        </is>
      </c>
      <c r="B32" s="1" t="n">
        <v>45800.5334375</v>
      </c>
      <c r="C32" s="1" t="n">
        <v>45984</v>
      </c>
      <c r="D32" t="inlineStr">
        <is>
          <t>UPPSALA LÄN</t>
        </is>
      </c>
      <c r="E32" t="inlineStr">
        <is>
          <t>ÄLVKARLEBY</t>
        </is>
      </c>
      <c r="F32" t="inlineStr">
        <is>
          <t>Bergvik skog väst AB</t>
        </is>
      </c>
      <c r="G32" t="n">
        <v>3.4</v>
      </c>
      <c r="H32" t="n">
        <v>0</v>
      </c>
      <c r="I32" t="n">
        <v>0</v>
      </c>
      <c r="J32" t="n">
        <v>0</v>
      </c>
      <c r="K32" t="n">
        <v>0</v>
      </c>
      <c r="L32" t="n">
        <v>0</v>
      </c>
      <c r="M32" t="n">
        <v>0</v>
      </c>
      <c r="N32" t="n">
        <v>0</v>
      </c>
      <c r="O32" t="n">
        <v>0</v>
      </c>
      <c r="P32" t="n">
        <v>0</v>
      </c>
      <c r="Q32" t="n">
        <v>0</v>
      </c>
      <c r="R32" s="2" t="inlineStr"/>
    </row>
    <row r="33" ht="15" customHeight="1">
      <c r="A33" t="inlineStr">
        <is>
          <t>A 50398-2025</t>
        </is>
      </c>
      <c r="B33" s="1" t="n">
        <v>45944.62854166667</v>
      </c>
      <c r="C33" s="1" t="n">
        <v>45984</v>
      </c>
      <c r="D33" t="inlineStr">
        <is>
          <t>UPPSALA LÄN</t>
        </is>
      </c>
      <c r="E33" t="inlineStr">
        <is>
          <t>ÄLVKARLEBY</t>
        </is>
      </c>
      <c r="F33" t="inlineStr">
        <is>
          <t>Bergvik skog väst AB</t>
        </is>
      </c>
      <c r="G33" t="n">
        <v>4.4</v>
      </c>
      <c r="H33" t="n">
        <v>0</v>
      </c>
      <c r="I33" t="n">
        <v>0</v>
      </c>
      <c r="J33" t="n">
        <v>0</v>
      </c>
      <c r="K33" t="n">
        <v>0</v>
      </c>
      <c r="L33" t="n">
        <v>0</v>
      </c>
      <c r="M33" t="n">
        <v>0</v>
      </c>
      <c r="N33" t="n">
        <v>0</v>
      </c>
      <c r="O33" t="n">
        <v>0</v>
      </c>
      <c r="P33" t="n">
        <v>0</v>
      </c>
      <c r="Q33" t="n">
        <v>0</v>
      </c>
      <c r="R33" s="2" t="inlineStr"/>
    </row>
    <row r="34" ht="15" customHeight="1">
      <c r="A34" t="inlineStr">
        <is>
          <t>A 50371-2025</t>
        </is>
      </c>
      <c r="B34" s="1" t="n">
        <v>45944.58696759259</v>
      </c>
      <c r="C34" s="1" t="n">
        <v>45984</v>
      </c>
      <c r="D34" t="inlineStr">
        <is>
          <t>UPPSALA LÄN</t>
        </is>
      </c>
      <c r="E34" t="inlineStr">
        <is>
          <t>ÄLVKARLEBY</t>
        </is>
      </c>
      <c r="F34" t="inlineStr">
        <is>
          <t>Bergvik skog väst AB</t>
        </is>
      </c>
      <c r="G34" t="n">
        <v>1.4</v>
      </c>
      <c r="H34" t="n">
        <v>0</v>
      </c>
      <c r="I34" t="n">
        <v>0</v>
      </c>
      <c r="J34" t="n">
        <v>0</v>
      </c>
      <c r="K34" t="n">
        <v>0</v>
      </c>
      <c r="L34" t="n">
        <v>0</v>
      </c>
      <c r="M34" t="n">
        <v>0</v>
      </c>
      <c r="N34" t="n">
        <v>0</v>
      </c>
      <c r="O34" t="n">
        <v>0</v>
      </c>
      <c r="P34" t="n">
        <v>0</v>
      </c>
      <c r="Q34" t="n">
        <v>0</v>
      </c>
      <c r="R34" s="2" t="inlineStr"/>
    </row>
    <row r="35" ht="15" customHeight="1">
      <c r="A35" t="inlineStr">
        <is>
          <t>A 41615-2025</t>
        </is>
      </c>
      <c r="B35" s="1" t="n">
        <v>45901.69556712963</v>
      </c>
      <c r="C35" s="1" t="n">
        <v>45984</v>
      </c>
      <c r="D35" t="inlineStr">
        <is>
          <t>UPPSALA LÄN</t>
        </is>
      </c>
      <c r="E35" t="inlineStr">
        <is>
          <t>ÄLVKARLEBY</t>
        </is>
      </c>
      <c r="F35" t="inlineStr">
        <is>
          <t>Bergvik skog väst AB</t>
        </is>
      </c>
      <c r="G35" t="n">
        <v>3</v>
      </c>
      <c r="H35" t="n">
        <v>0</v>
      </c>
      <c r="I35" t="n">
        <v>0</v>
      </c>
      <c r="J35" t="n">
        <v>0</v>
      </c>
      <c r="K35" t="n">
        <v>0</v>
      </c>
      <c r="L35" t="n">
        <v>0</v>
      </c>
      <c r="M35" t="n">
        <v>0</v>
      </c>
      <c r="N35" t="n">
        <v>0</v>
      </c>
      <c r="O35" t="n">
        <v>0</v>
      </c>
      <c r="P35" t="n">
        <v>0</v>
      </c>
      <c r="Q35" t="n">
        <v>0</v>
      </c>
      <c r="R35" s="2" t="inlineStr"/>
    </row>
    <row r="36" ht="15" customHeight="1">
      <c r="A36" t="inlineStr">
        <is>
          <t>A 50138-2025</t>
        </is>
      </c>
      <c r="B36" s="1" t="n">
        <v>45943.5653125</v>
      </c>
      <c r="C36" s="1" t="n">
        <v>45984</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26664-2025</t>
        </is>
      </c>
      <c r="B37" s="1" t="n">
        <v>45810</v>
      </c>
      <c r="C37" s="1" t="n">
        <v>45984</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50113-2025</t>
        </is>
      </c>
      <c r="B38" s="1" t="n">
        <v>45943.54452546296</v>
      </c>
      <c r="C38" s="1" t="n">
        <v>45984</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14004-2025</t>
        </is>
      </c>
      <c r="B39" s="1" t="n">
        <v>45740.2997337963</v>
      </c>
      <c r="C39" s="1" t="n">
        <v>45984</v>
      </c>
      <c r="D39" t="inlineStr">
        <is>
          <t>UPPSALA LÄN</t>
        </is>
      </c>
      <c r="E39" t="inlineStr">
        <is>
          <t>ÄLVKARLEBY</t>
        </is>
      </c>
      <c r="F39" t="inlineStr">
        <is>
          <t>Bergvik skog öst AB</t>
        </is>
      </c>
      <c r="G39" t="n">
        <v>10.1</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45984</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45984</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26670-2025</t>
        </is>
      </c>
      <c r="B42" s="1" t="n">
        <v>45810.41489583333</v>
      </c>
      <c r="C42" s="1" t="n">
        <v>45984</v>
      </c>
      <c r="D42" t="inlineStr">
        <is>
          <t>UPPSALA LÄN</t>
        </is>
      </c>
      <c r="E42" t="inlineStr">
        <is>
          <t>ÄLVKARLEBY</t>
        </is>
      </c>
      <c r="F42" t="inlineStr">
        <is>
          <t>Bergvik skog väst AB</t>
        </is>
      </c>
      <c r="G42" t="n">
        <v>1.1</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45984</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50869-2025</t>
        </is>
      </c>
      <c r="B44" s="1" t="n">
        <v>45946.60259259259</v>
      </c>
      <c r="C44" s="1" t="n">
        <v>45984</v>
      </c>
      <c r="D44" t="inlineStr">
        <is>
          <t>UPPSALA LÄN</t>
        </is>
      </c>
      <c r="E44" t="inlineStr">
        <is>
          <t>ÄLVKARLEBY</t>
        </is>
      </c>
      <c r="F44" t="inlineStr">
        <is>
          <t>Bergvik skog väst AB</t>
        </is>
      </c>
      <c r="G44" t="n">
        <v>11.4</v>
      </c>
      <c r="H44" t="n">
        <v>0</v>
      </c>
      <c r="I44" t="n">
        <v>0</v>
      </c>
      <c r="J44" t="n">
        <v>0</v>
      </c>
      <c r="K44" t="n">
        <v>0</v>
      </c>
      <c r="L44" t="n">
        <v>0</v>
      </c>
      <c r="M44" t="n">
        <v>0</v>
      </c>
      <c r="N44" t="n">
        <v>0</v>
      </c>
      <c r="O44" t="n">
        <v>0</v>
      </c>
      <c r="P44" t="n">
        <v>0</v>
      </c>
      <c r="Q44" t="n">
        <v>0</v>
      </c>
      <c r="R44" s="2" t="inlineStr"/>
    </row>
    <row r="45" ht="15" customHeight="1">
      <c r="A45" t="inlineStr">
        <is>
          <t>A 51238-2025</t>
        </is>
      </c>
      <c r="B45" s="1" t="n">
        <v>45947.69753472223</v>
      </c>
      <c r="C45" s="1" t="n">
        <v>45984</v>
      </c>
      <c r="D45" t="inlineStr">
        <is>
          <t>UPPSALA LÄN</t>
        </is>
      </c>
      <c r="E45" t="inlineStr">
        <is>
          <t>ÄLVKARLEBY</t>
        </is>
      </c>
      <c r="F45" t="inlineStr">
        <is>
          <t>Bergvik skog väst AB</t>
        </is>
      </c>
      <c r="G45" t="n">
        <v>6</v>
      </c>
      <c r="H45" t="n">
        <v>0</v>
      </c>
      <c r="I45" t="n">
        <v>0</v>
      </c>
      <c r="J45" t="n">
        <v>0</v>
      </c>
      <c r="K45" t="n">
        <v>0</v>
      </c>
      <c r="L45" t="n">
        <v>0</v>
      </c>
      <c r="M45" t="n">
        <v>0</v>
      </c>
      <c r="N45" t="n">
        <v>0</v>
      </c>
      <c r="O45" t="n">
        <v>0</v>
      </c>
      <c r="P45" t="n">
        <v>0</v>
      </c>
      <c r="Q45" t="n">
        <v>0</v>
      </c>
      <c r="R45" s="2" t="inlineStr"/>
    </row>
    <row r="46" ht="15" customHeight="1">
      <c r="A46" t="inlineStr">
        <is>
          <t>A 51237-2025</t>
        </is>
      </c>
      <c r="B46" s="1" t="n">
        <v>45947.69307870371</v>
      </c>
      <c r="C46" s="1" t="n">
        <v>45984</v>
      </c>
      <c r="D46" t="inlineStr">
        <is>
          <t>UPPSALA LÄN</t>
        </is>
      </c>
      <c r="E46" t="inlineStr">
        <is>
          <t>ÄLVKARLEBY</t>
        </is>
      </c>
      <c r="F46" t="inlineStr">
        <is>
          <t>Bergvik skog väst AB</t>
        </is>
      </c>
      <c r="G46" t="n">
        <v>1.8</v>
      </c>
      <c r="H46" t="n">
        <v>0</v>
      </c>
      <c r="I46" t="n">
        <v>0</v>
      </c>
      <c r="J46" t="n">
        <v>0</v>
      </c>
      <c r="K46" t="n">
        <v>0</v>
      </c>
      <c r="L46" t="n">
        <v>0</v>
      </c>
      <c r="M46" t="n">
        <v>0</v>
      </c>
      <c r="N46" t="n">
        <v>0</v>
      </c>
      <c r="O46" t="n">
        <v>0</v>
      </c>
      <c r="P46" t="n">
        <v>0</v>
      </c>
      <c r="Q46" t="n">
        <v>0</v>
      </c>
      <c r="R46" s="2" t="inlineStr"/>
    </row>
    <row r="47" ht="15" customHeight="1">
      <c r="A47" t="inlineStr">
        <is>
          <t>A 27742-2025</t>
        </is>
      </c>
      <c r="B47" s="1" t="n">
        <v>45815.53724537037</v>
      </c>
      <c r="C47" s="1" t="n">
        <v>45984</v>
      </c>
      <c r="D47" t="inlineStr">
        <is>
          <t>UPPSALA LÄN</t>
        </is>
      </c>
      <c r="E47" t="inlineStr">
        <is>
          <t>ÄLVKARLEBY</t>
        </is>
      </c>
      <c r="F47" t="inlineStr">
        <is>
          <t>Bergvik skog väst AB</t>
        </is>
      </c>
      <c r="G47" t="n">
        <v>1.4</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45984</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28670-2025</t>
        </is>
      </c>
      <c r="B49" s="1" t="n">
        <v>45819.67130787037</v>
      </c>
      <c r="C49" s="1" t="n">
        <v>45984</v>
      </c>
      <c r="D49" t="inlineStr">
        <is>
          <t>UPPSALA LÄN</t>
        </is>
      </c>
      <c r="E49" t="inlineStr">
        <is>
          <t>ÄLVKARLEBY</t>
        </is>
      </c>
      <c r="F49" t="inlineStr">
        <is>
          <t>Bergvik skog väst AB</t>
        </is>
      </c>
      <c r="G49" t="n">
        <v>1.6</v>
      </c>
      <c r="H49" t="n">
        <v>0</v>
      </c>
      <c r="I49" t="n">
        <v>0</v>
      </c>
      <c r="J49" t="n">
        <v>0</v>
      </c>
      <c r="K49" t="n">
        <v>0</v>
      </c>
      <c r="L49" t="n">
        <v>0</v>
      </c>
      <c r="M49" t="n">
        <v>0</v>
      </c>
      <c r="N49" t="n">
        <v>0</v>
      </c>
      <c r="O49" t="n">
        <v>0</v>
      </c>
      <c r="P49" t="n">
        <v>0</v>
      </c>
      <c r="Q49" t="n">
        <v>0</v>
      </c>
      <c r="R49" s="2" t="inlineStr"/>
    </row>
    <row r="50" ht="15" customHeight="1">
      <c r="A50" t="inlineStr">
        <is>
          <t>A 28668-2025</t>
        </is>
      </c>
      <c r="B50" s="1" t="n">
        <v>45819.66650462963</v>
      </c>
      <c r="C50" s="1" t="n">
        <v>45984</v>
      </c>
      <c r="D50" t="inlineStr">
        <is>
          <t>UPPSALA LÄN</t>
        </is>
      </c>
      <c r="E50" t="inlineStr">
        <is>
          <t>ÄLVKARLEBY</t>
        </is>
      </c>
      <c r="F50" t="inlineStr">
        <is>
          <t>Bergvik skog väst AB</t>
        </is>
      </c>
      <c r="G50" t="n">
        <v>8.300000000000001</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45984</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52498-2025</t>
        </is>
      </c>
      <c r="B52" s="1" t="n">
        <v>45954.49314814815</v>
      </c>
      <c r="C52" s="1" t="n">
        <v>45984</v>
      </c>
      <c r="D52" t="inlineStr">
        <is>
          <t>UPPSALA LÄN</t>
        </is>
      </c>
      <c r="E52" t="inlineStr">
        <is>
          <t>ÄLVKARLEBY</t>
        </is>
      </c>
      <c r="F52" t="inlineStr">
        <is>
          <t>Bergvik skog väst AB</t>
        </is>
      </c>
      <c r="G52" t="n">
        <v>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45984</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45984</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45984</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16990-2022</t>
        </is>
      </c>
      <c r="B56" s="1" t="n">
        <v>44676.6122337963</v>
      </c>
      <c r="C56" s="1" t="n">
        <v>45984</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52477-2025</t>
        </is>
      </c>
      <c r="B57" s="1" t="n">
        <v>45954.46980324074</v>
      </c>
      <c r="C57" s="1" t="n">
        <v>45984</v>
      </c>
      <c r="D57" t="inlineStr">
        <is>
          <t>UPPSALA LÄN</t>
        </is>
      </c>
      <c r="E57" t="inlineStr">
        <is>
          <t>ÄLVKARLEBY</t>
        </is>
      </c>
      <c r="F57" t="inlineStr">
        <is>
          <t>Bergvik skog väst AB</t>
        </is>
      </c>
      <c r="G57" t="n">
        <v>5.3</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45984</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45984</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45984</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32221-2025</t>
        </is>
      </c>
      <c r="B61" s="1" t="n">
        <v>45835.5909837963</v>
      </c>
      <c r="C61" s="1" t="n">
        <v>45984</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45984</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45984</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45984</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45033-2025</t>
        </is>
      </c>
      <c r="B65" s="1" t="n">
        <v>45918.70299768518</v>
      </c>
      <c r="C65" s="1" t="n">
        <v>45984</v>
      </c>
      <c r="D65" t="inlineStr">
        <is>
          <t>UPPSALA LÄN</t>
        </is>
      </c>
      <c r="E65" t="inlineStr">
        <is>
          <t>ÄLVKARLEBY</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45984</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45512-2025</t>
        </is>
      </c>
      <c r="B67" s="1" t="n">
        <v>45922.58106481482</v>
      </c>
      <c r="C67" s="1" t="n">
        <v>45984</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46510-2025</t>
        </is>
      </c>
      <c r="B68" s="1" t="n">
        <v>45925.92368055556</v>
      </c>
      <c r="C68" s="1" t="n">
        <v>45984</v>
      </c>
      <c r="D68" t="inlineStr">
        <is>
          <t>UPPSALA LÄN</t>
        </is>
      </c>
      <c r="E68" t="inlineStr">
        <is>
          <t>ÄLVKARLEBY</t>
        </is>
      </c>
      <c r="G68" t="n">
        <v>2.3</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45984</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36626-2025</t>
        </is>
      </c>
      <c r="B70" s="1" t="n">
        <v>45870.66732638889</v>
      </c>
      <c r="C70" s="1" t="n">
        <v>45984</v>
      </c>
      <c r="D70" t="inlineStr">
        <is>
          <t>UPPSALA LÄN</t>
        </is>
      </c>
      <c r="E70" t="inlineStr">
        <is>
          <t>ÄLVKARLEBY</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45984</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56861-2025</t>
        </is>
      </c>
      <c r="B72" s="1" t="n">
        <v>45978.50824074074</v>
      </c>
      <c r="C72" s="1" t="n">
        <v>45984</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967-2021</t>
        </is>
      </c>
      <c r="B73" s="1" t="n">
        <v>44207</v>
      </c>
      <c r="C73" s="1" t="n">
        <v>45984</v>
      </c>
      <c r="D73" t="inlineStr">
        <is>
          <t>UPPSALA LÄN</t>
        </is>
      </c>
      <c r="E73" t="inlineStr">
        <is>
          <t>ÄLVKARLEBY</t>
        </is>
      </c>
      <c r="G73" t="n">
        <v>0.7</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45984</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45984</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45984</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48460-2025</t>
        </is>
      </c>
      <c r="B77" s="1" t="n">
        <v>45935.94372685185</v>
      </c>
      <c r="C77" s="1" t="n">
        <v>45984</v>
      </c>
      <c r="D77" t="inlineStr">
        <is>
          <t>UPPSALA LÄN</t>
        </is>
      </c>
      <c r="E77" t="inlineStr">
        <is>
          <t>ÄLVKARLEBY</t>
        </is>
      </c>
      <c r="F77" t="inlineStr">
        <is>
          <t>Bergvik skog väst AB</t>
        </is>
      </c>
      <c r="G77" t="n">
        <v>1.2</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45984</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19740-2025</t>
        </is>
      </c>
      <c r="B79" s="1" t="n">
        <v>45771</v>
      </c>
      <c r="C79" s="1" t="n">
        <v>45984</v>
      </c>
      <c r="D79" t="inlineStr">
        <is>
          <t>UPPSALA LÄN</t>
        </is>
      </c>
      <c r="E79" t="inlineStr">
        <is>
          <t>ÄLVKARLEBY</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58168-2025</t>
        </is>
      </c>
      <c r="B80" s="1" t="n">
        <v>45982.72024305556</v>
      </c>
      <c r="C80" s="1" t="n">
        <v>45984</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19862-2025</t>
        </is>
      </c>
      <c r="B81" s="1" t="n">
        <v>45771.53560185185</v>
      </c>
      <c r="C81" s="1" t="n">
        <v>45984</v>
      </c>
      <c r="D81" t="inlineStr">
        <is>
          <t>UPPSALA LÄN</t>
        </is>
      </c>
      <c r="E81" t="inlineStr">
        <is>
          <t>ÄLVKARLEBY</t>
        </is>
      </c>
      <c r="F81" t="inlineStr">
        <is>
          <t>Kyrkan</t>
        </is>
      </c>
      <c r="G81" t="n">
        <v>3</v>
      </c>
      <c r="H81" t="n">
        <v>0</v>
      </c>
      <c r="I81" t="n">
        <v>0</v>
      </c>
      <c r="J81" t="n">
        <v>0</v>
      </c>
      <c r="K81" t="n">
        <v>0</v>
      </c>
      <c r="L81" t="n">
        <v>0</v>
      </c>
      <c r="M81" t="n">
        <v>0</v>
      </c>
      <c r="N81" t="n">
        <v>0</v>
      </c>
      <c r="O81" t="n">
        <v>0</v>
      </c>
      <c r="P81" t="n">
        <v>0</v>
      </c>
      <c r="Q81" t="n">
        <v>0</v>
      </c>
      <c r="R81" s="2" t="inlineStr"/>
    </row>
    <row r="82" ht="15" customHeight="1">
      <c r="A82" t="inlineStr">
        <is>
          <t>A 41272-2023</t>
        </is>
      </c>
      <c r="B82" s="1" t="n">
        <v>45174</v>
      </c>
      <c r="C82" s="1" t="n">
        <v>45984</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2183-2024</t>
        </is>
      </c>
      <c r="B83" s="1" t="n">
        <v>45309</v>
      </c>
      <c r="C83" s="1" t="n">
        <v>45984</v>
      </c>
      <c r="D83" t="inlineStr">
        <is>
          <t>UPPSALA LÄN</t>
        </is>
      </c>
      <c r="E83" t="inlineStr">
        <is>
          <t>ÄLVKARLEBY</t>
        </is>
      </c>
      <c r="G83" t="n">
        <v>0.5</v>
      </c>
      <c r="H83" t="n">
        <v>0</v>
      </c>
      <c r="I83" t="n">
        <v>0</v>
      </c>
      <c r="J83" t="n">
        <v>0</v>
      </c>
      <c r="K83" t="n">
        <v>0</v>
      </c>
      <c r="L83" t="n">
        <v>0</v>
      </c>
      <c r="M83" t="n">
        <v>0</v>
      </c>
      <c r="N83" t="n">
        <v>0</v>
      </c>
      <c r="O83" t="n">
        <v>0</v>
      </c>
      <c r="P83" t="n">
        <v>0</v>
      </c>
      <c r="Q83" t="n">
        <v>0</v>
      </c>
      <c r="R83" s="2" t="inlineStr"/>
    </row>
    <row r="84" ht="15" customHeight="1">
      <c r="A84" t="inlineStr">
        <is>
          <t>A 19304-2024</t>
        </is>
      </c>
      <c r="B84" s="1" t="n">
        <v>45428</v>
      </c>
      <c r="C84" s="1" t="n">
        <v>45984</v>
      </c>
      <c r="D84" t="inlineStr">
        <is>
          <t>UPPSALA LÄN</t>
        </is>
      </c>
      <c r="E84" t="inlineStr">
        <is>
          <t>ÄLVKARLEBY</t>
        </is>
      </c>
      <c r="G84" t="n">
        <v>0.2</v>
      </c>
      <c r="H84" t="n">
        <v>0</v>
      </c>
      <c r="I84" t="n">
        <v>0</v>
      </c>
      <c r="J84" t="n">
        <v>0</v>
      </c>
      <c r="K84" t="n">
        <v>0</v>
      </c>
      <c r="L84" t="n">
        <v>0</v>
      </c>
      <c r="M84" t="n">
        <v>0</v>
      </c>
      <c r="N84" t="n">
        <v>0</v>
      </c>
      <c r="O84" t="n">
        <v>0</v>
      </c>
      <c r="P84" t="n">
        <v>0</v>
      </c>
      <c r="Q84" t="n">
        <v>0</v>
      </c>
      <c r="R84" s="2" t="inlineStr"/>
    </row>
    <row r="85" ht="15" customHeight="1">
      <c r="A85" t="inlineStr">
        <is>
          <t>A 11553-2021</t>
        </is>
      </c>
      <c r="B85" s="1" t="n">
        <v>44264.48725694444</v>
      </c>
      <c r="C85" s="1" t="n">
        <v>45984</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43285-2023</t>
        </is>
      </c>
      <c r="B86" s="1" t="n">
        <v>45183.5630787037</v>
      </c>
      <c r="C86" s="1" t="n">
        <v>45984</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3950-2025</t>
        </is>
      </c>
      <c r="B87" s="1" t="n">
        <v>45684</v>
      </c>
      <c r="C87" s="1" t="n">
        <v>45984</v>
      </c>
      <c r="D87" t="inlineStr">
        <is>
          <t>UPPSALA LÄN</t>
        </is>
      </c>
      <c r="E87" t="inlineStr">
        <is>
          <t>ÄLVKARLEBY</t>
        </is>
      </c>
      <c r="G87" t="n">
        <v>3.1</v>
      </c>
      <c r="H87" t="n">
        <v>0</v>
      </c>
      <c r="I87" t="n">
        <v>0</v>
      </c>
      <c r="J87" t="n">
        <v>0</v>
      </c>
      <c r="K87" t="n">
        <v>0</v>
      </c>
      <c r="L87" t="n">
        <v>0</v>
      </c>
      <c r="M87" t="n">
        <v>0</v>
      </c>
      <c r="N87" t="n">
        <v>0</v>
      </c>
      <c r="O87" t="n">
        <v>0</v>
      </c>
      <c r="P87" t="n">
        <v>0</v>
      </c>
      <c r="Q87" t="n">
        <v>0</v>
      </c>
      <c r="R87" s="2" t="inlineStr"/>
    </row>
    <row r="88" ht="15" customHeight="1">
      <c r="A88" t="inlineStr">
        <is>
          <t>A 8030-2025</t>
        </is>
      </c>
      <c r="B88" s="1" t="n">
        <v>45707.59064814815</v>
      </c>
      <c r="C88" s="1" t="n">
        <v>45984</v>
      </c>
      <c r="D88" t="inlineStr">
        <is>
          <t>UPPSALA LÄN</t>
        </is>
      </c>
      <c r="E88" t="inlineStr">
        <is>
          <t>ÄLVKARLEBY</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46113-2023</t>
        </is>
      </c>
      <c r="B89" s="1" t="n">
        <v>45196.54938657407</v>
      </c>
      <c r="C89" s="1" t="n">
        <v>45984</v>
      </c>
      <c r="D89" t="inlineStr">
        <is>
          <t>UPPSALA LÄN</t>
        </is>
      </c>
      <c r="E89" t="inlineStr">
        <is>
          <t>ÄLVKARLEBY</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45984</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45984</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45984</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41929-2024</t>
        </is>
      </c>
      <c r="B93" s="1" t="n">
        <v>45561</v>
      </c>
      <c r="C93" s="1" t="n">
        <v>45984</v>
      </c>
      <c r="D93" t="inlineStr">
        <is>
          <t>UPPSALA LÄN</t>
        </is>
      </c>
      <c r="E93" t="inlineStr">
        <is>
          <t>ÄLVKARLEBY</t>
        </is>
      </c>
      <c r="F93" t="inlineStr">
        <is>
          <t>Bergvik skog väst AB</t>
        </is>
      </c>
      <c r="G93" t="n">
        <v>4.9</v>
      </c>
      <c r="H93" t="n">
        <v>0</v>
      </c>
      <c r="I93" t="n">
        <v>0</v>
      </c>
      <c r="J93" t="n">
        <v>0</v>
      </c>
      <c r="K93" t="n">
        <v>0</v>
      </c>
      <c r="L93" t="n">
        <v>0</v>
      </c>
      <c r="M93" t="n">
        <v>0</v>
      </c>
      <c r="N93" t="n">
        <v>0</v>
      </c>
      <c r="O93" t="n">
        <v>0</v>
      </c>
      <c r="P93" t="n">
        <v>0</v>
      </c>
      <c r="Q93" t="n">
        <v>0</v>
      </c>
      <c r="R93" s="2" t="inlineStr"/>
    </row>
    <row r="94" ht="15" customHeight="1">
      <c r="A94" t="inlineStr">
        <is>
          <t>A 18451-2025</t>
        </is>
      </c>
      <c r="B94" s="1" t="n">
        <v>45762</v>
      </c>
      <c r="C94" s="1" t="n">
        <v>45984</v>
      </c>
      <c r="D94" t="inlineStr">
        <is>
          <t>UPPSALA LÄN</t>
        </is>
      </c>
      <c r="E94" t="inlineStr">
        <is>
          <t>ÄLVKARLEBY</t>
        </is>
      </c>
      <c r="F94" t="inlineStr">
        <is>
          <t>Bergvik skog väst AB</t>
        </is>
      </c>
      <c r="G94" t="n">
        <v>1.2</v>
      </c>
      <c r="H94" t="n">
        <v>0</v>
      </c>
      <c r="I94" t="n">
        <v>0</v>
      </c>
      <c r="J94" t="n">
        <v>0</v>
      </c>
      <c r="K94" t="n">
        <v>0</v>
      </c>
      <c r="L94" t="n">
        <v>0</v>
      </c>
      <c r="M94" t="n">
        <v>0</v>
      </c>
      <c r="N94" t="n">
        <v>0</v>
      </c>
      <c r="O94" t="n">
        <v>0</v>
      </c>
      <c r="P94" t="n">
        <v>0</v>
      </c>
      <c r="Q94" t="n">
        <v>0</v>
      </c>
      <c r="R94" s="2" t="inlineStr"/>
    </row>
    <row r="95" ht="15" customHeight="1">
      <c r="A95" t="inlineStr">
        <is>
          <t>A 14590-2023</t>
        </is>
      </c>
      <c r="B95" s="1" t="n">
        <v>45013.54621527778</v>
      </c>
      <c r="C95" s="1" t="n">
        <v>45984</v>
      </c>
      <c r="D95" t="inlineStr">
        <is>
          <t>UPPSALA LÄN</t>
        </is>
      </c>
      <c r="E95" t="inlineStr">
        <is>
          <t>ÄLVKARLEBY</t>
        </is>
      </c>
      <c r="G95" t="n">
        <v>1.8</v>
      </c>
      <c r="H95" t="n">
        <v>0</v>
      </c>
      <c r="I95" t="n">
        <v>0</v>
      </c>
      <c r="J95" t="n">
        <v>0</v>
      </c>
      <c r="K95" t="n">
        <v>0</v>
      </c>
      <c r="L95" t="n">
        <v>0</v>
      </c>
      <c r="M95" t="n">
        <v>0</v>
      </c>
      <c r="N95" t="n">
        <v>0</v>
      </c>
      <c r="O95" t="n">
        <v>0</v>
      </c>
      <c r="P95" t="n">
        <v>0</v>
      </c>
      <c r="Q95" t="n">
        <v>0</v>
      </c>
      <c r="R95" s="2" t="inlineStr"/>
    </row>
    <row r="96" ht="15" customHeight="1">
      <c r="A96" t="inlineStr">
        <is>
          <t>A 9533-2025</t>
        </is>
      </c>
      <c r="B96" s="1" t="n">
        <v>45715.57082175926</v>
      </c>
      <c r="C96" s="1" t="n">
        <v>45984</v>
      </c>
      <c r="D96" t="inlineStr">
        <is>
          <t>UPPSALA LÄN</t>
        </is>
      </c>
      <c r="E96" t="inlineStr">
        <is>
          <t>ÄLVKARLEBY</t>
        </is>
      </c>
      <c r="G96" t="n">
        <v>2.1</v>
      </c>
      <c r="H96" t="n">
        <v>0</v>
      </c>
      <c r="I96" t="n">
        <v>0</v>
      </c>
      <c r="J96" t="n">
        <v>0</v>
      </c>
      <c r="K96" t="n">
        <v>0</v>
      </c>
      <c r="L96" t="n">
        <v>0</v>
      </c>
      <c r="M96" t="n">
        <v>0</v>
      </c>
      <c r="N96" t="n">
        <v>0</v>
      </c>
      <c r="O96" t="n">
        <v>0</v>
      </c>
      <c r="P96" t="n">
        <v>0</v>
      </c>
      <c r="Q96" t="n">
        <v>0</v>
      </c>
      <c r="R96" s="2" t="inlineStr"/>
    </row>
    <row r="97" ht="15" customHeight="1">
      <c r="A97" t="inlineStr">
        <is>
          <t>A 19697-2025</t>
        </is>
      </c>
      <c r="B97" s="1" t="n">
        <v>45771</v>
      </c>
      <c r="C97" s="1" t="n">
        <v>45984</v>
      </c>
      <c r="D97" t="inlineStr">
        <is>
          <t>UPPSALA LÄN</t>
        </is>
      </c>
      <c r="E97" t="inlineStr">
        <is>
          <t>ÄLVKARLEBY</t>
        </is>
      </c>
      <c r="F97" t="inlineStr">
        <is>
          <t>Bergvik skog väst AB</t>
        </is>
      </c>
      <c r="G97" t="n">
        <v>3.3</v>
      </c>
      <c r="H97" t="n">
        <v>0</v>
      </c>
      <c r="I97" t="n">
        <v>0</v>
      </c>
      <c r="J97" t="n">
        <v>0</v>
      </c>
      <c r="K97" t="n">
        <v>0</v>
      </c>
      <c r="L97" t="n">
        <v>0</v>
      </c>
      <c r="M97" t="n">
        <v>0</v>
      </c>
      <c r="N97" t="n">
        <v>0</v>
      </c>
      <c r="O97" t="n">
        <v>0</v>
      </c>
      <c r="P97" t="n">
        <v>0</v>
      </c>
      <c r="Q97" t="n">
        <v>0</v>
      </c>
      <c r="R97" s="2" t="inlineStr"/>
    </row>
    <row r="98">
      <c r="A98" t="inlineStr">
        <is>
          <t>A 22223-2025</t>
        </is>
      </c>
      <c r="B98" s="1" t="n">
        <v>45785</v>
      </c>
      <c r="C98" s="1" t="n">
        <v>45984</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2025-11-23T10:18:35Z</dcterms:created>
  <dcterms:modified xmlns:dcterms="http://purl.org/dc/terms/" xmlns:xsi="http://www.w3.org/2001/XMLSchema-instance" xsi:type="dcterms:W3CDTF">2025-11-23T10:18:35Z</dcterms:modified>
</cp:coreProperties>
</file>