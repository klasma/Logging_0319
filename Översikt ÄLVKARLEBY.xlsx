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46272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46272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46272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46272</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46272</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61685-2025</t>
        </is>
      </c>
      <c r="B20" t="inlineStr">
        <is>
          <t>avverkningsanmälan</t>
        </is>
      </c>
      <c r="C20" t="inlineStr">
        <is>
          <t>Föryngringsavverkning</t>
        </is>
      </c>
      <c r="D20" s="1" t="n">
        <v>46002</v>
      </c>
      <c r="E20" s="1" t="n">
        <v>46272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46272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46272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46272</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46272</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46272</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46272</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46272</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46272</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46272</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46272</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1673-2026</t>
        </is>
      </c>
      <c r="B31" t="inlineStr">
        <is>
          <t>avverkningsanmälan</t>
        </is>
      </c>
      <c r="C31" t="inlineStr">
        <is>
          <t>Föryngringsavverkning</t>
        </is>
      </c>
      <c r="D31" s="1" t="n">
        <v>46034</v>
      </c>
      <c r="E31" s="1" t="n">
        <v>46272</v>
      </c>
      <c r="F31" t="inlineStr">
        <is>
          <t>UPPSALA LÄN</t>
        </is>
      </c>
      <c r="G31" t="inlineStr">
        <is>
          <t>ÄLVKARLEBY</t>
        </is>
      </c>
      <c r="H31" t="inlineStr">
        <is>
          <t>Bergvik skog väst AB</t>
        </is>
      </c>
      <c r="I31" t="n">
        <v>1.9</v>
      </c>
      <c r="J31" t="n">
        <v>0</v>
      </c>
      <c r="K31" t="n">
        <v>1</v>
      </c>
      <c r="L31" t="n">
        <v>0</v>
      </c>
      <c r="M31" t="n">
        <v>0</v>
      </c>
      <c r="N31" t="n">
        <v>0</v>
      </c>
      <c r="O31" t="n">
        <v>0</v>
      </c>
      <c r="P31" t="n">
        <v>0</v>
      </c>
      <c r="Q31" t="n">
        <v>0</v>
      </c>
      <c r="R31" t="n">
        <v>0</v>
      </c>
      <c r="S31" t="n">
        <v>1</v>
      </c>
      <c r="T31" t="n">
        <v>1</v>
      </c>
      <c r="U31" t="n">
        <v>0</v>
      </c>
      <c r="V31" s="2" t="inlineStr">
        <is>
          <t>Tibast</t>
        </is>
      </c>
      <c r="W31">
        <f>HYPERLINK("https://klasma.github.io/Logging_0319/artfynd/A 1673-2026 artfynd.xlsx", "A 1673-2026")</f>
        <v/>
      </c>
      <c r="X31">
        <f>HYPERLINK("https://klasma.github.io/Logging_0319/kartor/A 1673-2026 karta.png", "A 1673-2026")</f>
        <v/>
      </c>
      <c r="Y31">
        <f>HYPERLINK("https://klasma.github.io/Logging_0319/kartor_geotiff/A 1673-2026 georefererad karta.tif", "A 1673-2026")</f>
        <v/>
      </c>
      <c r="AA31">
        <f>HYPERLINK("https://klasma.github.io/Logging_0319/klagomål/A 1673-2026 FSC-klagomål.docx", "A 1673-2026")</f>
        <v/>
      </c>
      <c r="AB31">
        <f>HYPERLINK("https://klasma.github.io/Logging_0319/klagomålsmail/A 1673-2026 FSC-klagomål mail.docx", "A 1673-2026")</f>
        <v/>
      </c>
      <c r="AC31">
        <f>HYPERLINK("https://klasma.github.io/Logging_0319/tillsyn/A 1673-2026 tillsynsbegäran.docx", "A 1673-2026")</f>
        <v/>
      </c>
      <c r="AD31">
        <f>HYPERLINK("https://klasma.github.io/Logging_0319/tillsynsmail/A 1673-2026 tillsynsbegäran mail.docx", "A 1673-2026")</f>
        <v/>
      </c>
    </row>
    <row r="32" ht="15" customHeight="1">
      <c r="A32" t="inlineStr">
        <is>
          <t>A 70017-2021</t>
        </is>
      </c>
      <c r="B32" t="inlineStr">
        <is>
          <t>avverkningsanmälan</t>
        </is>
      </c>
      <c r="C32" t="inlineStr">
        <is>
          <t>Föryngringsavverkning</t>
        </is>
      </c>
      <c r="D32" s="1" t="n">
        <v>44533</v>
      </c>
      <c r="E32" s="1" t="n">
        <v>46272</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51238-2025</t>
        </is>
      </c>
      <c r="B33" t="inlineStr">
        <is>
          <t>avverkningsanmälan</t>
        </is>
      </c>
      <c r="C33" t="inlineStr">
        <is>
          <t>Föryngringsavverkning</t>
        </is>
      </c>
      <c r="D33" s="1" t="n">
        <v>45947</v>
      </c>
      <c r="E33" s="1" t="n">
        <v>46272</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4131-2026</t>
        </is>
      </c>
      <c r="B34" t="inlineStr">
        <is>
          <t>avverkningsanmälan</t>
        </is>
      </c>
      <c r="C34" t="inlineStr">
        <is>
          <t>Föryngringsavverkning</t>
        </is>
      </c>
      <c r="D34" s="1" t="n">
        <v>46044</v>
      </c>
      <c r="E34" s="1" t="n">
        <v>46272</v>
      </c>
      <c r="F34" t="inlineStr">
        <is>
          <t>UPPSALA LÄN</t>
        </is>
      </c>
      <c r="G34" t="inlineStr">
        <is>
          <t>ÄLVKARLEBY</t>
        </is>
      </c>
      <c r="H34" t="inlineStr">
        <is>
          <t>Bergvik skog öst AB</t>
        </is>
      </c>
      <c r="I34" t="n">
        <v>2.4</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4131-2026 artfynd.xlsx", "A 4131-2026")</f>
        <v/>
      </c>
      <c r="X34">
        <f>HYPERLINK("https://klasma.github.io/Logging_0319/kartor/A 4131-2026 karta.png", "A 4131-2026")</f>
        <v/>
      </c>
      <c r="Y34">
        <f>HYPERLINK("https://klasma.github.io/Logging_0319/kartor_geotiff/A 4131-2026 georefererad karta.tif", "A 4131-2026")</f>
        <v/>
      </c>
      <c r="AA34">
        <f>HYPERLINK("https://klasma.github.io/Logging_0319/klagomål/A 4131-2026 FSC-klagomål.docx", "A 4131-2026")</f>
        <v/>
      </c>
      <c r="AB34">
        <f>HYPERLINK("https://klasma.github.io/Logging_0319/klagomålsmail/A 4131-2026 FSC-klagomål mail.docx", "A 4131-2026")</f>
        <v/>
      </c>
      <c r="AC34">
        <f>HYPERLINK("https://klasma.github.io/Logging_0319/tillsyn/A 4131-2026 tillsynsbegäran.docx", "A 4131-2026")</f>
        <v/>
      </c>
      <c r="AD34">
        <f>HYPERLINK("https://klasma.github.io/Logging_0319/tillsynsmail/A 4131-2026 tillsynsbegäran mail.docx", "A 4131-2026")</f>
        <v/>
      </c>
    </row>
    <row r="35" ht="15" customHeight="1">
      <c r="A35" t="inlineStr">
        <is>
          <t>A 57734-2025</t>
        </is>
      </c>
      <c r="B35" t="inlineStr">
        <is>
          <t>avverkningsanmälan</t>
        </is>
      </c>
      <c r="C35" t="inlineStr">
        <is>
          <t>Föryngringsavverkning</t>
        </is>
      </c>
      <c r="D35" s="1" t="n">
        <v>45981</v>
      </c>
      <c r="E35" s="1" t="n">
        <v>46272</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46272</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46272</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7286-2023</t>
        </is>
      </c>
      <c r="B38" t="inlineStr">
        <is>
          <t>avverkningsanmälan</t>
        </is>
      </c>
      <c r="C38" t="inlineStr">
        <is>
          <t>Avverkning för annat ändamål</t>
        </is>
      </c>
      <c r="D38" s="1" t="n">
        <v>44970</v>
      </c>
      <c r="E38" s="1" t="n">
        <v>46272</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46272</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14127-2026</t>
        </is>
      </c>
      <c r="B40" t="inlineStr">
        <is>
          <t>avverkningsanmälan</t>
        </is>
      </c>
      <c r="C40" t="inlineStr">
        <is>
          <t>Föryngringsavverkning</t>
        </is>
      </c>
      <c r="D40" s="1" t="n">
        <v>46099</v>
      </c>
      <c r="E40" s="1" t="n">
        <v>46272</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46272</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46272</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46272</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46272</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46272</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46272</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46272</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46272</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46272</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46272</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46272</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61839-2025</t>
        </is>
      </c>
      <c r="B52" t="inlineStr">
        <is>
          <t>avverkningsanmälan</t>
        </is>
      </c>
      <c r="C52" t="inlineStr">
        <is>
          <t>Föryngringsavverkning</t>
        </is>
      </c>
      <c r="D52" s="1" t="n">
        <v>46003</v>
      </c>
      <c r="E52" s="1" t="n">
        <v>46272</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26664-2025</t>
        </is>
      </c>
      <c r="B53" t="inlineStr">
        <is>
          <t>avverkningsanmälan</t>
        </is>
      </c>
      <c r="C53" t="inlineStr">
        <is>
          <t>Avverkning för att bevara och utveckla /försöksver</t>
        </is>
      </c>
      <c r="D53" s="1" t="n">
        <v>45810</v>
      </c>
      <c r="E53" s="1" t="n">
        <v>46272</v>
      </c>
      <c r="F53" t="inlineStr">
        <is>
          <t>UPPSALA LÄN</t>
        </is>
      </c>
      <c r="G53" t="inlineStr">
        <is>
          <t>ÄLVKARLEBY</t>
        </is>
      </c>
      <c r="H53" t="inlineStr">
        <is>
          <t>Bergvik skog väst AB</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46272</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46272</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46272</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9533-2025</t>
        </is>
      </c>
      <c r="B57" t="inlineStr">
        <is>
          <t>avverkningsanmälan</t>
        </is>
      </c>
      <c r="C57" t="inlineStr">
        <is>
          <t>Föryngringsavverkning</t>
        </is>
      </c>
      <c r="D57" s="1" t="n">
        <v>45715</v>
      </c>
      <c r="E57" s="1" t="n">
        <v>46272</v>
      </c>
      <c r="F57" t="inlineStr">
        <is>
          <t>UPPSALA LÄN</t>
        </is>
      </c>
      <c r="G57" t="inlineStr">
        <is>
          <t>ÄLVKARLEBY</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46272</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46272</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46272</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46272</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4134-2026</t>
        </is>
      </c>
      <c r="B62" t="inlineStr">
        <is>
          <t>avverkningsanmälan</t>
        </is>
      </c>
      <c r="C62" t="inlineStr">
        <is>
          <t>Föryngringsavverkning</t>
        </is>
      </c>
      <c r="D62" s="1" t="n">
        <v>46044</v>
      </c>
      <c r="E62" s="1" t="n">
        <v>46272</v>
      </c>
      <c r="F62" t="inlineStr">
        <is>
          <t>UPPSALA LÄN</t>
        </is>
      </c>
      <c r="G62" t="inlineStr">
        <is>
          <t>ÄLVKARLEBY</t>
        </is>
      </c>
      <c r="H62" t="inlineStr">
        <is>
          <t>Bergvik skog öst AB</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46272</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46272</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46272</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46272</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46272</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9394-2026</t>
        </is>
      </c>
      <c r="B68" t="inlineStr">
        <is>
          <t>avverkningsanmälan</t>
        </is>
      </c>
      <c r="C68" t="inlineStr">
        <is>
          <t>Föryngringsavverkning</t>
        </is>
      </c>
      <c r="D68" s="1" t="n">
        <v>46071</v>
      </c>
      <c r="E68" s="1" t="n">
        <v>46272</v>
      </c>
      <c r="F68" t="inlineStr">
        <is>
          <t>UPPSALA LÄN</t>
        </is>
      </c>
      <c r="G68" t="inlineStr">
        <is>
          <t>ÄLVKARLEBY</t>
        </is>
      </c>
      <c r="H68" t="inlineStr">
        <is>
          <t>Bergvik skog väst AB</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46272</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14590-2023</t>
        </is>
      </c>
      <c r="B70" t="inlineStr">
        <is>
          <t>avverkningsanmälan</t>
        </is>
      </c>
      <c r="C70" t="inlineStr">
        <is>
          <t>Föryngringsavverkning</t>
        </is>
      </c>
      <c r="D70" s="1" t="n">
        <v>45013</v>
      </c>
      <c r="E70" s="1" t="n">
        <v>46272</v>
      </c>
      <c r="F70" t="inlineStr">
        <is>
          <t>UPPSALA LÄN</t>
        </is>
      </c>
      <c r="G70" t="inlineStr">
        <is>
          <t>ÄLVKARLEBY</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46272</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46272</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11467-2026</t>
        </is>
      </c>
      <c r="B73" t="inlineStr">
        <is>
          <t>avverkningsanmälan</t>
        </is>
      </c>
      <c r="C73" t="inlineStr">
        <is>
          <t>Föryngringsavverkning</t>
        </is>
      </c>
      <c r="D73" s="1" t="n">
        <v>46083</v>
      </c>
      <c r="E73" s="1" t="n">
        <v>46272</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46272</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46272</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11848-2026</t>
        </is>
      </c>
      <c r="B76" t="inlineStr">
        <is>
          <t>avverkningsanmälan</t>
        </is>
      </c>
      <c r="C76" t="inlineStr">
        <is>
          <t>Föryngringsavverkning</t>
        </is>
      </c>
      <c r="D76" s="1" t="n">
        <v>46085</v>
      </c>
      <c r="E76" s="1" t="n">
        <v>46272</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46272</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46272</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36216-2022</t>
        </is>
      </c>
      <c r="B79" t="inlineStr">
        <is>
          <t>avverkningsanmälan</t>
        </is>
      </c>
      <c r="C79" t="inlineStr">
        <is>
          <t>Avverkning för annat ändamål</t>
        </is>
      </c>
      <c r="D79" s="1" t="n">
        <v>44803</v>
      </c>
      <c r="E79" s="1" t="n">
        <v>46272</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46272</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46272</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46272</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46272</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46272</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46272</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46272</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46272</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46272</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46272</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46272</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46272</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46272</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46272</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46272</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2026-09-07T02:05:48Z</dcterms:created>
  <dcterms:modified xmlns:dcterms="http://purl.org/dc/terms/" xmlns:xsi="http://www.w3.org/2001/XMLSchema-instance" xsi:type="dcterms:W3CDTF">2026-09-07T02:05:49Z</dcterms:modified>
</cp:coreProperties>
</file>