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46174</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46174</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46174</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46174</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46174</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21007-2025</t>
        </is>
      </c>
      <c r="B15" s="1" t="n">
        <v>45777</v>
      </c>
      <c r="C15" s="1" t="n">
        <v>46174</v>
      </c>
      <c r="D15" t="inlineStr">
        <is>
          <t>UPPSALA LÄN</t>
        </is>
      </c>
      <c r="E15" t="inlineStr">
        <is>
          <t>ÄLVKARLEBY</t>
        </is>
      </c>
      <c r="F15" t="inlineStr">
        <is>
          <t>Bergvik skog väst AB</t>
        </is>
      </c>
      <c r="G15" t="n">
        <v>5.2</v>
      </c>
      <c r="H15" t="n">
        <v>1</v>
      </c>
      <c r="I15" t="n">
        <v>2</v>
      </c>
      <c r="J15" t="n">
        <v>0</v>
      </c>
      <c r="K15" t="n">
        <v>0</v>
      </c>
      <c r="L15" t="n">
        <v>0</v>
      </c>
      <c r="M15" t="n">
        <v>0</v>
      </c>
      <c r="N15" t="n">
        <v>0</v>
      </c>
      <c r="O15" t="n">
        <v>0</v>
      </c>
      <c r="P15" t="n">
        <v>0</v>
      </c>
      <c r="Q15" t="n">
        <v>3</v>
      </c>
      <c r="R15" s="2" t="inlineStr">
        <is>
          <t>Svart trolldruva
Tibast
Lopplummer (aggregat)</t>
        </is>
      </c>
      <c r="S15">
        <f>HYPERLINK("https://klasma.github.io/Logging_0319/artfynd/A 21007-2025 artfynd.xlsx", "A 21007-2025")</f>
        <v/>
      </c>
      <c r="T15">
        <f>HYPERLINK("https://klasma.github.io/Logging_0319/kartor/A 21007-2025 karta.png", "A 21007-2025")</f>
        <v/>
      </c>
      <c r="V15">
        <f>HYPERLINK("https://klasma.github.io/Logging_0319/klagomål/A 21007-2025 FSC-klagomål.docx", "A 21007-2025")</f>
        <v/>
      </c>
      <c r="W15">
        <f>HYPERLINK("https://klasma.github.io/Logging_0319/klagomålsmail/A 21007-2025 FSC-klagomål mail.docx", "A 21007-2025")</f>
        <v/>
      </c>
      <c r="X15">
        <f>HYPERLINK("https://klasma.github.io/Logging_0319/tillsyn/A 21007-2025 tillsynsbegäran.docx", "A 21007-2025")</f>
        <v/>
      </c>
      <c r="Y15">
        <f>HYPERLINK("https://klasma.github.io/Logging_0319/tillsynsmail/A 21007-2025 tillsynsbegäran mail.docx", "A 21007-2025")</f>
        <v/>
      </c>
    </row>
    <row r="16" ht="15" customHeight="1">
      <c r="A16" t="inlineStr">
        <is>
          <t>A 58480-2025</t>
        </is>
      </c>
      <c r="B16" s="1" t="n">
        <v>45985.64805555555</v>
      </c>
      <c r="C16" s="1" t="n">
        <v>46174</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46174</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46174</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46174</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46174</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9521-2025</t>
        </is>
      </c>
      <c r="B21" s="1" t="n">
        <v>45715.56259259259</v>
      </c>
      <c r="C21" s="1" t="n">
        <v>46174</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39902-2025</t>
        </is>
      </c>
      <c r="B22" s="1" t="n">
        <v>45891.63597222222</v>
      </c>
      <c r="C22" s="1" t="n">
        <v>46174</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46174</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46174</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47207-2025</t>
        </is>
      </c>
      <c r="B25" s="1" t="n">
        <v>45930.37263888889</v>
      </c>
      <c r="C25" s="1" t="n">
        <v>46174</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51238-2025</t>
        </is>
      </c>
      <c r="B26" s="1" t="n">
        <v>45947.69753472223</v>
      </c>
      <c r="C26" s="1" t="n">
        <v>46174</v>
      </c>
      <c r="D26" t="inlineStr">
        <is>
          <t>UPPSALA LÄN</t>
        </is>
      </c>
      <c r="E26" t="inlineStr">
        <is>
          <t>ÄLVKARLEBY</t>
        </is>
      </c>
      <c r="F26" t="inlineStr">
        <is>
          <t>Bergvik skog väst AB</t>
        </is>
      </c>
      <c r="G26" t="n">
        <v>6</v>
      </c>
      <c r="H26" t="n">
        <v>1</v>
      </c>
      <c r="I26" t="n">
        <v>0</v>
      </c>
      <c r="J26" t="n">
        <v>0</v>
      </c>
      <c r="K26" t="n">
        <v>0</v>
      </c>
      <c r="L26" t="n">
        <v>0</v>
      </c>
      <c r="M26" t="n">
        <v>0</v>
      </c>
      <c r="N26" t="n">
        <v>0</v>
      </c>
      <c r="O26" t="n">
        <v>0</v>
      </c>
      <c r="P26" t="n">
        <v>0</v>
      </c>
      <c r="Q26" t="n">
        <v>1</v>
      </c>
      <c r="R26" s="2" t="inlineStr">
        <is>
          <t>Lopplummer (aggregat)</t>
        </is>
      </c>
      <c r="S26">
        <f>HYPERLINK("https://klasma.github.io/Logging_0319/artfynd/A 51238-2025 artfynd.xlsx", "A 51238-2025")</f>
        <v/>
      </c>
      <c r="T26">
        <f>HYPERLINK("https://klasma.github.io/Logging_0319/kartor/A 51238-2025 karta.png", "A 51238-2025")</f>
        <v/>
      </c>
      <c r="V26">
        <f>HYPERLINK("https://klasma.github.io/Logging_0319/klagomål/A 51238-2025 FSC-klagomål.docx", "A 51238-2025")</f>
        <v/>
      </c>
      <c r="W26">
        <f>HYPERLINK("https://klasma.github.io/Logging_0319/klagomålsmail/A 51238-2025 FSC-klagomål mail.docx", "A 51238-2025")</f>
        <v/>
      </c>
      <c r="X26">
        <f>HYPERLINK("https://klasma.github.io/Logging_0319/tillsyn/A 51238-2025 tillsynsbegäran.docx", "A 51238-2025")</f>
        <v/>
      </c>
      <c r="Y26">
        <f>HYPERLINK("https://klasma.github.io/Logging_0319/tillsynsmail/A 51238-2025 tillsynsbegäran mail.docx", "A 51238-2025")</f>
        <v/>
      </c>
    </row>
    <row r="27" ht="15" customHeight="1">
      <c r="A27" t="inlineStr">
        <is>
          <t>A 59993-2025</t>
        </is>
      </c>
      <c r="B27" s="1" t="n">
        <v>45993.56505787037</v>
      </c>
      <c r="C27" s="1" t="n">
        <v>46174</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46174</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46174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46174</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46174</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46174</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46174</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46174</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46174</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38226-2023</t>
        </is>
      </c>
      <c r="B38" s="1" t="n">
        <v>45161</v>
      </c>
      <c r="C38" s="1" t="n">
        <v>46174</v>
      </c>
      <c r="D38" t="inlineStr">
        <is>
          <t>UPPSALA LÄN</t>
        </is>
      </c>
      <c r="E38" t="inlineStr">
        <is>
          <t>ÄLVKARLEBY</t>
        </is>
      </c>
      <c r="F38" t="inlineStr">
        <is>
          <t>Bergvik skog väst AB</t>
        </is>
      </c>
      <c r="G38" t="n">
        <v>4.5</v>
      </c>
      <c r="H38" t="n">
        <v>0</v>
      </c>
      <c r="I38" t="n">
        <v>0</v>
      </c>
      <c r="J38" t="n">
        <v>0</v>
      </c>
      <c r="K38" t="n">
        <v>0</v>
      </c>
      <c r="L38" t="n">
        <v>0</v>
      </c>
      <c r="M38" t="n">
        <v>0</v>
      </c>
      <c r="N38" t="n">
        <v>0</v>
      </c>
      <c r="O38" t="n">
        <v>0</v>
      </c>
      <c r="P38" t="n">
        <v>0</v>
      </c>
      <c r="Q38" t="n">
        <v>0</v>
      </c>
      <c r="R38" s="2" t="inlineStr"/>
    </row>
    <row r="39" ht="15" customHeight="1">
      <c r="A39" t="inlineStr">
        <is>
          <t>A 41276-2023</t>
        </is>
      </c>
      <c r="B39" s="1" t="n">
        <v>45174</v>
      </c>
      <c r="C39" s="1" t="n">
        <v>46174</v>
      </c>
      <c r="D39" t="inlineStr">
        <is>
          <t>UPPSALA LÄN</t>
        </is>
      </c>
      <c r="E39" t="inlineStr">
        <is>
          <t>ÄLVKARLEBY</t>
        </is>
      </c>
      <c r="F39" t="inlineStr">
        <is>
          <t>Bergvik skog väst AB</t>
        </is>
      </c>
      <c r="G39" t="n">
        <v>0.3</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46174</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3950-2025</t>
        </is>
      </c>
      <c r="B41" s="1" t="n">
        <v>45684</v>
      </c>
      <c r="C41" s="1" t="n">
        <v>46174</v>
      </c>
      <c r="D41" t="inlineStr">
        <is>
          <t>UPPSALA LÄN</t>
        </is>
      </c>
      <c r="E41" t="inlineStr">
        <is>
          <t>ÄLVKARLEBY</t>
        </is>
      </c>
      <c r="G41" t="n">
        <v>3.1</v>
      </c>
      <c r="H41" t="n">
        <v>0</v>
      </c>
      <c r="I41" t="n">
        <v>0</v>
      </c>
      <c r="J41" t="n">
        <v>0</v>
      </c>
      <c r="K41" t="n">
        <v>0</v>
      </c>
      <c r="L41" t="n">
        <v>0</v>
      </c>
      <c r="M41" t="n">
        <v>0</v>
      </c>
      <c r="N41" t="n">
        <v>0</v>
      </c>
      <c r="O41" t="n">
        <v>0</v>
      </c>
      <c r="P41" t="n">
        <v>0</v>
      </c>
      <c r="Q41" t="n">
        <v>0</v>
      </c>
      <c r="R41" s="2" t="inlineStr"/>
    </row>
    <row r="42" ht="15" customHeight="1">
      <c r="A42" t="inlineStr">
        <is>
          <t>A 19862-2025</t>
        </is>
      </c>
      <c r="B42" s="1" t="n">
        <v>45771.53560185185</v>
      </c>
      <c r="C42" s="1" t="n">
        <v>46174</v>
      </c>
      <c r="D42" t="inlineStr">
        <is>
          <t>UPPSALA LÄN</t>
        </is>
      </c>
      <c r="E42" t="inlineStr">
        <is>
          <t>ÄLVKARLEBY</t>
        </is>
      </c>
      <c r="F42" t="inlineStr">
        <is>
          <t>Kyrkan</t>
        </is>
      </c>
      <c r="G42" t="n">
        <v>3</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46174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46174</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9533-2025</t>
        </is>
      </c>
      <c r="B45" s="1" t="n">
        <v>45715.57082175926</v>
      </c>
      <c r="C45" s="1" t="n">
        <v>46174</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46174</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41929-2024</t>
        </is>
      </c>
      <c r="B47" s="1" t="n">
        <v>45561</v>
      </c>
      <c r="C47" s="1" t="n">
        <v>46174</v>
      </c>
      <c r="D47" t="inlineStr">
        <is>
          <t>UPPSALA LÄN</t>
        </is>
      </c>
      <c r="E47" t="inlineStr">
        <is>
          <t>ÄLVKARLEBY</t>
        </is>
      </c>
      <c r="F47" t="inlineStr">
        <is>
          <t>Bergvik skog väst AB</t>
        </is>
      </c>
      <c r="G47" t="n">
        <v>4.9</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46174</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19304-2024</t>
        </is>
      </c>
      <c r="B49" s="1" t="n">
        <v>45428</v>
      </c>
      <c r="C49" s="1" t="n">
        <v>46174</v>
      </c>
      <c r="D49" t="inlineStr">
        <is>
          <t>UPPSALA LÄN</t>
        </is>
      </c>
      <c r="E49" t="inlineStr">
        <is>
          <t>ÄLVKARLEBY</t>
        </is>
      </c>
      <c r="G49" t="n">
        <v>0.2</v>
      </c>
      <c r="H49" t="n">
        <v>0</v>
      </c>
      <c r="I49" t="n">
        <v>0</v>
      </c>
      <c r="J49" t="n">
        <v>0</v>
      </c>
      <c r="K49" t="n">
        <v>0</v>
      </c>
      <c r="L49" t="n">
        <v>0</v>
      </c>
      <c r="M49" t="n">
        <v>0</v>
      </c>
      <c r="N49" t="n">
        <v>0</v>
      </c>
      <c r="O49" t="n">
        <v>0</v>
      </c>
      <c r="P49" t="n">
        <v>0</v>
      </c>
      <c r="Q49" t="n">
        <v>0</v>
      </c>
      <c r="R49" s="2" t="inlineStr"/>
    </row>
    <row r="50" ht="15" customHeight="1">
      <c r="A50" t="inlineStr">
        <is>
          <t>A 26664-2025</t>
        </is>
      </c>
      <c r="B50" s="1" t="n">
        <v>45810</v>
      </c>
      <c r="C50" s="1" t="n">
        <v>46174</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39791-2021</t>
        </is>
      </c>
      <c r="B51" s="1" t="n">
        <v>44417</v>
      </c>
      <c r="C51" s="1" t="n">
        <v>46174</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41847-2025</t>
        </is>
      </c>
      <c r="B52" s="1" t="n">
        <v>45902.75265046296</v>
      </c>
      <c r="C52" s="1" t="n">
        <v>46174</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46174</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46174</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46174</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19697-2025</t>
        </is>
      </c>
      <c r="B56" s="1" t="n">
        <v>45771</v>
      </c>
      <c r="C56" s="1" t="n">
        <v>46174</v>
      </c>
      <c r="D56" t="inlineStr">
        <is>
          <t>UPPSALA LÄN</t>
        </is>
      </c>
      <c r="E56" t="inlineStr">
        <is>
          <t>ÄLVKARLEBY</t>
        </is>
      </c>
      <c r="F56" t="inlineStr">
        <is>
          <t>Bergvik skog väst AB</t>
        </is>
      </c>
      <c r="G56" t="n">
        <v>3.3</v>
      </c>
      <c r="H56" t="n">
        <v>0</v>
      </c>
      <c r="I56" t="n">
        <v>0</v>
      </c>
      <c r="J56" t="n">
        <v>0</v>
      </c>
      <c r="K56" t="n">
        <v>0</v>
      </c>
      <c r="L56" t="n">
        <v>0</v>
      </c>
      <c r="M56" t="n">
        <v>0</v>
      </c>
      <c r="N56" t="n">
        <v>0</v>
      </c>
      <c r="O56" t="n">
        <v>0</v>
      </c>
      <c r="P56" t="n">
        <v>0</v>
      </c>
      <c r="Q56" t="n">
        <v>0</v>
      </c>
      <c r="R56" s="2" t="inlineStr"/>
    </row>
    <row r="57" ht="15" customHeight="1">
      <c r="A57" t="inlineStr">
        <is>
          <t>A 26815-2022</t>
        </is>
      </c>
      <c r="B57" s="1" t="n">
        <v>44740.44644675926</v>
      </c>
      <c r="C57" s="1" t="n">
        <v>46174</v>
      </c>
      <c r="D57" t="inlineStr">
        <is>
          <t>UPPSALA LÄN</t>
        </is>
      </c>
      <c r="E57" t="inlineStr">
        <is>
          <t>ÄLVKARLEBY</t>
        </is>
      </c>
      <c r="G57" t="n">
        <v>5.8</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46174</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46174</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46174</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46174</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46174</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46174</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14590-2023</t>
        </is>
      </c>
      <c r="B64" s="1" t="n">
        <v>45013.54621527778</v>
      </c>
      <c r="C64" s="1" t="n">
        <v>46174</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7286-2023</t>
        </is>
      </c>
      <c r="B65" s="1" t="n">
        <v>44970</v>
      </c>
      <c r="C65" s="1" t="n">
        <v>46174</v>
      </c>
      <c r="D65" t="inlineStr">
        <is>
          <t>UPPSALA LÄN</t>
        </is>
      </c>
      <c r="E65" t="inlineStr">
        <is>
          <t>ÄLVKARLEBY</t>
        </is>
      </c>
      <c r="F65" t="inlineStr">
        <is>
          <t>Bergvik skog väst AB</t>
        </is>
      </c>
      <c r="G65" t="n">
        <v>2.5</v>
      </c>
      <c r="H65" t="n">
        <v>0</v>
      </c>
      <c r="I65" t="n">
        <v>0</v>
      </c>
      <c r="J65" t="n">
        <v>0</v>
      </c>
      <c r="K65" t="n">
        <v>0</v>
      </c>
      <c r="L65" t="n">
        <v>0</v>
      </c>
      <c r="M65" t="n">
        <v>0</v>
      </c>
      <c r="N65" t="n">
        <v>0</v>
      </c>
      <c r="O65" t="n">
        <v>0</v>
      </c>
      <c r="P65" t="n">
        <v>0</v>
      </c>
      <c r="Q65" t="n">
        <v>0</v>
      </c>
      <c r="R65" s="2" t="inlineStr"/>
    </row>
    <row r="66" ht="15" customHeight="1">
      <c r="A66" t="inlineStr">
        <is>
          <t>A 50138-2025</t>
        </is>
      </c>
      <c r="B66" s="1" t="n">
        <v>45943.5653125</v>
      </c>
      <c r="C66" s="1" t="n">
        <v>46174</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50113-2025</t>
        </is>
      </c>
      <c r="B67" s="1" t="n">
        <v>45943.54452546296</v>
      </c>
      <c r="C67" s="1" t="n">
        <v>46174</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46174</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46174</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46174</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51237-2025</t>
        </is>
      </c>
      <c r="B71" s="1" t="n">
        <v>45947.69307870371</v>
      </c>
      <c r="C71" s="1" t="n">
        <v>46174</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46174</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41272-2023</t>
        </is>
      </c>
      <c r="B73" s="1" t="n">
        <v>45174</v>
      </c>
      <c r="C73" s="1" t="n">
        <v>46174</v>
      </c>
      <c r="D73" t="inlineStr">
        <is>
          <t>UPPSALA LÄN</t>
        </is>
      </c>
      <c r="E73" t="inlineStr">
        <is>
          <t>ÄLVKARLEBY</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46174</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46174</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46174</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53184-2025</t>
        </is>
      </c>
      <c r="B77" s="1" t="n">
        <v>45958</v>
      </c>
      <c r="C77" s="1" t="n">
        <v>46174</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46174</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22223-2025</t>
        </is>
      </c>
      <c r="B79" s="1" t="n">
        <v>45785</v>
      </c>
      <c r="C79" s="1" t="n">
        <v>46174</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17851-2026</t>
        </is>
      </c>
      <c r="B80" s="1" t="n">
        <v>46122.481875</v>
      </c>
      <c r="C80" s="1" t="n">
        <v>46174</v>
      </c>
      <c r="D80" t="inlineStr">
        <is>
          <t>UPPSALA LÄN</t>
        </is>
      </c>
      <c r="E80" t="inlineStr">
        <is>
          <t>ÄLVKARLEBY</t>
        </is>
      </c>
      <c r="F80" t="inlineStr">
        <is>
          <t>Bergvik skog öst AB</t>
        </is>
      </c>
      <c r="G80" t="n">
        <v>3.6</v>
      </c>
      <c r="H80" t="n">
        <v>0</v>
      </c>
      <c r="I80" t="n">
        <v>0</v>
      </c>
      <c r="J80" t="n">
        <v>0</v>
      </c>
      <c r="K80" t="n">
        <v>0</v>
      </c>
      <c r="L80" t="n">
        <v>0</v>
      </c>
      <c r="M80" t="n">
        <v>0</v>
      </c>
      <c r="N80" t="n">
        <v>0</v>
      </c>
      <c r="O80" t="n">
        <v>0</v>
      </c>
      <c r="P80" t="n">
        <v>0</v>
      </c>
      <c r="Q80" t="n">
        <v>0</v>
      </c>
      <c r="R80" s="2" t="inlineStr"/>
    </row>
    <row r="81" ht="15" customHeight="1">
      <c r="A81" t="inlineStr">
        <is>
          <t>A 56861-2025</t>
        </is>
      </c>
      <c r="B81" s="1" t="n">
        <v>45978.50824074074</v>
      </c>
      <c r="C81" s="1" t="n">
        <v>46174</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57734-2025</t>
        </is>
      </c>
      <c r="B82" s="1" t="n">
        <v>45981.51148148148</v>
      </c>
      <c r="C82" s="1" t="n">
        <v>46174</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46174</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46174</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46174</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46174</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46174</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24591-2025</t>
        </is>
      </c>
      <c r="B88" s="1" t="n">
        <v>45798.53666666667</v>
      </c>
      <c r="C88" s="1" t="n">
        <v>46174</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46174</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25330-2025</t>
        </is>
      </c>
      <c r="B90" s="1" t="n">
        <v>45800.59114583334</v>
      </c>
      <c r="C90" s="1" t="n">
        <v>46174</v>
      </c>
      <c r="D90" t="inlineStr">
        <is>
          <t>UPPSALA LÄN</t>
        </is>
      </c>
      <c r="E90" t="inlineStr">
        <is>
          <t>ÄLVKARLEBY</t>
        </is>
      </c>
      <c r="F90" t="inlineStr">
        <is>
          <t>Bergvik skog väst AB</t>
        </is>
      </c>
      <c r="G90" t="n">
        <v>5</v>
      </c>
      <c r="H90" t="n">
        <v>0</v>
      </c>
      <c r="I90" t="n">
        <v>0</v>
      </c>
      <c r="J90" t="n">
        <v>0</v>
      </c>
      <c r="K90" t="n">
        <v>0</v>
      </c>
      <c r="L90" t="n">
        <v>0</v>
      </c>
      <c r="M90" t="n">
        <v>0</v>
      </c>
      <c r="N90" t="n">
        <v>0</v>
      </c>
      <c r="O90" t="n">
        <v>0</v>
      </c>
      <c r="P90" t="n">
        <v>0</v>
      </c>
      <c r="Q90" t="n">
        <v>0</v>
      </c>
      <c r="R90" s="2" t="inlineStr"/>
    </row>
    <row r="91" ht="15" customHeight="1">
      <c r="A91" t="inlineStr">
        <is>
          <t>A 25264-2025</t>
        </is>
      </c>
      <c r="B91" s="1" t="n">
        <v>45800.5334375</v>
      </c>
      <c r="C91" s="1" t="n">
        <v>46174</v>
      </c>
      <c r="D91" t="inlineStr">
        <is>
          <t>UPPSALA LÄN</t>
        </is>
      </c>
      <c r="E91" t="inlineStr">
        <is>
          <t>ÄLVKARLEBY</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61694-2025</t>
        </is>
      </c>
      <c r="B92" s="1" t="n">
        <v>46002.52361111111</v>
      </c>
      <c r="C92" s="1" t="n">
        <v>46174</v>
      </c>
      <c r="D92" t="inlineStr">
        <is>
          <t>UPPSALA LÄN</t>
        </is>
      </c>
      <c r="E92" t="inlineStr">
        <is>
          <t>ÄLVKARLEBY</t>
        </is>
      </c>
      <c r="F92" t="inlineStr">
        <is>
          <t>Bergvik skog öst AB</t>
        </is>
      </c>
      <c r="G92" t="n">
        <v>1.5</v>
      </c>
      <c r="H92" t="n">
        <v>0</v>
      </c>
      <c r="I92" t="n">
        <v>0</v>
      </c>
      <c r="J92" t="n">
        <v>0</v>
      </c>
      <c r="K92" t="n">
        <v>0</v>
      </c>
      <c r="L92" t="n">
        <v>0</v>
      </c>
      <c r="M92" t="n">
        <v>0</v>
      </c>
      <c r="N92" t="n">
        <v>0</v>
      </c>
      <c r="O92" t="n">
        <v>0</v>
      </c>
      <c r="P92" t="n">
        <v>0</v>
      </c>
      <c r="Q92" t="n">
        <v>0</v>
      </c>
      <c r="R92" s="2" t="inlineStr"/>
    </row>
    <row r="93" ht="15" customHeight="1">
      <c r="A93" t="inlineStr">
        <is>
          <t>A 61685-2025</t>
        </is>
      </c>
      <c r="B93" s="1" t="n">
        <v>46002.503125</v>
      </c>
      <c r="C93" s="1" t="n">
        <v>46174</v>
      </c>
      <c r="D93" t="inlineStr">
        <is>
          <t>UPPSALA LÄN</t>
        </is>
      </c>
      <c r="E93" t="inlineStr">
        <is>
          <t>ÄLVKARLEBY</t>
        </is>
      </c>
      <c r="F93" t="inlineStr">
        <is>
          <t>Bergvik skog öst AB</t>
        </is>
      </c>
      <c r="G93" t="n">
        <v>1</v>
      </c>
      <c r="H93" t="n">
        <v>0</v>
      </c>
      <c r="I93" t="n">
        <v>0</v>
      </c>
      <c r="J93" t="n">
        <v>0</v>
      </c>
      <c r="K93" t="n">
        <v>0</v>
      </c>
      <c r="L93" t="n">
        <v>0</v>
      </c>
      <c r="M93" t="n">
        <v>0</v>
      </c>
      <c r="N93" t="n">
        <v>0</v>
      </c>
      <c r="O93" t="n">
        <v>0</v>
      </c>
      <c r="P93" t="n">
        <v>0</v>
      </c>
      <c r="Q93" t="n">
        <v>0</v>
      </c>
      <c r="R93" s="2" t="inlineStr"/>
    </row>
    <row r="94" ht="15" customHeight="1">
      <c r="A94" t="inlineStr">
        <is>
          <t>A 61691-2025</t>
        </is>
      </c>
      <c r="B94" s="1" t="n">
        <v>46002.51318287037</v>
      </c>
      <c r="C94" s="1" t="n">
        <v>46174</v>
      </c>
      <c r="D94" t="inlineStr">
        <is>
          <t>UPPSALA LÄN</t>
        </is>
      </c>
      <c r="E94" t="inlineStr">
        <is>
          <t>ÄLVKARLEBY</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46174</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62938-2025</t>
        </is>
      </c>
      <c r="B96" s="1" t="n">
        <v>46009.42092592592</v>
      </c>
      <c r="C96" s="1" t="n">
        <v>46174</v>
      </c>
      <c r="D96" t="inlineStr">
        <is>
          <t>UPPSALA LÄN</t>
        </is>
      </c>
      <c r="E96" t="inlineStr">
        <is>
          <t>ÄLVKARLEBY</t>
        </is>
      </c>
      <c r="F96" t="inlineStr">
        <is>
          <t>Bergvik skog väst AB</t>
        </is>
      </c>
      <c r="G96" t="n">
        <v>10.2</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46174</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63183-2025</t>
        </is>
      </c>
      <c r="B98" s="1" t="n">
        <v>46010.42908564815</v>
      </c>
      <c r="C98" s="1" t="n">
        <v>46174</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63365-2025</t>
        </is>
      </c>
      <c r="B99" s="1" t="n">
        <v>46010.70717592593</v>
      </c>
      <c r="C99" s="1" t="n">
        <v>46174</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26670-2025</t>
        </is>
      </c>
      <c r="B100" s="1" t="n">
        <v>45810.41489583333</v>
      </c>
      <c r="C100" s="1" t="n">
        <v>46174</v>
      </c>
      <c r="D100" t="inlineStr">
        <is>
          <t>UPPSALA LÄN</t>
        </is>
      </c>
      <c r="E100" t="inlineStr">
        <is>
          <t>ÄLVKARLEBY</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15739-2025</t>
        </is>
      </c>
      <c r="B101" s="1" t="n">
        <v>45748.54612268518</v>
      </c>
      <c r="C101" s="1" t="n">
        <v>46174</v>
      </c>
      <c r="D101" t="inlineStr">
        <is>
          <t>UPPSALA LÄN</t>
        </is>
      </c>
      <c r="E101" t="inlineStr">
        <is>
          <t>ÄLVKARLEBY</t>
        </is>
      </c>
      <c r="F101" t="inlineStr">
        <is>
          <t>Kyrkan</t>
        </is>
      </c>
      <c r="G101" t="n">
        <v>2.4</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46174</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27741-2025</t>
        </is>
      </c>
      <c r="B103" s="1" t="n">
        <v>45815.5346875</v>
      </c>
      <c r="C103" s="1" t="n">
        <v>46174</v>
      </c>
      <c r="D103" t="inlineStr">
        <is>
          <t>UPPSALA LÄN</t>
        </is>
      </c>
      <c r="E103" t="inlineStr">
        <is>
          <t>ÄLVKARLEBY</t>
        </is>
      </c>
      <c r="F103" t="inlineStr">
        <is>
          <t>Bergvik skog väst AB</t>
        </is>
      </c>
      <c r="G103" t="n">
        <v>4.4</v>
      </c>
      <c r="H103" t="n">
        <v>0</v>
      </c>
      <c r="I103" t="n">
        <v>0</v>
      </c>
      <c r="J103" t="n">
        <v>0</v>
      </c>
      <c r="K103" t="n">
        <v>0</v>
      </c>
      <c r="L103" t="n">
        <v>0</v>
      </c>
      <c r="M103" t="n">
        <v>0</v>
      </c>
      <c r="N103" t="n">
        <v>0</v>
      </c>
      <c r="O103" t="n">
        <v>0</v>
      </c>
      <c r="P103" t="n">
        <v>0</v>
      </c>
      <c r="Q103" t="n">
        <v>0</v>
      </c>
      <c r="R103" s="2" t="inlineStr"/>
    </row>
    <row r="104" ht="15" customHeight="1">
      <c r="A104" t="inlineStr">
        <is>
          <t>A 27742-2025</t>
        </is>
      </c>
      <c r="B104" s="1" t="n">
        <v>45815.53724537037</v>
      </c>
      <c r="C104" s="1" t="n">
        <v>46174</v>
      </c>
      <c r="D104" t="inlineStr">
        <is>
          <t>UPPSALA LÄN</t>
        </is>
      </c>
      <c r="E104" t="inlineStr">
        <is>
          <t>ÄLVKARLEBY</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28670-2025</t>
        </is>
      </c>
      <c r="B105" s="1" t="n">
        <v>45819.67130787037</v>
      </c>
      <c r="C105" s="1" t="n">
        <v>46174</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28668-2025</t>
        </is>
      </c>
      <c r="B106" s="1" t="n">
        <v>45819.66650462963</v>
      </c>
      <c r="C106" s="1" t="n">
        <v>46174</v>
      </c>
      <c r="D106" t="inlineStr">
        <is>
          <t>UPPSALA LÄN</t>
        </is>
      </c>
      <c r="E106" t="inlineStr">
        <is>
          <t>ÄLVKARLEBY</t>
        </is>
      </c>
      <c r="F106" t="inlineStr">
        <is>
          <t>Bergvik skog väst AB</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1673-2026</t>
        </is>
      </c>
      <c r="B107" s="1" t="n">
        <v>46034.56863425926</v>
      </c>
      <c r="C107" s="1" t="n">
        <v>46174</v>
      </c>
      <c r="D107" t="inlineStr">
        <is>
          <t>UPPSALA LÄN</t>
        </is>
      </c>
      <c r="E107" t="inlineStr">
        <is>
          <t>ÄLVKARLEBY</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30483-2025</t>
        </is>
      </c>
      <c r="B108" s="1" t="n">
        <v>45828.68988425926</v>
      </c>
      <c r="C108" s="1" t="n">
        <v>46174</v>
      </c>
      <c r="D108" t="inlineStr">
        <is>
          <t>UPPSALA LÄN</t>
        </is>
      </c>
      <c r="E108" t="inlineStr">
        <is>
          <t>ÄLVKARLEBY</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4131-2026</t>
        </is>
      </c>
      <c r="B109" s="1" t="n">
        <v>46044.62451388889</v>
      </c>
      <c r="C109" s="1" t="n">
        <v>46174</v>
      </c>
      <c r="D109" t="inlineStr">
        <is>
          <t>UPPSALA LÄN</t>
        </is>
      </c>
      <c r="E109" t="inlineStr">
        <is>
          <t>ÄLVKARLEBY</t>
        </is>
      </c>
      <c r="F109" t="inlineStr">
        <is>
          <t>Bergvik skog öst AB</t>
        </is>
      </c>
      <c r="G109" t="n">
        <v>2.4</v>
      </c>
      <c r="H109" t="n">
        <v>0</v>
      </c>
      <c r="I109" t="n">
        <v>0</v>
      </c>
      <c r="J109" t="n">
        <v>0</v>
      </c>
      <c r="K109" t="n">
        <v>0</v>
      </c>
      <c r="L109" t="n">
        <v>0</v>
      </c>
      <c r="M109" t="n">
        <v>0</v>
      </c>
      <c r="N109" t="n">
        <v>0</v>
      </c>
      <c r="O109" t="n">
        <v>0</v>
      </c>
      <c r="P109" t="n">
        <v>0</v>
      </c>
      <c r="Q109" t="n">
        <v>0</v>
      </c>
      <c r="R109" s="2" t="inlineStr"/>
    </row>
    <row r="110" ht="15" customHeight="1">
      <c r="A110" t="inlineStr">
        <is>
          <t>A 4134-2026</t>
        </is>
      </c>
      <c r="B110" s="1" t="n">
        <v>46044.6280787037</v>
      </c>
      <c r="C110" s="1" t="n">
        <v>46174</v>
      </c>
      <c r="D110" t="inlineStr">
        <is>
          <t>UPPSALA LÄN</t>
        </is>
      </c>
      <c r="E110" t="inlineStr">
        <is>
          <t>ÄLVKARLEBY</t>
        </is>
      </c>
      <c r="F110" t="inlineStr">
        <is>
          <t>Bergvik skog öst AB</t>
        </is>
      </c>
      <c r="G110" t="n">
        <v>5.1</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46174</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4133-2026</t>
        </is>
      </c>
      <c r="B112" s="1" t="n">
        <v>46044.626875</v>
      </c>
      <c r="C112" s="1" t="n">
        <v>46174</v>
      </c>
      <c r="D112" t="inlineStr">
        <is>
          <t>UPPSALA LÄN</t>
        </is>
      </c>
      <c r="E112" t="inlineStr">
        <is>
          <t>ÄLVKARLEBY</t>
        </is>
      </c>
      <c r="F112" t="inlineStr">
        <is>
          <t>Bergvik skog öst AB</t>
        </is>
      </c>
      <c r="G112" t="n">
        <v>4.1</v>
      </c>
      <c r="H112" t="n">
        <v>0</v>
      </c>
      <c r="I112" t="n">
        <v>0</v>
      </c>
      <c r="J112" t="n">
        <v>0</v>
      </c>
      <c r="K112" t="n">
        <v>0</v>
      </c>
      <c r="L112" t="n">
        <v>0</v>
      </c>
      <c r="M112" t="n">
        <v>0</v>
      </c>
      <c r="N112" t="n">
        <v>0</v>
      </c>
      <c r="O112" t="n">
        <v>0</v>
      </c>
      <c r="P112" t="n">
        <v>0</v>
      </c>
      <c r="Q112" t="n">
        <v>0</v>
      </c>
      <c r="R112" s="2" t="inlineStr"/>
    </row>
    <row r="113" ht="15" customHeight="1">
      <c r="A113" t="inlineStr">
        <is>
          <t>A 30944-2025</t>
        </is>
      </c>
      <c r="B113" s="1" t="n">
        <v>45832.41182870371</v>
      </c>
      <c r="C113" s="1" t="n">
        <v>46174</v>
      </c>
      <c r="D113" t="inlineStr">
        <is>
          <t>UPPSALA LÄN</t>
        </is>
      </c>
      <c r="E113" t="inlineStr">
        <is>
          <t>ÄLVKARLEBY</t>
        </is>
      </c>
      <c r="F113" t="inlineStr">
        <is>
          <t>Bergvik skog öst AB</t>
        </is>
      </c>
      <c r="G113" t="n">
        <v>3.4</v>
      </c>
      <c r="H113" t="n">
        <v>0</v>
      </c>
      <c r="I113" t="n">
        <v>0</v>
      </c>
      <c r="J113" t="n">
        <v>0</v>
      </c>
      <c r="K113" t="n">
        <v>0</v>
      </c>
      <c r="L113" t="n">
        <v>0</v>
      </c>
      <c r="M113" t="n">
        <v>0</v>
      </c>
      <c r="N113" t="n">
        <v>0</v>
      </c>
      <c r="O113" t="n">
        <v>0</v>
      </c>
      <c r="P113" t="n">
        <v>0</v>
      </c>
      <c r="Q113" t="n">
        <v>0</v>
      </c>
      <c r="R113" s="2" t="inlineStr"/>
    </row>
    <row r="114" ht="15" customHeight="1">
      <c r="A114" t="inlineStr">
        <is>
          <t>A 32187-2025</t>
        </is>
      </c>
      <c r="B114" s="1" t="n">
        <v>45835.56949074074</v>
      </c>
      <c r="C114" s="1" t="n">
        <v>46174</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32203-2025</t>
        </is>
      </c>
      <c r="B115" s="1" t="n">
        <v>45835.57951388889</v>
      </c>
      <c r="C115" s="1" t="n">
        <v>46174</v>
      </c>
      <c r="D115" t="inlineStr">
        <is>
          <t>UPPSALA LÄN</t>
        </is>
      </c>
      <c r="E115" t="inlineStr">
        <is>
          <t>ÄLVKARLEBY</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32186-2025</t>
        </is>
      </c>
      <c r="B116" s="1" t="n">
        <v>45835.5667824074</v>
      </c>
      <c r="C116" s="1" t="n">
        <v>46174</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32212-2025</t>
        </is>
      </c>
      <c r="B117" s="1" t="n">
        <v>45835.58509259259</v>
      </c>
      <c r="C117" s="1" t="n">
        <v>46174</v>
      </c>
      <c r="D117" t="inlineStr">
        <is>
          <t>UPPSALA LÄN</t>
        </is>
      </c>
      <c r="E117" t="inlineStr">
        <is>
          <t>ÄLVKARLEBY</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32221-2025</t>
        </is>
      </c>
      <c r="B118" s="1" t="n">
        <v>45835.5909837963</v>
      </c>
      <c r="C118" s="1" t="n">
        <v>46174</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9394-2026</t>
        </is>
      </c>
      <c r="B119" s="1" t="n">
        <v>46071.36576388889</v>
      </c>
      <c r="C119" s="1" t="n">
        <v>46174</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11467-2026</t>
        </is>
      </c>
      <c r="B120" s="1" t="n">
        <v>46083.58950231481</v>
      </c>
      <c r="C120" s="1" t="n">
        <v>46174</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11848-2026</t>
        </is>
      </c>
      <c r="B121" s="1" t="n">
        <v>46085.45927083334</v>
      </c>
      <c r="C121" s="1" t="n">
        <v>46174</v>
      </c>
      <c r="D121" t="inlineStr">
        <is>
          <t>UPPSALA LÄN</t>
        </is>
      </c>
      <c r="E121" t="inlineStr">
        <is>
          <t>ÄLVKARLEBY</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36626-2025</t>
        </is>
      </c>
      <c r="B122" s="1" t="n">
        <v>45870.66732638889</v>
      </c>
      <c r="C122" s="1" t="n">
        <v>46174</v>
      </c>
      <c r="D122" t="inlineStr">
        <is>
          <t>UPPSALA LÄN</t>
        </is>
      </c>
      <c r="E122" t="inlineStr">
        <is>
          <t>ÄLVKARLEBY</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14127-2026</t>
        </is>
      </c>
      <c r="B123" s="1" t="n">
        <v>46099.44534722222</v>
      </c>
      <c r="C123" s="1" t="n">
        <v>46174</v>
      </c>
      <c r="D123" t="inlineStr">
        <is>
          <t>UPPSALA LÄN</t>
        </is>
      </c>
      <c r="E123" t="inlineStr">
        <is>
          <t>ÄLVKARLEBY</t>
        </is>
      </c>
      <c r="G123" t="n">
        <v>1.7</v>
      </c>
      <c r="H123" t="n">
        <v>0</v>
      </c>
      <c r="I123" t="n">
        <v>0</v>
      </c>
      <c r="J123" t="n">
        <v>0</v>
      </c>
      <c r="K123" t="n">
        <v>0</v>
      </c>
      <c r="L123" t="n">
        <v>0</v>
      </c>
      <c r="M123" t="n">
        <v>0</v>
      </c>
      <c r="N123" t="n">
        <v>0</v>
      </c>
      <c r="O123" t="n">
        <v>0</v>
      </c>
      <c r="P123" t="n">
        <v>0</v>
      </c>
      <c r="Q123" t="n">
        <v>0</v>
      </c>
      <c r="R123" s="2" t="inlineStr"/>
    </row>
    <row r="124" ht="15" customHeight="1">
      <c r="A124" t="inlineStr">
        <is>
          <t>A 14091-2026</t>
        </is>
      </c>
      <c r="B124" s="1" t="n">
        <v>46099.38484953704</v>
      </c>
      <c r="C124" s="1" t="n">
        <v>46174</v>
      </c>
      <c r="D124" t="inlineStr">
        <is>
          <t>UPPSALA LÄN</t>
        </is>
      </c>
      <c r="E124" t="inlineStr">
        <is>
          <t>ÄLVKARLEBY</t>
        </is>
      </c>
      <c r="G124" t="n">
        <v>0.7</v>
      </c>
      <c r="H124" t="n">
        <v>0</v>
      </c>
      <c r="I124" t="n">
        <v>0</v>
      </c>
      <c r="J124" t="n">
        <v>0</v>
      </c>
      <c r="K124" t="n">
        <v>0</v>
      </c>
      <c r="L124" t="n">
        <v>0</v>
      </c>
      <c r="M124" t="n">
        <v>0</v>
      </c>
      <c r="N124" t="n">
        <v>0</v>
      </c>
      <c r="O124" t="n">
        <v>0</v>
      </c>
      <c r="P124" t="n">
        <v>0</v>
      </c>
      <c r="Q124" t="n">
        <v>0</v>
      </c>
      <c r="R124" s="2" t="inlineStr"/>
    </row>
    <row r="125">
      <c r="A125" t="inlineStr">
        <is>
          <t>A 22563-2026</t>
        </is>
      </c>
      <c r="B125" s="1" t="n">
        <v>46155.55376157408</v>
      </c>
      <c r="C125" s="1" t="n">
        <v>46174</v>
      </c>
      <c r="D125" t="inlineStr">
        <is>
          <t>UPPSALA LÄN</t>
        </is>
      </c>
      <c r="E125" t="inlineStr">
        <is>
          <t>ÄLVKARLEBY</t>
        </is>
      </c>
      <c r="F125" t="inlineStr">
        <is>
          <t>Bergvik skog öst AB</t>
        </is>
      </c>
      <c r="G125" t="n">
        <v>3.5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2026-06-01T10:56:41Z</dcterms:created>
  <dcterms:modified xmlns:dcterms="http://purl.org/dc/terms/" xmlns:xsi="http://www.w3.org/2001/XMLSchema-instance" xsi:type="dcterms:W3CDTF">2026-06-01T10:56:41Z</dcterms:modified>
</cp:coreProperties>
</file>