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46236</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46236</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46236</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46236</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46236</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46508-2025</t>
        </is>
      </c>
      <c r="B9" t="inlineStr">
        <is>
          <t>avverkningsanmälan</t>
        </is>
      </c>
      <c r="C9" t="inlineStr">
        <is>
          <t>Föryngringsavverkning</t>
        </is>
      </c>
      <c r="D9" s="1" t="n">
        <v>45925</v>
      </c>
      <c r="E9" s="1" t="n">
        <v>46236</v>
      </c>
      <c r="F9" t="inlineStr">
        <is>
          <t>UPPSALA LÄN</t>
        </is>
      </c>
      <c r="G9" t="inlineStr">
        <is>
          <t>ÄLVKARLEBY</t>
        </is>
      </c>
      <c r="I9" t="n">
        <v>6.9</v>
      </c>
      <c r="J9" t="n">
        <v>4</v>
      </c>
      <c r="K9" t="n">
        <v>3</v>
      </c>
      <c r="L9" t="n">
        <v>2</v>
      </c>
      <c r="M9" t="n">
        <v>3</v>
      </c>
      <c r="N9" t="n">
        <v>0</v>
      </c>
      <c r="O9" t="n">
        <v>0</v>
      </c>
      <c r="P9" t="n">
        <v>0</v>
      </c>
      <c r="Q9" t="n">
        <v>5</v>
      </c>
      <c r="R9" t="n">
        <v>3</v>
      </c>
      <c r="S9" t="n">
        <v>9</v>
      </c>
      <c r="T9" t="n">
        <v>17</v>
      </c>
      <c r="U9" t="n">
        <v>0</v>
      </c>
      <c r="V9" s="2" t="inlineStr">
        <is>
          <t>Grangråticka
Knärot
Kopparspindling
Tretåig hackspett
Vedtrappmossa
Nästrot
Svart trolldruva
Trådfräken
Blåsippa</t>
        </is>
      </c>
      <c r="W9">
        <f>HYPERLINK("https://klasma.github.io/Logging_0319/artfynd/A 46508-2025 artfynd.xlsx", "A 46508-2025")</f>
        <v/>
      </c>
      <c r="X9">
        <f>HYPERLINK("https://klasma.github.io/Logging_0319/kartor/A 46508-2025 karta.png", "A 46508-2025")</f>
        <v/>
      </c>
      <c r="Y9">
        <f>HYPERLINK("https://klasma.github.io/Logging_0319/kartor_geotiff/A 46508-2025 georefererad karta.tif", "A 46508-2025")</f>
        <v/>
      </c>
      <c r="Z9">
        <f>HYPERLINK("https://klasma.github.io/Logging_0319/knärot/A 46508-2025 karta knärot.png", "A 46508-2025")</f>
        <v/>
      </c>
      <c r="AA9">
        <f>HYPERLINK("https://klasma.github.io/Logging_0319/klagomål/A 46508-2025 FSC-klagomål.docx", "A 46508-2025")</f>
        <v/>
      </c>
      <c r="AB9">
        <f>HYPERLINK("https://klasma.github.io/Logging_0319/klagomålsmail/A 46508-2025 FSC-klagomål mail.docx", "A 46508-2025")</f>
        <v/>
      </c>
      <c r="AC9">
        <f>HYPERLINK("https://klasma.github.io/Logging_0319/tillsyn/A 46508-2025 tillsynsbegäran.docx", "A 46508-2025")</f>
        <v/>
      </c>
      <c r="AD9">
        <f>HYPERLINK("https://klasma.github.io/Logging_0319/tillsynsmail/A 46508-2025 tillsynsbegäran mail.docx", "A 46508-2025")</f>
        <v/>
      </c>
      <c r="AE9">
        <f>HYPERLINK("https://klasma.github.io/Logging_0319/fåglar/A 46508-2025 prioriterade fågelarter.docx", "A 46508-2025")</f>
        <v/>
      </c>
    </row>
    <row r="10" ht="15" customHeight="1">
      <c r="A10" t="inlineStr">
        <is>
          <t>A 3949-2025</t>
        </is>
      </c>
      <c r="B10" t="inlineStr">
        <is>
          <t>avverkningsanmälan</t>
        </is>
      </c>
      <c r="C10" t="inlineStr">
        <is>
          <t>Avverkning för annat ändamål</t>
        </is>
      </c>
      <c r="D10" s="1" t="n">
        <v>45684</v>
      </c>
      <c r="E10" s="1" t="n">
        <v>46236</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34798-2024</t>
        </is>
      </c>
      <c r="B11" t="inlineStr">
        <is>
          <t>avverkningsanmälan</t>
        </is>
      </c>
      <c r="C11" t="inlineStr">
        <is>
          <t>Föryngringsavverkning</t>
        </is>
      </c>
      <c r="D11" s="1" t="n">
        <v>45526</v>
      </c>
      <c r="E11" s="1" t="n">
        <v>46236</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46236</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46236</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46236</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46236</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46236</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39791-2021</t>
        </is>
      </c>
      <c r="B17" t="inlineStr">
        <is>
          <t>avverkningsanmälan</t>
        </is>
      </c>
      <c r="C17" t="inlineStr">
        <is>
          <t>Avverkning för annat ändamål</t>
        </is>
      </c>
      <c r="D17" s="1" t="n">
        <v>44417</v>
      </c>
      <c r="E17" s="1" t="n">
        <v>46236</v>
      </c>
      <c r="F17" t="inlineStr">
        <is>
          <t>UPPSALA LÄN</t>
        </is>
      </c>
      <c r="G17" t="inlineStr">
        <is>
          <t>ÄLVKARLEBY</t>
        </is>
      </c>
      <c r="I17" t="n">
        <v>1.8</v>
      </c>
      <c r="J17" t="n">
        <v>3</v>
      </c>
      <c r="K17" t="n">
        <v>2</v>
      </c>
      <c r="L17" t="n">
        <v>1</v>
      </c>
      <c r="M17" t="n">
        <v>0</v>
      </c>
      <c r="N17" t="n">
        <v>0</v>
      </c>
      <c r="O17" t="n">
        <v>0</v>
      </c>
      <c r="P17" t="n">
        <v>0</v>
      </c>
      <c r="Q17" t="n">
        <v>1</v>
      </c>
      <c r="R17" t="n">
        <v>0</v>
      </c>
      <c r="S17" t="n">
        <v>4</v>
      </c>
      <c r="T17" t="n">
        <v>7</v>
      </c>
      <c r="U17" t="n">
        <v>5</v>
      </c>
      <c r="V17" s="2" t="inlineStr">
        <is>
          <t>Klasefibbla
Skogsknipprot
Tvåblad
Blåsippa</t>
        </is>
      </c>
      <c r="W17">
        <f>HYPERLINK("https://klasma.github.io/Logging_0319/artfynd/A 39791-2021 artfynd.xlsx", "A 39791-2021")</f>
        <v/>
      </c>
      <c r="X17">
        <f>HYPERLINK("https://klasma.github.io/Logging_0319/kartor/A 39791-2021 karta.png", "A 39791-2021")</f>
        <v/>
      </c>
      <c r="Y17">
        <f>HYPERLINK("https://klasma.github.io/Logging_0319/kartor_geotiff/A 39791-2021 georefererad karta.tif", "A 39791-2021")</f>
        <v/>
      </c>
      <c r="AA17">
        <f>HYPERLINK("https://klasma.github.io/Logging_0319/klagomål/A 39791-2021 FSC-klagomål.docx", "A 39791-2021")</f>
        <v/>
      </c>
      <c r="AB17">
        <f>HYPERLINK("https://klasma.github.io/Logging_0319/klagomålsmail/A 39791-2021 FSC-klagomål mail.docx", "A 39791-2021")</f>
        <v/>
      </c>
      <c r="AC17">
        <f>HYPERLINK("https://klasma.github.io/Logging_0319/tillsyn/A 39791-2021 tillsynsbegäran.docx", "A 39791-2021")</f>
        <v/>
      </c>
      <c r="AD17">
        <f>HYPERLINK("https://klasma.github.io/Logging_0319/tillsynsmail/A 39791-2021 tillsynsbegäran mail.docx", "A 39791-2021")</f>
        <v/>
      </c>
    </row>
    <row r="18" ht="15" customHeight="1">
      <c r="A18" t="inlineStr">
        <is>
          <t>A 58480-2025</t>
        </is>
      </c>
      <c r="B18" t="inlineStr">
        <is>
          <t>avverkningsanmälan</t>
        </is>
      </c>
      <c r="C18" t="inlineStr">
        <is>
          <t>Föryngringsavverkning</t>
        </is>
      </c>
      <c r="D18" s="1" t="n">
        <v>45985</v>
      </c>
      <c r="E18" s="1" t="n">
        <v>46236</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46236</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46236</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46236</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46236</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58485-2025</t>
        </is>
      </c>
      <c r="B23" t="inlineStr">
        <is>
          <t>avverkningsanmälan</t>
        </is>
      </c>
      <c r="C23" t="inlineStr">
        <is>
          <t>Föryngringsavverkning</t>
        </is>
      </c>
      <c r="D23" s="1" t="n">
        <v>45985</v>
      </c>
      <c r="E23" s="1" t="n">
        <v>46236</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46236</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46236</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46236</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46236</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19303-2024</t>
        </is>
      </c>
      <c r="B28" t="inlineStr">
        <is>
          <t>avverkningsanmälan</t>
        </is>
      </c>
      <c r="C28" t="inlineStr">
        <is>
          <t>Föryngringsavverkning</t>
        </is>
      </c>
      <c r="D28" s="1" t="n">
        <v>45428</v>
      </c>
      <c r="E28" s="1" t="n">
        <v>46236</v>
      </c>
      <c r="F28" t="inlineStr">
        <is>
          <t>UPPSALA LÄN</t>
        </is>
      </c>
      <c r="G28" t="inlineStr">
        <is>
          <t>ÄLVKARLEBY</t>
        </is>
      </c>
      <c r="I28" t="n">
        <v>0.4</v>
      </c>
      <c r="J28" t="n">
        <v>1</v>
      </c>
      <c r="K28" t="n">
        <v>0</v>
      </c>
      <c r="L28" t="n">
        <v>0</v>
      </c>
      <c r="M28" t="n">
        <v>1</v>
      </c>
      <c r="N28" t="n">
        <v>0</v>
      </c>
      <c r="O28" t="n">
        <v>0</v>
      </c>
      <c r="P28" t="n">
        <v>0</v>
      </c>
      <c r="Q28" t="n">
        <v>1</v>
      </c>
      <c r="R28" t="n">
        <v>1</v>
      </c>
      <c r="S28" t="n">
        <v>1</v>
      </c>
      <c r="T28" t="n">
        <v>1</v>
      </c>
      <c r="U28" t="n">
        <v>1</v>
      </c>
      <c r="V28" s="2" t="inlineStr">
        <is>
          <t>Gölgroda</t>
        </is>
      </c>
      <c r="W28">
        <f>HYPERLINK("https://klasma.github.io/Logging_0319/artfynd/A 19303-2024 artfynd.xlsx", "A 19303-2024")</f>
        <v/>
      </c>
      <c r="X28">
        <f>HYPERLINK("https://klasma.github.io/Logging_0319/kartor/A 19303-2024 karta.png", "A 19303-2024")</f>
        <v/>
      </c>
      <c r="Y28">
        <f>HYPERLINK("https://klasma.github.io/Logging_0319/kartor_geotiff/A 19303-2024 georefererad karta.tif", "A 19303-2024")</f>
        <v/>
      </c>
      <c r="AA28">
        <f>HYPERLINK("https://klasma.github.io/Logging_0319/klagomål/A 19303-2024 FSC-klagomål.docx", "A 19303-2024")</f>
        <v/>
      </c>
      <c r="AB28">
        <f>HYPERLINK("https://klasma.github.io/Logging_0319/klagomålsmail/A 19303-2024 FSC-klagomål mail.docx", "A 19303-2024")</f>
        <v/>
      </c>
      <c r="AC28">
        <f>HYPERLINK("https://klasma.github.io/Logging_0319/tillsyn/A 19303-2024 tillsynsbegäran.docx", "A 19303-2024")</f>
        <v/>
      </c>
      <c r="AD28">
        <f>HYPERLINK("https://klasma.github.io/Logging_0319/tillsynsmail/A 19303-2024 tillsynsbegäran mail.docx", "A 19303-2024")</f>
        <v/>
      </c>
    </row>
    <row r="29" ht="15" customHeight="1">
      <c r="A29" t="inlineStr">
        <is>
          <t>A 19300-2024</t>
        </is>
      </c>
      <c r="B29" t="inlineStr">
        <is>
          <t>avverkningsanmälan</t>
        </is>
      </c>
      <c r="C29" t="inlineStr">
        <is>
          <t>Föryngringsavverkning</t>
        </is>
      </c>
      <c r="D29" s="1" t="n">
        <v>45428</v>
      </c>
      <c r="E29" s="1" t="n">
        <v>46236</v>
      </c>
      <c r="F29" t="inlineStr">
        <is>
          <t>UPPSALA LÄN</t>
        </is>
      </c>
      <c r="G29" t="inlineStr">
        <is>
          <t>ÄLVKARLEBY</t>
        </is>
      </c>
      <c r="I29" t="n">
        <v>0.9</v>
      </c>
      <c r="J29" t="n">
        <v>1</v>
      </c>
      <c r="K29" t="n">
        <v>0</v>
      </c>
      <c r="L29" t="n">
        <v>1</v>
      </c>
      <c r="M29" t="n">
        <v>0</v>
      </c>
      <c r="N29" t="n">
        <v>0</v>
      </c>
      <c r="O29" t="n">
        <v>0</v>
      </c>
      <c r="P29" t="n">
        <v>0</v>
      </c>
      <c r="Q29" t="n">
        <v>1</v>
      </c>
      <c r="R29" t="n">
        <v>0</v>
      </c>
      <c r="S29" t="n">
        <v>1</v>
      </c>
      <c r="T29" t="n">
        <v>1</v>
      </c>
      <c r="U29" t="n">
        <v>1</v>
      </c>
      <c r="V29" s="2" t="inlineStr">
        <is>
          <t>Kricka</t>
        </is>
      </c>
      <c r="W29">
        <f>HYPERLINK("https://klasma.github.io/Logging_0319/artfynd/A 19300-2024 artfynd.xlsx", "A 19300-2024")</f>
        <v/>
      </c>
      <c r="X29">
        <f>HYPERLINK("https://klasma.github.io/Logging_0319/kartor/A 19300-2024 karta.png", "A 19300-2024")</f>
        <v/>
      </c>
      <c r="Y29">
        <f>HYPERLINK("https://klasma.github.io/Logging_0319/kartor_geotiff/A 19300-2024 georefererad karta.tif", "A 19300-2024")</f>
        <v/>
      </c>
      <c r="AA29">
        <f>HYPERLINK("https://klasma.github.io/Logging_0319/klagomål/A 19300-2024 FSC-klagomål.docx", "A 19300-2024")</f>
        <v/>
      </c>
      <c r="AB29">
        <f>HYPERLINK("https://klasma.github.io/Logging_0319/klagomålsmail/A 19300-2024 FSC-klagomål mail.docx", "A 19300-2024")</f>
        <v/>
      </c>
      <c r="AC29">
        <f>HYPERLINK("https://klasma.github.io/Logging_0319/tillsyn/A 19300-2024 tillsynsbegäran.docx", "A 19300-2024")</f>
        <v/>
      </c>
      <c r="AD29">
        <f>HYPERLINK("https://klasma.github.io/Logging_0319/tillsynsmail/A 19300-2024 tillsynsbegäran mail.docx", "A 19300-2024")</f>
        <v/>
      </c>
      <c r="AE29">
        <f>HYPERLINK("https://klasma.github.io/Logging_0319/fåglar/A 19300-2024 prioriterade fågelarter.docx", "A 19300-2024")</f>
        <v/>
      </c>
    </row>
    <row r="30" ht="15" customHeight="1">
      <c r="A30" t="inlineStr">
        <is>
          <t>A 51238-2025</t>
        </is>
      </c>
      <c r="B30" t="inlineStr">
        <is>
          <t>avverkningsanmälan</t>
        </is>
      </c>
      <c r="C30" t="inlineStr">
        <is>
          <t>Föryngringsavverkning</t>
        </is>
      </c>
      <c r="D30" s="1" t="n">
        <v>45947</v>
      </c>
      <c r="E30" s="1" t="n">
        <v>46236</v>
      </c>
      <c r="F30" t="inlineStr">
        <is>
          <t>UPPSALA LÄN</t>
        </is>
      </c>
      <c r="G30" t="inlineStr">
        <is>
          <t>ÄLVKARLEBY</t>
        </is>
      </c>
      <c r="H30" t="inlineStr">
        <is>
          <t>Bergvik skog väst AB</t>
        </is>
      </c>
      <c r="I30" t="n">
        <v>6</v>
      </c>
      <c r="J30" t="n">
        <v>1</v>
      </c>
      <c r="K30" t="n">
        <v>0</v>
      </c>
      <c r="L30" t="n">
        <v>0</v>
      </c>
      <c r="M30" t="n">
        <v>0</v>
      </c>
      <c r="N30" t="n">
        <v>0</v>
      </c>
      <c r="O30" t="n">
        <v>0</v>
      </c>
      <c r="P30" t="n">
        <v>0</v>
      </c>
      <c r="Q30" t="n">
        <v>0</v>
      </c>
      <c r="R30" t="n">
        <v>0</v>
      </c>
      <c r="S30" t="n">
        <v>1</v>
      </c>
      <c r="T30" t="n">
        <v>1</v>
      </c>
      <c r="U30" t="n">
        <v>0</v>
      </c>
      <c r="V30" s="2" t="inlineStr">
        <is>
          <t>Lopplummer (aggregat)</t>
        </is>
      </c>
      <c r="W30">
        <f>HYPERLINK("https://klasma.github.io/Logging_0319/artfynd/A 51238-2025 artfynd.xlsx", "A 51238-2025")</f>
        <v/>
      </c>
      <c r="X30">
        <f>HYPERLINK("https://klasma.github.io/Logging_0319/kartor/A 51238-2025 karta.png", "A 51238-2025")</f>
        <v/>
      </c>
      <c r="Y30">
        <f>HYPERLINK("https://klasma.github.io/Logging_0319/kartor_geotiff/A 51238-2025 georefererad karta.tif", "A 51238-2025")</f>
        <v/>
      </c>
      <c r="AA30">
        <f>HYPERLINK("https://klasma.github.io/Logging_0319/klagomål/A 51238-2025 FSC-klagomål.docx", "A 51238-2025")</f>
        <v/>
      </c>
      <c r="AB30">
        <f>HYPERLINK("https://klasma.github.io/Logging_0319/klagomålsmail/A 51238-2025 FSC-klagomål mail.docx", "A 51238-2025")</f>
        <v/>
      </c>
      <c r="AC30">
        <f>HYPERLINK("https://klasma.github.io/Logging_0319/tillsyn/A 51238-2025 tillsynsbegäran.docx", "A 51238-2025")</f>
        <v/>
      </c>
      <c r="AD30">
        <f>HYPERLINK("https://klasma.github.io/Logging_0319/tillsynsmail/A 51238-2025 tillsynsbegäran mail.docx", "A 51238-2025")</f>
        <v/>
      </c>
    </row>
    <row r="31" ht="15" customHeight="1">
      <c r="A31" t="inlineStr">
        <is>
          <t>A 7286-2023</t>
        </is>
      </c>
      <c r="B31" t="inlineStr">
        <is>
          <t>avverkningsanmälan</t>
        </is>
      </c>
      <c r="C31" t="inlineStr">
        <is>
          <t>Avverkning för annat ändamål</t>
        </is>
      </c>
      <c r="D31" s="1" t="n">
        <v>44970</v>
      </c>
      <c r="E31" s="1" t="n">
        <v>46236</v>
      </c>
      <c r="F31" t="inlineStr">
        <is>
          <t>UPPSALA LÄN</t>
        </is>
      </c>
      <c r="G31" t="inlineStr">
        <is>
          <t>ÄLVKARLEBY</t>
        </is>
      </c>
      <c r="H31" t="inlineStr">
        <is>
          <t>Bergvik skog väst AB</t>
        </is>
      </c>
      <c r="I31" t="n">
        <v>2.5</v>
      </c>
      <c r="J31" t="n">
        <v>0</v>
      </c>
      <c r="K31" t="n">
        <v>1</v>
      </c>
      <c r="L31" t="n">
        <v>0</v>
      </c>
      <c r="M31" t="n">
        <v>0</v>
      </c>
      <c r="N31" t="n">
        <v>0</v>
      </c>
      <c r="O31" t="n">
        <v>0</v>
      </c>
      <c r="P31" t="n">
        <v>0</v>
      </c>
      <c r="Q31" t="n">
        <v>0</v>
      </c>
      <c r="R31" t="n">
        <v>0</v>
      </c>
      <c r="S31" t="n">
        <v>1</v>
      </c>
      <c r="T31" t="n">
        <v>1</v>
      </c>
      <c r="U31" t="n">
        <v>0</v>
      </c>
      <c r="V31" s="2" t="inlineStr">
        <is>
          <t>Grönpyrola</t>
        </is>
      </c>
      <c r="W31">
        <f>HYPERLINK("https://klasma.github.io/Logging_0319/artfynd/A 7286-2023 artfynd.xlsx", "A 7286-2023")</f>
        <v/>
      </c>
      <c r="X31">
        <f>HYPERLINK("https://klasma.github.io/Logging_0319/kartor/A 7286-2023 karta.png", "A 7286-2023")</f>
        <v/>
      </c>
      <c r="Y31">
        <f>HYPERLINK("https://klasma.github.io/Logging_0319/kartor_geotiff/A 7286-2023 georefererad karta.tif", "A 7286-2023")</f>
        <v/>
      </c>
      <c r="AA31">
        <f>HYPERLINK("https://klasma.github.io/Logging_0319/klagomål/A 7286-2023 FSC-klagomål.docx", "A 7286-2023")</f>
        <v/>
      </c>
      <c r="AB31">
        <f>HYPERLINK("https://klasma.github.io/Logging_0319/klagomålsmail/A 7286-2023 FSC-klagomål mail.docx", "A 7286-2023")</f>
        <v/>
      </c>
      <c r="AC31">
        <f>HYPERLINK("https://klasma.github.io/Logging_0319/tillsyn/A 7286-2023 tillsynsbegäran.docx", "A 7286-2023")</f>
        <v/>
      </c>
      <c r="AD31">
        <f>HYPERLINK("https://klasma.github.io/Logging_0319/tillsynsmail/A 7286-2023 tillsynsbegäran mail.docx", "A 7286-2023")</f>
        <v/>
      </c>
    </row>
    <row r="32" ht="15" customHeight="1">
      <c r="A32" t="inlineStr">
        <is>
          <t>A 57734-2025</t>
        </is>
      </c>
      <c r="B32" t="inlineStr">
        <is>
          <t>avverkningsanmälan</t>
        </is>
      </c>
      <c r="C32" t="inlineStr">
        <is>
          <t>Föryngringsavverkning</t>
        </is>
      </c>
      <c r="D32" s="1" t="n">
        <v>45981</v>
      </c>
      <c r="E32" s="1" t="n">
        <v>46236</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10455-2022</t>
        </is>
      </c>
      <c r="B33" t="inlineStr">
        <is>
          <t>avverkningsanmälan</t>
        </is>
      </c>
      <c r="C33" t="inlineStr">
        <is>
          <t>Föryngringsavverkning</t>
        </is>
      </c>
      <c r="D33" s="1" t="n">
        <v>44623</v>
      </c>
      <c r="E33" s="1" t="n">
        <v>46236</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30236-2026</t>
        </is>
      </c>
      <c r="B34" t="inlineStr">
        <is>
          <t>avverkningsanmälan</t>
        </is>
      </c>
      <c r="C34" t="inlineStr">
        <is>
          <t>Föryngringsavverkning</t>
        </is>
      </c>
      <c r="D34" s="1" t="n">
        <v>46206</v>
      </c>
      <c r="E34" s="1" t="n">
        <v>46236</v>
      </c>
      <c r="F34" t="inlineStr">
        <is>
          <t>UPPSALA LÄN</t>
        </is>
      </c>
      <c r="G34" t="inlineStr">
        <is>
          <t>ÄLVKARLEBY</t>
        </is>
      </c>
      <c r="H34" t="inlineStr">
        <is>
          <t>Bergvik skog öst AB</t>
        </is>
      </c>
      <c r="I34" t="n">
        <v>4.8</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30236-2026 artfynd.xlsx", "A 30236-2026")</f>
        <v/>
      </c>
      <c r="X34">
        <f>HYPERLINK("https://klasma.github.io/Logging_0319/kartor/A 30236-2026 karta.png", "A 30236-2026")</f>
        <v/>
      </c>
      <c r="Y34">
        <f>HYPERLINK("https://klasma.github.io/Logging_0319/kartor_geotiff/A 30236-2026 georefererad karta.tif", "A 30236-2026")</f>
        <v/>
      </c>
      <c r="AA34">
        <f>HYPERLINK("https://klasma.github.io/Logging_0319/klagomål/A 30236-2026 FSC-klagomål.docx", "A 30236-2026")</f>
        <v/>
      </c>
      <c r="AB34">
        <f>HYPERLINK("https://klasma.github.io/Logging_0319/klagomålsmail/A 30236-2026 FSC-klagomål mail.docx", "A 30236-2026")</f>
        <v/>
      </c>
      <c r="AC34">
        <f>HYPERLINK("https://klasma.github.io/Logging_0319/tillsyn/A 30236-2026 tillsynsbegäran.docx", "A 30236-2026")</f>
        <v/>
      </c>
      <c r="AD34">
        <f>HYPERLINK("https://klasma.github.io/Logging_0319/tillsynsmail/A 30236-2026 tillsynsbegäran mail.docx", "A 30236-2026")</f>
        <v/>
      </c>
    </row>
    <row r="35" ht="15" customHeight="1">
      <c r="A35" t="inlineStr">
        <is>
          <t>A 30233-2026</t>
        </is>
      </c>
      <c r="B35" t="inlineStr">
        <is>
          <t>avverkningsanmälan</t>
        </is>
      </c>
      <c r="C35" t="inlineStr">
        <is>
          <t>Föryngringsavverkning</t>
        </is>
      </c>
      <c r="D35" s="1" t="n">
        <v>46206</v>
      </c>
      <c r="E35" s="1" t="n">
        <v>46236</v>
      </c>
      <c r="F35" t="inlineStr">
        <is>
          <t>UPPSALA LÄN</t>
        </is>
      </c>
      <c r="G35" t="inlineStr">
        <is>
          <t>ÄLVKARLEBY</t>
        </is>
      </c>
      <c r="H35" t="inlineStr">
        <is>
          <t>Bergvik skog öst AB</t>
        </is>
      </c>
      <c r="I35" t="n">
        <v>6.8</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HYPERLINK("https://klasma.github.io/Logging_0319/artfynd/A 30233-2026 artfynd.xlsx", "A 30233-2026")</f>
        <v/>
      </c>
      <c r="X35">
        <f>HYPERLINK("https://klasma.github.io/Logging_0319/kartor/A 30233-2026 karta.png", "A 30233-2026")</f>
        <v/>
      </c>
      <c r="Y35">
        <f>HYPERLINK("https://klasma.github.io/Logging_0319/kartor_geotiff/A 30233-2026 georefererad karta.tif", "A 30233-2026")</f>
        <v/>
      </c>
      <c r="AA35">
        <f>HYPERLINK("https://klasma.github.io/Logging_0319/klagomål/A 30233-2026 FSC-klagomål.docx", "A 30233-2026")</f>
        <v/>
      </c>
      <c r="AB35">
        <f>HYPERLINK("https://klasma.github.io/Logging_0319/klagomålsmail/A 30233-2026 FSC-klagomål mail.docx", "A 30233-2026")</f>
        <v/>
      </c>
      <c r="AC35">
        <f>HYPERLINK("https://klasma.github.io/Logging_0319/tillsyn/A 30233-2026 tillsynsbegäran.docx", "A 30233-2026")</f>
        <v/>
      </c>
      <c r="AD35">
        <f>HYPERLINK("https://klasma.github.io/Logging_0319/tillsynsmail/A 30233-2026 tillsynsbegäran mail.docx", "A 30233-2026")</f>
        <v/>
      </c>
    </row>
    <row r="36" ht="15" customHeight="1">
      <c r="A36" t="inlineStr">
        <is>
          <t>A 59993-2025</t>
        </is>
      </c>
      <c r="B36" t="inlineStr">
        <is>
          <t>avverkningsanmälan</t>
        </is>
      </c>
      <c r="C36" t="inlineStr">
        <is>
          <t>Avverkning för att bevara och utveckla /försöksver</t>
        </is>
      </c>
      <c r="D36" s="1" t="n">
        <v>45993</v>
      </c>
      <c r="E36" s="1" t="n">
        <v>46236</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46236</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46236</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46236</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46236</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46236</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19304-2024</t>
        </is>
      </c>
      <c r="B42" t="inlineStr">
        <is>
          <t>avverkningsanmälan</t>
        </is>
      </c>
      <c r="C42" t="inlineStr">
        <is>
          <t>Föryngringsavverkning</t>
        </is>
      </c>
      <c r="D42" s="1" t="n">
        <v>45428</v>
      </c>
      <c r="E42" s="1" t="n">
        <v>46236</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14127-2026</t>
        </is>
      </c>
      <c r="B43" t="inlineStr">
        <is>
          <t>avverkningsanmälan</t>
        </is>
      </c>
      <c r="C43" t="inlineStr">
        <is>
          <t>Föryngringsavverkning</t>
        </is>
      </c>
      <c r="D43" s="1" t="n">
        <v>46099</v>
      </c>
      <c r="E43" s="1" t="n">
        <v>46236</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43285-2023</t>
        </is>
      </c>
      <c r="B44" t="inlineStr">
        <is>
          <t>avverkningsanmälan</t>
        </is>
      </c>
      <c r="C44" t="inlineStr">
        <is>
          <t>Föryngringsavverkning</t>
        </is>
      </c>
      <c r="D44" s="1" t="n">
        <v>45183</v>
      </c>
      <c r="E44" s="1" t="n">
        <v>46236</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46236</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36217-2022</t>
        </is>
      </c>
      <c r="B46" t="inlineStr">
        <is>
          <t>avverkningsanmälan</t>
        </is>
      </c>
      <c r="C46" t="inlineStr">
        <is>
          <t>Avverkning för annat ändamål</t>
        </is>
      </c>
      <c r="D46" s="1" t="n">
        <v>44803</v>
      </c>
      <c r="E46" s="1" t="n">
        <v>46236</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46236</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2184-2024</t>
        </is>
      </c>
      <c r="B48" t="inlineStr">
        <is>
          <t>avverkningsanmälan</t>
        </is>
      </c>
      <c r="C48" t="inlineStr">
        <is>
          <t>Föryngringsavverkning</t>
        </is>
      </c>
      <c r="D48" s="1" t="n">
        <v>45309</v>
      </c>
      <c r="E48" s="1" t="n">
        <v>46236</v>
      </c>
      <c r="F48" t="inlineStr">
        <is>
          <t>UPPSALA LÄN</t>
        </is>
      </c>
      <c r="G48" t="inlineStr">
        <is>
          <t>ÄLVKARLEBY</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41276-2023</t>
        </is>
      </c>
      <c r="B49" t="inlineStr">
        <is>
          <t>avverkningsanmälan</t>
        </is>
      </c>
      <c r="C49" t="inlineStr">
        <is>
          <t>Föryngringsavverkning</t>
        </is>
      </c>
      <c r="D49" s="1" t="n">
        <v>45174</v>
      </c>
      <c r="E49" s="1" t="n">
        <v>46236</v>
      </c>
      <c r="F49" t="inlineStr">
        <is>
          <t>UPPSALA LÄN</t>
        </is>
      </c>
      <c r="G49" t="inlineStr">
        <is>
          <t>ÄLVKARLEBY</t>
        </is>
      </c>
      <c r="H49" t="inlineStr">
        <is>
          <t>Bergvik skog väst AB</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46236</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46236</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41929-2024</t>
        </is>
      </c>
      <c r="B52" t="inlineStr">
        <is>
          <t>avverkningsanmälan</t>
        </is>
      </c>
      <c r="C52" t="inlineStr">
        <is>
          <t>Föryngringsavverkning</t>
        </is>
      </c>
      <c r="D52" s="1" t="n">
        <v>45561</v>
      </c>
      <c r="E52" s="1" t="n">
        <v>46236</v>
      </c>
      <c r="F52" t="inlineStr">
        <is>
          <t>UPPSALA LÄN</t>
        </is>
      </c>
      <c r="G52" t="inlineStr">
        <is>
          <t>ÄLVKARLEBY</t>
        </is>
      </c>
      <c r="H52" t="inlineStr">
        <is>
          <t>Bergvik skog väst AB</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45372-2024</t>
        </is>
      </c>
      <c r="B53" t="inlineStr">
        <is>
          <t>avverkningsanmälan</t>
        </is>
      </c>
      <c r="C53" t="inlineStr">
        <is>
          <t>Föryngringsavverkning</t>
        </is>
      </c>
      <c r="D53" s="1" t="n">
        <v>45576</v>
      </c>
      <c r="E53" s="1" t="n">
        <v>46236</v>
      </c>
      <c r="F53" t="inlineStr">
        <is>
          <t>UPPSALA LÄN</t>
        </is>
      </c>
      <c r="G53" t="inlineStr">
        <is>
          <t>ÄLVKARLEBY</t>
        </is>
      </c>
      <c r="H53" t="inlineStr">
        <is>
          <t>Bergvik skog väst AB</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16990-2022</t>
        </is>
      </c>
      <c r="B54" t="inlineStr">
        <is>
          <t>avverkningsanmälan</t>
        </is>
      </c>
      <c r="C54" t="inlineStr">
        <is>
          <t>Föryngringsavverkning</t>
        </is>
      </c>
      <c r="D54" s="1" t="n">
        <v>44676</v>
      </c>
      <c r="E54" s="1" t="n">
        <v>46236</v>
      </c>
      <c r="F54" t="inlineStr">
        <is>
          <t>UPPSALA LÄN</t>
        </is>
      </c>
      <c r="G54" t="inlineStr">
        <is>
          <t>ÄLVKARLEBY</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26664-2025</t>
        </is>
      </c>
      <c r="B55" t="inlineStr">
        <is>
          <t>avverkningsanmälan</t>
        </is>
      </c>
      <c r="C55" t="inlineStr">
        <is>
          <t>Avverkning för att bevara och utveckla /försöksver</t>
        </is>
      </c>
      <c r="D55" s="1" t="n">
        <v>45810</v>
      </c>
      <c r="E55" s="1" t="n">
        <v>46236</v>
      </c>
      <c r="F55" t="inlineStr">
        <is>
          <t>UPPSALA LÄN</t>
        </is>
      </c>
      <c r="G55" t="inlineStr">
        <is>
          <t>ÄLVKARLEBY</t>
        </is>
      </c>
      <c r="H55" t="inlineStr">
        <is>
          <t>Bergvik skog väst AB</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46236</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46236</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28670-2025</t>
        </is>
      </c>
      <c r="B58" t="inlineStr">
        <is>
          <t>avverkningsanmälan</t>
        </is>
      </c>
      <c r="C58" t="inlineStr">
        <is>
          <t>Föryngringsavverkning</t>
        </is>
      </c>
      <c r="D58" s="1" t="n">
        <v>45819</v>
      </c>
      <c r="E58" s="1" t="n">
        <v>46236</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46236</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46236</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46236</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52477-2025</t>
        </is>
      </c>
      <c r="B62" t="inlineStr">
        <is>
          <t>avverkningsanmälan</t>
        </is>
      </c>
      <c r="C62" t="inlineStr">
        <is>
          <t>Föryngringsavverkning</t>
        </is>
      </c>
      <c r="D62" s="1" t="n">
        <v>45954</v>
      </c>
      <c r="E62" s="1" t="n">
        <v>46236</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52498-2025</t>
        </is>
      </c>
      <c r="B63" t="inlineStr">
        <is>
          <t>avverkningsanmälan</t>
        </is>
      </c>
      <c r="C63" t="inlineStr">
        <is>
          <t>Föryngringsavverkning</t>
        </is>
      </c>
      <c r="D63" s="1" t="n">
        <v>45954</v>
      </c>
      <c r="E63" s="1" t="n">
        <v>46236</v>
      </c>
      <c r="F63" t="inlineStr">
        <is>
          <t>UPPSALA LÄN</t>
        </is>
      </c>
      <c r="G63" t="inlineStr">
        <is>
          <t>ÄLVKARLEBY</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46236</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46236</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26815-2022</t>
        </is>
      </c>
      <c r="B66" t="inlineStr">
        <is>
          <t>avverkningsanmälan</t>
        </is>
      </c>
      <c r="C66" t="inlineStr">
        <is>
          <t>Föryngringsavverkning</t>
        </is>
      </c>
      <c r="D66" s="1" t="n">
        <v>44740</v>
      </c>
      <c r="E66" s="1" t="n">
        <v>46236</v>
      </c>
      <c r="F66" t="inlineStr">
        <is>
          <t>UPPSALA LÄN</t>
        </is>
      </c>
      <c r="G66" t="inlineStr">
        <is>
          <t>ÄLVKARLEBY</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46236</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58168-2025</t>
        </is>
      </c>
      <c r="B68" t="inlineStr">
        <is>
          <t>avverkningsanmälan</t>
        </is>
      </c>
      <c r="C68" t="inlineStr">
        <is>
          <t>Föryngringsavverkning</t>
        </is>
      </c>
      <c r="D68" s="1" t="n">
        <v>45982</v>
      </c>
      <c r="E68" s="1" t="n">
        <v>46236</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58497-2025</t>
        </is>
      </c>
      <c r="B69" t="inlineStr">
        <is>
          <t>avverkningsanmälan</t>
        </is>
      </c>
      <c r="C69" t="inlineStr">
        <is>
          <t>Föryngringsavverkning</t>
        </is>
      </c>
      <c r="D69" s="1" t="n">
        <v>45985</v>
      </c>
      <c r="E69" s="1" t="n">
        <v>46236</v>
      </c>
      <c r="F69" t="inlineStr">
        <is>
          <t>UPPSALA LÄN</t>
        </is>
      </c>
      <c r="G69" t="inlineStr">
        <is>
          <t>ÄLVKARLEBY</t>
        </is>
      </c>
      <c r="H69" t="inlineStr">
        <is>
          <t>Bergvik skog väst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30234-2026</t>
        </is>
      </c>
      <c r="B70" t="inlineStr">
        <is>
          <t>avverkningsanmälan</t>
        </is>
      </c>
      <c r="C70" t="inlineStr">
        <is>
          <t>Föryngringsavverkning</t>
        </is>
      </c>
      <c r="D70" s="1" t="n">
        <v>46206</v>
      </c>
      <c r="E70" s="1" t="n">
        <v>46236</v>
      </c>
      <c r="F70" t="inlineStr">
        <is>
          <t>UPPSALA LÄN</t>
        </is>
      </c>
      <c r="G70" t="inlineStr">
        <is>
          <t>ÄLVKARLEBY</t>
        </is>
      </c>
      <c r="H70" t="inlineStr">
        <is>
          <t>Bergvik skog öst AB</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46236</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30238-2026</t>
        </is>
      </c>
      <c r="B72" t="inlineStr">
        <is>
          <t>avverkningsanmälan</t>
        </is>
      </c>
      <c r="C72" t="inlineStr">
        <is>
          <t>Föryngringsavverkning</t>
        </is>
      </c>
      <c r="D72" s="1" t="n">
        <v>46206</v>
      </c>
      <c r="E72" s="1" t="n">
        <v>46236</v>
      </c>
      <c r="F72" t="inlineStr">
        <is>
          <t>UPPSALA LÄN</t>
        </is>
      </c>
      <c r="G72" t="inlineStr">
        <is>
          <t>ÄLVKARLEBY</t>
        </is>
      </c>
      <c r="H72" t="inlineStr">
        <is>
          <t>Bergvik skog öst AB</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46236</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46236</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46236</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62938-2025</t>
        </is>
      </c>
      <c r="B76" t="inlineStr">
        <is>
          <t>avverkningsanmälan</t>
        </is>
      </c>
      <c r="C76" t="inlineStr">
        <is>
          <t>Föryngringsavverkning</t>
        </is>
      </c>
      <c r="D76" s="1" t="n">
        <v>46009</v>
      </c>
      <c r="E76" s="1" t="n">
        <v>46236</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46236</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61839-2025</t>
        </is>
      </c>
      <c r="B78" t="inlineStr">
        <is>
          <t>avverkningsanmälan</t>
        </is>
      </c>
      <c r="C78" t="inlineStr">
        <is>
          <t>Föryngringsavverkning</t>
        </is>
      </c>
      <c r="D78" s="1" t="n">
        <v>46003</v>
      </c>
      <c r="E78" s="1" t="n">
        <v>46236</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46236</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14590-2023</t>
        </is>
      </c>
      <c r="B80" t="inlineStr">
        <is>
          <t>avverkningsanmälan</t>
        </is>
      </c>
      <c r="C80" t="inlineStr">
        <is>
          <t>Föryngringsavverkning</t>
        </is>
      </c>
      <c r="D80" s="1" t="n">
        <v>45013</v>
      </c>
      <c r="E80" s="1" t="n">
        <v>46236</v>
      </c>
      <c r="F80" t="inlineStr">
        <is>
          <t>UPPSALA LÄN</t>
        </is>
      </c>
      <c r="G80" t="inlineStr">
        <is>
          <t>ÄLVKARLEBY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41272-2023</t>
        </is>
      </c>
      <c r="B81" t="inlineStr">
        <is>
          <t>avverkningsanmälan</t>
        </is>
      </c>
      <c r="C81" t="inlineStr">
        <is>
          <t>Föryngringsavverkning</t>
        </is>
      </c>
      <c r="D81" s="1" t="n">
        <v>45174</v>
      </c>
      <c r="E81" s="1" t="n">
        <v>46236</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2183-2024</t>
        </is>
      </c>
      <c r="B82" t="inlineStr">
        <is>
          <t>avverkningsanmälan</t>
        </is>
      </c>
      <c r="C82" t="inlineStr">
        <is>
          <t>Föryngringsavverkning</t>
        </is>
      </c>
      <c r="D82" s="1" t="n">
        <v>45309</v>
      </c>
      <c r="E82" s="1" t="n">
        <v>46236</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9394-2026</t>
        </is>
      </c>
      <c r="B83" t="inlineStr">
        <is>
          <t>avverkningsanmälan</t>
        </is>
      </c>
      <c r="C83" t="inlineStr">
        <is>
          <t>Föryngringsavverkning</t>
        </is>
      </c>
      <c r="D83" s="1" t="n">
        <v>46071</v>
      </c>
      <c r="E83" s="1" t="n">
        <v>46236</v>
      </c>
      <c r="F83" t="inlineStr">
        <is>
          <t>UPPSALA LÄN</t>
        </is>
      </c>
      <c r="G83" t="inlineStr">
        <is>
          <t>ÄLVKARLEBY</t>
        </is>
      </c>
      <c r="H83" t="inlineStr">
        <is>
          <t>Bergvik skog väst AB</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11467-2026</t>
        </is>
      </c>
      <c r="B84" t="inlineStr">
        <is>
          <t>avverkningsanmälan</t>
        </is>
      </c>
      <c r="C84" t="inlineStr">
        <is>
          <t>Föryngringsavverkning</t>
        </is>
      </c>
      <c r="D84" s="1" t="n">
        <v>46083</v>
      </c>
      <c r="E84" s="1" t="n">
        <v>46236</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11848-2026</t>
        </is>
      </c>
      <c r="B85" t="inlineStr">
        <is>
          <t>avverkningsanmälan</t>
        </is>
      </c>
      <c r="C85" t="inlineStr">
        <is>
          <t>Föryngringsavverkning</t>
        </is>
      </c>
      <c r="D85" s="1" t="n">
        <v>46085</v>
      </c>
      <c r="E85" s="1" t="n">
        <v>46236</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46236</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9533-2025</t>
        </is>
      </c>
      <c r="B87" t="inlineStr">
        <is>
          <t>avverkningsanmälan</t>
        </is>
      </c>
      <c r="C87" t="inlineStr">
        <is>
          <t>Föryngringsavverkning</t>
        </is>
      </c>
      <c r="D87" s="1" t="n">
        <v>45715</v>
      </c>
      <c r="E87" s="1" t="n">
        <v>46236</v>
      </c>
      <c r="F87" t="inlineStr">
        <is>
          <t>UPPSALA LÄN</t>
        </is>
      </c>
      <c r="G87" t="inlineStr">
        <is>
          <t>ÄLVKARLEBY</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17851-2026</t>
        </is>
      </c>
      <c r="B88" t="inlineStr">
        <is>
          <t>avverkningsanmälan</t>
        </is>
      </c>
      <c r="C88" t="inlineStr">
        <is>
          <t>Föryngringsavverkning</t>
        </is>
      </c>
      <c r="D88" s="1" t="n">
        <v>46122</v>
      </c>
      <c r="E88" s="1" t="n">
        <v>46236</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46113-2023</t>
        </is>
      </c>
      <c r="B89" t="inlineStr">
        <is>
          <t>avverkningsanmälan</t>
        </is>
      </c>
      <c r="C89" t="inlineStr">
        <is>
          <t>Föryngringsavverkning</t>
        </is>
      </c>
      <c r="D89" s="1" t="n">
        <v>45196</v>
      </c>
      <c r="E89" s="1" t="n">
        <v>46236</v>
      </c>
      <c r="F89" t="inlineStr">
        <is>
          <t>UPPSALA LÄN</t>
        </is>
      </c>
      <c r="G89" t="inlineStr">
        <is>
          <t>ÄLVKARLEBY</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25330-2025</t>
        </is>
      </c>
      <c r="B90" t="inlineStr">
        <is>
          <t>avverkningsanmälan</t>
        </is>
      </c>
      <c r="C90" t="inlineStr">
        <is>
          <t>Föryngringsavverkning</t>
        </is>
      </c>
      <c r="D90" s="1" t="n">
        <v>45800</v>
      </c>
      <c r="E90" s="1" t="n">
        <v>46236</v>
      </c>
      <c r="F90" t="inlineStr">
        <is>
          <t>UPPSALA LÄN</t>
        </is>
      </c>
      <c r="G90" t="inlineStr">
        <is>
          <t>ÄLVKARLEBY</t>
        </is>
      </c>
      <c r="H90" t="inlineStr">
        <is>
          <t>Bergvik skog väst AB</t>
        </is>
      </c>
      <c r="I90" t="n">
        <v>5</v>
      </c>
      <c r="J90" t="n">
        <v>0</v>
      </c>
      <c r="K90" t="n">
        <v>0</v>
      </c>
      <c r="L90" t="n">
        <v>0</v>
      </c>
      <c r="M90" t="n">
        <v>0</v>
      </c>
      <c r="N90" t="n">
        <v>0</v>
      </c>
      <c r="O90" t="n">
        <v>0</v>
      </c>
      <c r="P90" t="n">
        <v>0</v>
      </c>
      <c r="Q90" t="n">
        <v>0</v>
      </c>
      <c r="R90" t="n">
        <v>0</v>
      </c>
      <c r="S90" t="n">
        <v>0</v>
      </c>
      <c r="T90" t="n">
        <v>0</v>
      </c>
      <c r="U90" t="n">
        <v>0</v>
      </c>
      <c r="V90" s="2" t="inlineStr"/>
    </row>
    <row r="91">
      <c r="A91" t="inlineStr">
        <is>
          <t>A 32187-2025</t>
        </is>
      </c>
      <c r="B91" t="inlineStr">
        <is>
          <t>avverkningsanmälan</t>
        </is>
      </c>
      <c r="C91" t="inlineStr">
        <is>
          <t>Föryngringsavverkning</t>
        </is>
      </c>
      <c r="D91" s="1" t="n">
        <v>45835</v>
      </c>
      <c r="E91" s="1" t="n">
        <v>46236</v>
      </c>
      <c r="F91" t="inlineStr">
        <is>
          <t>UPPSALA LÄN</t>
        </is>
      </c>
      <c r="G91" t="inlineStr">
        <is>
          <t>ÄLVKARLEBY</t>
        </is>
      </c>
      <c r="H91" t="inlineStr">
        <is>
          <t>Bergvik skog väst AB</t>
        </is>
      </c>
      <c r="I91" t="n">
        <v>1.5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2026-08-02T01:56:34Z</dcterms:created>
  <dcterms:modified xmlns:dcterms="http://purl.org/dc/terms/" xmlns:xsi="http://www.w3.org/2001/XMLSchema-instance" xsi:type="dcterms:W3CDTF">2026-08-02T01:56:34Z</dcterms:modified>
</cp:coreProperties>
</file>