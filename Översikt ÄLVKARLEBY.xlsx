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45578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45578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45578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45578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45578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45578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45578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45578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45578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50415-2020</t>
        </is>
      </c>
      <c r="B11" s="1" t="n">
        <v>44110</v>
      </c>
      <c r="C11" s="1" t="n">
        <v>45578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Skogssvingel</t>
        </is>
      </c>
      <c r="S11">
        <f>HYPERLINK("https://klasma.github.io/Logging_0319/artfynd/A 50415-2020 artfynd.xlsx", "A 50415-2020")</f>
        <v/>
      </c>
      <c r="T11">
        <f>HYPERLINK("https://klasma.github.io/Logging_0319/kartor/A 50415-2020 karta.png", "A 50415-2020")</f>
        <v/>
      </c>
      <c r="V11">
        <f>HYPERLINK("https://klasma.github.io/Logging_0319/klagomål/A 50415-2020 FSC-klagomål.docx", "A 50415-2020")</f>
        <v/>
      </c>
      <c r="W11">
        <f>HYPERLINK("https://klasma.github.io/Logging_0319/klagomålsmail/A 50415-2020 FSC-klagomål mail.docx", "A 50415-2020")</f>
        <v/>
      </c>
      <c r="X11">
        <f>HYPERLINK("https://klasma.github.io/Logging_0319/tillsyn/A 50415-2020 tillsynsbegäran.docx", "A 50415-2020")</f>
        <v/>
      </c>
      <c r="Y11">
        <f>HYPERLINK("https://klasma.github.io/Logging_0319/tillsynsmail/A 50415-2020 tillsynsbegäran mail.docx", "A 50415-2020")</f>
        <v/>
      </c>
      <c r="Z11">
        <f>HYPERLINK("https://klasma.github.io/Logging_0319/fåglar/A 50415-2020 prioriterade fågelarter.docx", "A 50415-2020")</f>
        <v/>
      </c>
    </row>
    <row r="12" ht="15" customHeight="1">
      <c r="A12" t="inlineStr">
        <is>
          <t>A 22025-2021</t>
        </is>
      </c>
      <c r="B12" s="1" t="n">
        <v>44323</v>
      </c>
      <c r="C12" s="1" t="n">
        <v>45578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15.8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Ekticka
Rödbrun blekspik</t>
        </is>
      </c>
      <c r="S12">
        <f>HYPERLINK("https://klasma.github.io/Logging_0319/artfynd/A 22025-2021 artfynd.xlsx", "A 22025-2021")</f>
        <v/>
      </c>
      <c r="T12">
        <f>HYPERLINK("https://klasma.github.io/Logging_0319/kartor/A 22025-2021 karta.png", "A 22025-2021")</f>
        <v/>
      </c>
      <c r="V12">
        <f>HYPERLINK("https://klasma.github.io/Logging_0319/klagomål/A 22025-2021 FSC-klagomål.docx", "A 22025-2021")</f>
        <v/>
      </c>
      <c r="W12">
        <f>HYPERLINK("https://klasma.github.io/Logging_0319/klagomålsmail/A 22025-2021 FSC-klagomål mail.docx", "A 22025-2021")</f>
        <v/>
      </c>
      <c r="X12">
        <f>HYPERLINK("https://klasma.github.io/Logging_0319/tillsyn/A 22025-2021 tillsynsbegäran.docx", "A 22025-2021")</f>
        <v/>
      </c>
      <c r="Y12">
        <f>HYPERLINK("https://klasma.github.io/Logging_0319/tillsynsmail/A 22025-2021 tillsynsbegäran mail.docx", "A 22025-2021")</f>
        <v/>
      </c>
    </row>
    <row r="13" ht="15" customHeight="1">
      <c r="A13" t="inlineStr">
        <is>
          <t>A 70017-2021</t>
        </is>
      </c>
      <c r="B13" s="1" t="n">
        <v>44533</v>
      </c>
      <c r="C13" s="1" t="n">
        <v>45578</v>
      </c>
      <c r="D13" t="inlineStr">
        <is>
          <t>UPPSALA LÄN</t>
        </is>
      </c>
      <c r="E13" t="inlineStr">
        <is>
          <t>ÄLVKARLEBY</t>
        </is>
      </c>
      <c r="G13" t="n">
        <v>2.1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Gölgroda
Trana</t>
        </is>
      </c>
      <c r="S13">
        <f>HYPERLINK("https://klasma.github.io/Logging_0319/artfynd/A 70017-2021 artfynd.xlsx", "A 70017-2021")</f>
        <v/>
      </c>
      <c r="T13">
        <f>HYPERLINK("https://klasma.github.io/Logging_0319/kartor/A 70017-2021 karta.png", "A 70017-2021")</f>
        <v/>
      </c>
      <c r="V13">
        <f>HYPERLINK("https://klasma.github.io/Logging_0319/klagomål/A 70017-2021 FSC-klagomål.docx", "A 70017-2021")</f>
        <v/>
      </c>
      <c r="W13">
        <f>HYPERLINK("https://klasma.github.io/Logging_0319/klagomålsmail/A 70017-2021 FSC-klagomål mail.docx", "A 70017-2021")</f>
        <v/>
      </c>
      <c r="X13">
        <f>HYPERLINK("https://klasma.github.io/Logging_0319/tillsyn/A 70017-2021 tillsynsbegäran.docx", "A 70017-2021")</f>
        <v/>
      </c>
      <c r="Y13">
        <f>HYPERLINK("https://klasma.github.io/Logging_0319/tillsynsmail/A 70017-2021 tillsynsbegäran mail.docx", "A 70017-2021")</f>
        <v/>
      </c>
      <c r="Z13">
        <f>HYPERLINK("https://klasma.github.io/Logging_0319/fåglar/A 70017-2021 prioriterade fågelarter.docx", "A 70017-2021")</f>
        <v/>
      </c>
    </row>
    <row r="14" ht="15" customHeight="1">
      <c r="A14" t="inlineStr">
        <is>
          <t>A 6832-2023</t>
        </is>
      </c>
      <c r="B14" s="1" t="n">
        <v>44967</v>
      </c>
      <c r="C14" s="1" t="n">
        <v>45578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8.9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Grangråticka
Koppartaggsvamp</t>
        </is>
      </c>
      <c r="S14">
        <f>HYPERLINK("https://klasma.github.io/Logging_0319/artfynd/A 6832-2023 artfynd.xlsx", "A 6832-2023")</f>
        <v/>
      </c>
      <c r="T14">
        <f>HYPERLINK("https://klasma.github.io/Logging_0319/kartor/A 6832-2023 karta.png", "A 6832-2023")</f>
        <v/>
      </c>
      <c r="V14">
        <f>HYPERLINK("https://klasma.github.io/Logging_0319/klagomål/A 6832-2023 FSC-klagomål.docx", "A 6832-2023")</f>
        <v/>
      </c>
      <c r="W14">
        <f>HYPERLINK("https://klasma.github.io/Logging_0319/klagomålsmail/A 6832-2023 FSC-klagomål mail.docx", "A 6832-2023")</f>
        <v/>
      </c>
      <c r="X14">
        <f>HYPERLINK("https://klasma.github.io/Logging_0319/tillsyn/A 6832-2023 tillsynsbegäran.docx", "A 6832-2023")</f>
        <v/>
      </c>
      <c r="Y14">
        <f>HYPERLINK("https://klasma.github.io/Logging_0319/tillsynsmail/A 6832-2023 tillsynsbegäran mail.docx", "A 6832-2023")</f>
        <v/>
      </c>
    </row>
    <row r="15" ht="15" customHeight="1">
      <c r="A15" t="inlineStr">
        <is>
          <t>A 46363-2023</t>
        </is>
      </c>
      <c r="B15" s="1" t="n">
        <v>45197</v>
      </c>
      <c r="C15" s="1" t="n">
        <v>45578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öst AB</t>
        </is>
      </c>
      <c r="G15" t="n">
        <v>11.8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Brudsporre
Fläcknycklar</t>
        </is>
      </c>
      <c r="S15">
        <f>HYPERLINK("https://klasma.github.io/Logging_0319/artfynd/A 46363-2023 artfynd.xlsx", "A 46363-2023")</f>
        <v/>
      </c>
      <c r="T15">
        <f>HYPERLINK("https://klasma.github.io/Logging_0319/kartor/A 46363-2023 karta.png", "A 46363-2023")</f>
        <v/>
      </c>
      <c r="V15">
        <f>HYPERLINK("https://klasma.github.io/Logging_0319/klagomål/A 46363-2023 FSC-klagomål.docx", "A 46363-2023")</f>
        <v/>
      </c>
      <c r="W15">
        <f>HYPERLINK("https://klasma.github.io/Logging_0319/klagomålsmail/A 46363-2023 FSC-klagomål mail.docx", "A 46363-2023")</f>
        <v/>
      </c>
      <c r="X15">
        <f>HYPERLINK("https://klasma.github.io/Logging_0319/tillsyn/A 46363-2023 tillsynsbegäran.docx", "A 46363-2023")</f>
        <v/>
      </c>
      <c r="Y15">
        <f>HYPERLINK("https://klasma.github.io/Logging_0319/tillsynsmail/A 46363-2023 tillsynsbegäran mail.docx", "A 46363-2023")</f>
        <v/>
      </c>
    </row>
    <row r="16" ht="15" customHeight="1">
      <c r="A16" t="inlineStr">
        <is>
          <t>A 60458-2023</t>
        </is>
      </c>
      <c r="B16" s="1" t="n">
        <v>45259</v>
      </c>
      <c r="C16" s="1" t="n">
        <v>45578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Bredgentiana
Fältgentiana</t>
        </is>
      </c>
      <c r="S16">
        <f>HYPERLINK("https://klasma.github.io/Logging_0319/artfynd/A 60458-2023 artfynd.xlsx", "A 60458-2023")</f>
        <v/>
      </c>
      <c r="T16">
        <f>HYPERLINK("https://klasma.github.io/Logging_0319/kartor/A 60458-2023 karta.png", "A 60458-2023")</f>
        <v/>
      </c>
      <c r="V16">
        <f>HYPERLINK("https://klasma.github.io/Logging_0319/klagomål/A 60458-2023 FSC-klagomål.docx", "A 60458-2023")</f>
        <v/>
      </c>
      <c r="W16">
        <f>HYPERLINK("https://klasma.github.io/Logging_0319/klagomålsmail/A 60458-2023 FSC-klagomål mail.docx", "A 60458-2023")</f>
        <v/>
      </c>
      <c r="X16">
        <f>HYPERLINK("https://klasma.github.io/Logging_0319/tillsyn/A 60458-2023 tillsynsbegäran.docx", "A 60458-2023")</f>
        <v/>
      </c>
      <c r="Y16">
        <f>HYPERLINK("https://klasma.github.io/Logging_0319/tillsynsmail/A 60458-2023 tillsynsbegäran mail.docx", "A 60458-2023")</f>
        <v/>
      </c>
    </row>
    <row r="17" ht="15" customHeight="1">
      <c r="A17" t="inlineStr">
        <is>
          <t>A 40687-2024</t>
        </is>
      </c>
      <c r="B17" s="1" t="n">
        <v>45558</v>
      </c>
      <c r="C17" s="1" t="n">
        <v>45578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14.1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Skogsklocka
Trådfräken</t>
        </is>
      </c>
      <c r="S17">
        <f>HYPERLINK("https://klasma.github.io/Logging_0319/artfynd/A 40687-2024 artfynd.xlsx", "A 40687-2024")</f>
        <v/>
      </c>
      <c r="T17">
        <f>HYPERLINK("https://klasma.github.io/Logging_0319/kartor/A 40687-2024 karta.png", "A 40687-2024")</f>
        <v/>
      </c>
      <c r="V17">
        <f>HYPERLINK("https://klasma.github.io/Logging_0319/klagomål/A 40687-2024 FSC-klagomål.docx", "A 40687-2024")</f>
        <v/>
      </c>
      <c r="W17">
        <f>HYPERLINK("https://klasma.github.io/Logging_0319/klagomålsmail/A 40687-2024 FSC-klagomål mail.docx", "A 40687-2024")</f>
        <v/>
      </c>
      <c r="X17">
        <f>HYPERLINK("https://klasma.github.io/Logging_0319/tillsyn/A 40687-2024 tillsynsbegäran.docx", "A 40687-2024")</f>
        <v/>
      </c>
      <c r="Y17">
        <f>HYPERLINK("https://klasma.github.io/Logging_0319/tillsynsmail/A 40687-2024 tillsynsbegäran mail.docx", "A 40687-2024")</f>
        <v/>
      </c>
    </row>
    <row r="18" ht="15" customHeight="1">
      <c r="A18" t="inlineStr">
        <is>
          <t>A 61147-2019</t>
        </is>
      </c>
      <c r="B18" s="1" t="n">
        <v>43782</v>
      </c>
      <c r="C18" s="1" t="n">
        <v>45578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Violgubbe</t>
        </is>
      </c>
      <c r="S18">
        <f>HYPERLINK("https://klasma.github.io/Logging_0319/artfynd/A 61147-2019 artfynd.xlsx", "A 61147-2019")</f>
        <v/>
      </c>
      <c r="T18">
        <f>HYPERLINK("https://klasma.github.io/Logging_0319/kartor/A 61147-2019 karta.png", "A 61147-2019")</f>
        <v/>
      </c>
      <c r="V18">
        <f>HYPERLINK("https://klasma.github.io/Logging_0319/klagomål/A 61147-2019 FSC-klagomål.docx", "A 61147-2019")</f>
        <v/>
      </c>
      <c r="W18">
        <f>HYPERLINK("https://klasma.github.io/Logging_0319/klagomålsmail/A 61147-2019 FSC-klagomål mail.docx", "A 61147-2019")</f>
        <v/>
      </c>
      <c r="X18">
        <f>HYPERLINK("https://klasma.github.io/Logging_0319/tillsyn/A 61147-2019 tillsynsbegäran.docx", "A 61147-2019")</f>
        <v/>
      </c>
      <c r="Y18">
        <f>HYPERLINK("https://klasma.github.io/Logging_0319/tillsynsmail/A 61147-2019 tillsynsbegäran mail.docx", "A 61147-2019")</f>
        <v/>
      </c>
    </row>
    <row r="19" ht="15" customHeight="1">
      <c r="A19" t="inlineStr">
        <is>
          <t>A 42895-2020</t>
        </is>
      </c>
      <c r="B19" s="1" t="n">
        <v>44078</v>
      </c>
      <c r="C19" s="1" t="n">
        <v>45578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Gölgroda</t>
        </is>
      </c>
      <c r="S19">
        <f>HYPERLINK("https://klasma.github.io/Logging_0319/artfynd/A 42895-2020 artfynd.xlsx", "A 42895-2020")</f>
        <v/>
      </c>
      <c r="T19">
        <f>HYPERLINK("https://klasma.github.io/Logging_0319/kartor/A 42895-2020 karta.png", "A 42895-2020")</f>
        <v/>
      </c>
      <c r="V19">
        <f>HYPERLINK("https://klasma.github.io/Logging_0319/klagomål/A 42895-2020 FSC-klagomål.docx", "A 42895-2020")</f>
        <v/>
      </c>
      <c r="W19">
        <f>HYPERLINK("https://klasma.github.io/Logging_0319/klagomålsmail/A 42895-2020 FSC-klagomål mail.docx", "A 42895-2020")</f>
        <v/>
      </c>
      <c r="X19">
        <f>HYPERLINK("https://klasma.github.io/Logging_0319/tillsyn/A 42895-2020 tillsynsbegäran.docx", "A 42895-2020")</f>
        <v/>
      </c>
      <c r="Y19">
        <f>HYPERLINK("https://klasma.github.io/Logging_0319/tillsynsmail/A 42895-2020 tillsynsbegäran mail.docx", "A 42895-2020")</f>
        <v/>
      </c>
    </row>
    <row r="20" ht="15" customHeight="1">
      <c r="A20" t="inlineStr">
        <is>
          <t>A 66277-2020</t>
        </is>
      </c>
      <c r="B20" s="1" t="n">
        <v>44176</v>
      </c>
      <c r="C20" s="1" t="n">
        <v>45578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HYPERLINK("https://klasma.github.io/Logging_0319/artfynd/A 66277-2020 artfynd.xlsx", "A 66277-2020")</f>
        <v/>
      </c>
      <c r="T20">
        <f>HYPERLINK("https://klasma.github.io/Logging_0319/kartor/A 66277-2020 karta.png", "A 66277-2020")</f>
        <v/>
      </c>
      <c r="V20">
        <f>HYPERLINK("https://klasma.github.io/Logging_0319/klagomål/A 66277-2020 FSC-klagomål.docx", "A 66277-2020")</f>
        <v/>
      </c>
      <c r="W20">
        <f>HYPERLINK("https://klasma.github.io/Logging_0319/klagomålsmail/A 66277-2020 FSC-klagomål mail.docx", "A 66277-2020")</f>
        <v/>
      </c>
      <c r="X20">
        <f>HYPERLINK("https://klasma.github.io/Logging_0319/tillsyn/A 66277-2020 tillsynsbegäran.docx", "A 66277-2020")</f>
        <v/>
      </c>
      <c r="Y20">
        <f>HYPERLINK("https://klasma.github.io/Logging_0319/tillsynsmail/A 66277-2020 tillsynsbegäran mail.docx", "A 66277-2020")</f>
        <v/>
      </c>
    </row>
    <row r="21" ht="15" customHeight="1">
      <c r="A21" t="inlineStr">
        <is>
          <t>A 29748-2022</t>
        </is>
      </c>
      <c r="B21" s="1" t="n">
        <v>44755</v>
      </c>
      <c r="C21" s="1" t="n">
        <v>45578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 bockrot</t>
        </is>
      </c>
      <c r="S21">
        <f>HYPERLINK("https://klasma.github.io/Logging_0319/artfynd/A 29748-2022 artfynd.xlsx", "A 29748-2022")</f>
        <v/>
      </c>
      <c r="T21">
        <f>HYPERLINK("https://klasma.github.io/Logging_0319/kartor/A 29748-2022 karta.png", "A 29748-2022")</f>
        <v/>
      </c>
      <c r="V21">
        <f>HYPERLINK("https://klasma.github.io/Logging_0319/klagomål/A 29748-2022 FSC-klagomål.docx", "A 29748-2022")</f>
        <v/>
      </c>
      <c r="W21">
        <f>HYPERLINK("https://klasma.github.io/Logging_0319/klagomålsmail/A 29748-2022 FSC-klagomål mail.docx", "A 29748-2022")</f>
        <v/>
      </c>
      <c r="X21">
        <f>HYPERLINK("https://klasma.github.io/Logging_0319/tillsyn/A 29748-2022 tillsynsbegäran.docx", "A 29748-2022")</f>
        <v/>
      </c>
      <c r="Y21">
        <f>HYPERLINK("https://klasma.github.io/Logging_0319/tillsynsmail/A 29748-2022 tillsynsbegäran mail.docx", "A 29748-2022")</f>
        <v/>
      </c>
    </row>
    <row r="22" ht="15" customHeight="1">
      <c r="A22" t="inlineStr">
        <is>
          <t>A 12415-2023</t>
        </is>
      </c>
      <c r="B22" s="1" t="n">
        <v>44999</v>
      </c>
      <c r="C22" s="1" t="n">
        <v>45578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HYPERLINK("https://klasma.github.io/Logging_0319/artfynd/A 12415-2023 artfynd.xlsx", "A 12415-2023")</f>
        <v/>
      </c>
      <c r="T22">
        <f>HYPERLINK("https://klasma.github.io/Logging_0319/kartor/A 12415-2023 karta.png", "A 12415-2023")</f>
        <v/>
      </c>
      <c r="V22">
        <f>HYPERLINK("https://klasma.github.io/Logging_0319/klagomål/A 12415-2023 FSC-klagomål.docx", "A 12415-2023")</f>
        <v/>
      </c>
      <c r="W22">
        <f>HYPERLINK("https://klasma.github.io/Logging_0319/klagomålsmail/A 12415-2023 FSC-klagomål mail.docx", "A 12415-2023")</f>
        <v/>
      </c>
      <c r="X22">
        <f>HYPERLINK("https://klasma.github.io/Logging_0319/tillsyn/A 12415-2023 tillsynsbegäran.docx", "A 12415-2023")</f>
        <v/>
      </c>
      <c r="Y22">
        <f>HYPERLINK("https://klasma.github.io/Logging_0319/tillsynsmail/A 12415-2023 tillsynsbegäran mail.docx", "A 12415-2023")</f>
        <v/>
      </c>
    </row>
    <row r="23" ht="15" customHeight="1">
      <c r="A23" t="inlineStr">
        <is>
          <t>A 46354-2023</t>
        </is>
      </c>
      <c r="B23" s="1" t="n">
        <v>45197</v>
      </c>
      <c r="C23" s="1" t="n">
        <v>45578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Skogsknipprot</t>
        </is>
      </c>
      <c r="S23">
        <f>HYPERLINK("https://klasma.github.io/Logging_0319/artfynd/A 46354-2023 artfynd.xlsx", "A 46354-2023")</f>
        <v/>
      </c>
      <c r="T23">
        <f>HYPERLINK("https://klasma.github.io/Logging_0319/kartor/A 46354-2023 karta.png", "A 46354-2023")</f>
        <v/>
      </c>
      <c r="V23">
        <f>HYPERLINK("https://klasma.github.io/Logging_0319/klagomål/A 46354-2023 FSC-klagomål.docx", "A 46354-2023")</f>
        <v/>
      </c>
      <c r="W23">
        <f>HYPERLINK("https://klasma.github.io/Logging_0319/klagomålsmail/A 46354-2023 FSC-klagomål mail.docx", "A 46354-2023")</f>
        <v/>
      </c>
      <c r="X23">
        <f>HYPERLINK("https://klasma.github.io/Logging_0319/tillsyn/A 46354-2023 tillsynsbegäran.docx", "A 46354-2023")</f>
        <v/>
      </c>
      <c r="Y23">
        <f>HYPERLINK("https://klasma.github.io/Logging_0319/tillsynsmail/A 46354-2023 tillsynsbegäran mail.docx", "A 46354-2023")</f>
        <v/>
      </c>
    </row>
    <row r="24" ht="15" customHeight="1">
      <c r="A24" t="inlineStr">
        <is>
          <t>A 5209-2024</t>
        </is>
      </c>
      <c r="B24" s="1" t="n">
        <v>45330</v>
      </c>
      <c r="C24" s="1" t="n">
        <v>45578</v>
      </c>
      <c r="D24" t="inlineStr">
        <is>
          <t>UPPSALA LÄN</t>
        </is>
      </c>
      <c r="E24" t="inlineStr">
        <is>
          <t>ÄLVKARLEBY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Guckusko</t>
        </is>
      </c>
      <c r="S24">
        <f>HYPERLINK("https://klasma.github.io/Logging_0319/artfynd/A 5209-2024 artfynd.xlsx", "A 5209-2024")</f>
        <v/>
      </c>
      <c r="T24">
        <f>HYPERLINK("https://klasma.github.io/Logging_0319/kartor/A 5209-2024 karta.png", "A 5209-2024")</f>
        <v/>
      </c>
      <c r="V24">
        <f>HYPERLINK("https://klasma.github.io/Logging_0319/klagomål/A 5209-2024 FSC-klagomål.docx", "A 5209-2024")</f>
        <v/>
      </c>
      <c r="W24">
        <f>HYPERLINK("https://klasma.github.io/Logging_0319/klagomålsmail/A 5209-2024 FSC-klagomål mail.docx", "A 5209-2024")</f>
        <v/>
      </c>
      <c r="X24">
        <f>HYPERLINK("https://klasma.github.io/Logging_0319/tillsyn/A 5209-2024 tillsynsbegäran.docx", "A 5209-2024")</f>
        <v/>
      </c>
      <c r="Y24">
        <f>HYPERLINK("https://klasma.github.io/Logging_0319/tillsynsmail/A 5209-2024 tillsynsbegäran mail.docx", "A 5209-2024")</f>
        <v/>
      </c>
    </row>
    <row r="25" ht="15" customHeight="1">
      <c r="A25" t="inlineStr">
        <is>
          <t>A 21700-2024</t>
        </is>
      </c>
      <c r="B25" s="1" t="n">
        <v>45442</v>
      </c>
      <c r="C25" s="1" t="n">
        <v>45578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1.1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Töcknig trymal</t>
        </is>
      </c>
      <c r="S25">
        <f>HYPERLINK("https://klasma.github.io/Logging_0319/artfynd/A 21700-2024 artfynd.xlsx", "A 21700-2024")</f>
        <v/>
      </c>
      <c r="T25">
        <f>HYPERLINK("https://klasma.github.io/Logging_0319/kartor/A 21700-2024 karta.png", "A 21700-2024")</f>
        <v/>
      </c>
      <c r="V25">
        <f>HYPERLINK("https://klasma.github.io/Logging_0319/klagomål/A 21700-2024 FSC-klagomål.docx", "A 21700-2024")</f>
        <v/>
      </c>
      <c r="W25">
        <f>HYPERLINK("https://klasma.github.io/Logging_0319/klagomålsmail/A 21700-2024 FSC-klagomål mail.docx", "A 21700-2024")</f>
        <v/>
      </c>
      <c r="X25">
        <f>HYPERLINK("https://klasma.github.io/Logging_0319/tillsyn/A 21700-2024 tillsynsbegäran.docx", "A 21700-2024")</f>
        <v/>
      </c>
      <c r="Y25">
        <f>HYPERLINK("https://klasma.github.io/Logging_0319/tillsynsmail/A 21700-2024 tillsynsbegäran mail.docx", "A 21700-2024")</f>
        <v/>
      </c>
    </row>
    <row r="26" ht="15" customHeight="1">
      <c r="A26" t="inlineStr">
        <is>
          <t>A 26471-2024</t>
        </is>
      </c>
      <c r="B26" s="1" t="n">
        <v>45469</v>
      </c>
      <c r="C26" s="1" t="n">
        <v>45578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HYPERLINK("https://klasma.github.io/Logging_0319/artfynd/A 26471-2024 artfynd.xlsx", "A 26471-2024")</f>
        <v/>
      </c>
      <c r="T26">
        <f>HYPERLINK("https://klasma.github.io/Logging_0319/kartor/A 26471-2024 karta.png", "A 26471-2024")</f>
        <v/>
      </c>
      <c r="V26">
        <f>HYPERLINK("https://klasma.github.io/Logging_0319/klagomål/A 26471-2024 FSC-klagomål.docx", "A 26471-2024")</f>
        <v/>
      </c>
      <c r="W26">
        <f>HYPERLINK("https://klasma.github.io/Logging_0319/klagomålsmail/A 26471-2024 FSC-klagomål mail.docx", "A 26471-2024")</f>
        <v/>
      </c>
      <c r="X26">
        <f>HYPERLINK("https://klasma.github.io/Logging_0319/tillsyn/A 26471-2024 tillsynsbegäran.docx", "A 26471-2024")</f>
        <v/>
      </c>
      <c r="Y26">
        <f>HYPERLINK("https://klasma.github.io/Logging_0319/tillsynsmail/A 26471-2024 tillsynsbegäran mail.docx", "A 26471-2024")</f>
        <v/>
      </c>
      <c r="Z26">
        <f>HYPERLINK("https://klasma.github.io/Logging_0319/fåglar/A 26471-2024 prioriterade fågelarter.docx", "A 26471-2024")</f>
        <v/>
      </c>
    </row>
    <row r="27" ht="15" customHeight="1">
      <c r="A27" t="inlineStr">
        <is>
          <t>A 33775-2024</t>
        </is>
      </c>
      <c r="B27" s="1" t="n">
        <v>45520</v>
      </c>
      <c r="C27" s="1" t="n">
        <v>45578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HYPERLINK("https://klasma.github.io/Logging_0319/artfynd/A 33775-2024 artfynd.xlsx", "A 33775-2024")</f>
        <v/>
      </c>
      <c r="T27">
        <f>HYPERLINK("https://klasma.github.io/Logging_0319/kartor/A 33775-2024 karta.png", "A 33775-2024")</f>
        <v/>
      </c>
      <c r="V27">
        <f>HYPERLINK("https://klasma.github.io/Logging_0319/klagomål/A 33775-2024 FSC-klagomål.docx", "A 33775-2024")</f>
        <v/>
      </c>
      <c r="W27">
        <f>HYPERLINK("https://klasma.github.io/Logging_0319/klagomålsmail/A 33775-2024 FSC-klagomål mail.docx", "A 33775-2024")</f>
        <v/>
      </c>
      <c r="X27">
        <f>HYPERLINK("https://klasma.github.io/Logging_0319/tillsyn/A 33775-2024 tillsynsbegäran.docx", "A 33775-2024")</f>
        <v/>
      </c>
      <c r="Y27">
        <f>HYPERLINK("https://klasma.github.io/Logging_0319/tillsynsmail/A 33775-2024 tillsynsbegäran mail.docx", "A 33775-2024")</f>
        <v/>
      </c>
    </row>
    <row r="28" ht="15" customHeight="1">
      <c r="A28" t="inlineStr">
        <is>
          <t>A 33796-2024</t>
        </is>
      </c>
      <c r="B28" s="1" t="n">
        <v>45520</v>
      </c>
      <c r="C28" s="1" t="n">
        <v>45578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HYPERLINK("https://klasma.github.io/Logging_0319/artfynd/A 33796-2024 artfynd.xlsx", "A 33796-2024")</f>
        <v/>
      </c>
      <c r="T28">
        <f>HYPERLINK("https://klasma.github.io/Logging_0319/kartor/A 33796-2024 karta.png", "A 33796-2024")</f>
        <v/>
      </c>
      <c r="V28">
        <f>HYPERLINK("https://klasma.github.io/Logging_0319/klagomål/A 33796-2024 FSC-klagomål.docx", "A 33796-2024")</f>
        <v/>
      </c>
      <c r="W28">
        <f>HYPERLINK("https://klasma.github.io/Logging_0319/klagomålsmail/A 33796-2024 FSC-klagomål mail.docx", "A 33796-2024")</f>
        <v/>
      </c>
      <c r="X28">
        <f>HYPERLINK("https://klasma.github.io/Logging_0319/tillsyn/A 33796-2024 tillsynsbegäran.docx", "A 33796-2024")</f>
        <v/>
      </c>
      <c r="Y28">
        <f>HYPERLINK("https://klasma.github.io/Logging_0319/tillsynsmail/A 33796-2024 tillsynsbegäran mail.docx", "A 33796-2024")</f>
        <v/>
      </c>
    </row>
    <row r="29" ht="15" customHeight="1">
      <c r="A29" t="inlineStr">
        <is>
          <t>A 19969-2019</t>
        </is>
      </c>
      <c r="B29" s="1" t="n">
        <v>43570</v>
      </c>
      <c r="C29" s="1" t="n">
        <v>45578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45578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45578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45578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45578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45578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45578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45578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45578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45578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45578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45578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45578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45578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45578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45578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45578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45578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45578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45578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45578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45578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45578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45578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45578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45578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45578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45578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45578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45578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45578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45578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45578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45578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45578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45578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45578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45578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45578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45578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45578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45578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45578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45578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45578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45578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45578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45578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45578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45578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45578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45578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45578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45578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45578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45578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45578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45578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45578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45578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45578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45578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45578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45578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45578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45578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45578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45578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45578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45578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45578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895-2024</t>
        </is>
      </c>
      <c r="B100" s="1" t="n">
        <v>45301</v>
      </c>
      <c r="C100" s="1" t="n">
        <v>45578</v>
      </c>
      <c r="D100" t="inlineStr">
        <is>
          <t>UPPSALA LÄN</t>
        </is>
      </c>
      <c r="E100" t="inlineStr">
        <is>
          <t>ÄLVKARLEBY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996-2024</t>
        </is>
      </c>
      <c r="B101" s="1" t="n">
        <v>45301</v>
      </c>
      <c r="C101" s="1" t="n">
        <v>45578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45578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2184-2024</t>
        </is>
      </c>
      <c r="B103" s="1" t="n">
        <v>45309</v>
      </c>
      <c r="C103" s="1" t="n">
        <v>45578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19300-2024</t>
        </is>
      </c>
      <c r="B104" s="1" t="n">
        <v>45428</v>
      </c>
      <c r="C104" s="1" t="n">
        <v>45578</v>
      </c>
      <c r="D104" t="inlineStr">
        <is>
          <t>UPPSALA LÄN</t>
        </is>
      </c>
      <c r="E104" t="inlineStr">
        <is>
          <t>ÄLVKARLEBY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19304-2024</t>
        </is>
      </c>
      <c r="B105" s="1" t="n">
        <v>45428</v>
      </c>
      <c r="C105" s="1" t="n">
        <v>45578</v>
      </c>
      <c r="D105" t="inlineStr">
        <is>
          <t>UPPSALA LÄN</t>
        </is>
      </c>
      <c r="E105" t="inlineStr">
        <is>
          <t>ÄLVKARLEBY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19303-2024</t>
        </is>
      </c>
      <c r="B106" s="1" t="n">
        <v>45428</v>
      </c>
      <c r="C106" s="1" t="n">
        <v>45578</v>
      </c>
      <c r="D106" t="inlineStr">
        <is>
          <t>UPPSALA LÄN</t>
        </is>
      </c>
      <c r="E106" t="inlineStr">
        <is>
          <t>ÄLVKARLEBY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19298-2024</t>
        </is>
      </c>
      <c r="B107" s="1" t="n">
        <v>45428</v>
      </c>
      <c r="C107" s="1" t="n">
        <v>45578</v>
      </c>
      <c r="D107" t="inlineStr">
        <is>
          <t>UPPSALA LÄN</t>
        </is>
      </c>
      <c r="E107" t="inlineStr">
        <is>
          <t>ÄLVKARLEBY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29899-2024</t>
        </is>
      </c>
      <c r="B108" s="1" t="n">
        <v>45487</v>
      </c>
      <c r="C108" s="1" t="n">
        <v>45578</v>
      </c>
      <c r="D108" t="inlineStr">
        <is>
          <t>UPPSALA LÄN</t>
        </is>
      </c>
      <c r="E108" t="inlineStr">
        <is>
          <t>ÄLVKARLEBY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33781-2024</t>
        </is>
      </c>
      <c r="B109" s="1" t="n">
        <v>45520</v>
      </c>
      <c r="C109" s="1" t="n">
        <v>45578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34963-2024</t>
        </is>
      </c>
      <c r="B110" s="1" t="n">
        <v>45527</v>
      </c>
      <c r="C110" s="1" t="n">
        <v>45578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35832-2024</t>
        </is>
      </c>
      <c r="B111" s="1" t="n">
        <v>45532</v>
      </c>
      <c r="C111" s="1" t="n">
        <v>45578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38195-2024</t>
        </is>
      </c>
      <c r="B112" s="1" t="n">
        <v>45545</v>
      </c>
      <c r="C112" s="1" t="n">
        <v>45578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38199-2024</t>
        </is>
      </c>
      <c r="B113" s="1" t="n">
        <v>45545</v>
      </c>
      <c r="C113" s="1" t="n">
        <v>45578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38217-2024</t>
        </is>
      </c>
      <c r="B114" s="1" t="n">
        <v>45545</v>
      </c>
      <c r="C114" s="1" t="n">
        <v>45578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41121-2024</t>
        </is>
      </c>
      <c r="B115" s="1" t="n">
        <v>45559</v>
      </c>
      <c r="C115" s="1" t="n">
        <v>45578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41929-2024</t>
        </is>
      </c>
      <c r="B116" s="1" t="n">
        <v>45561</v>
      </c>
      <c r="C116" s="1" t="n">
        <v>45578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41979-2024</t>
        </is>
      </c>
      <c r="B117" s="1" t="n">
        <v>45561</v>
      </c>
      <c r="C117" s="1" t="n">
        <v>45578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41894-2024</t>
        </is>
      </c>
      <c r="B118" s="1" t="n">
        <v>45561</v>
      </c>
      <c r="C118" s="1" t="n">
        <v>45578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41898-2024</t>
        </is>
      </c>
      <c r="B119" s="1" t="n">
        <v>45561</v>
      </c>
      <c r="C119" s="1" t="n">
        <v>45578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45040-2024</t>
        </is>
      </c>
      <c r="B120" s="1" t="n">
        <v>45575</v>
      </c>
      <c r="C120" s="1" t="n">
        <v>45578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45039-2024</t>
        </is>
      </c>
      <c r="B121" s="1" t="n">
        <v>45575</v>
      </c>
      <c r="C121" s="1" t="n">
        <v>45578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45372-2024</t>
        </is>
      </c>
      <c r="B122" s="1" t="n">
        <v>45576</v>
      </c>
      <c r="C122" s="1" t="n">
        <v>45578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45371-2024</t>
        </is>
      </c>
      <c r="B123" s="1" t="n">
        <v>45576</v>
      </c>
      <c r="C123" s="1" t="n">
        <v>45578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2024-10-13T12:13:50Z</dcterms:created>
  <dcterms:modified xmlns:dcterms="http://purl.org/dc/terms/" xmlns:xsi="http://www.w3.org/2001/XMLSchema-instance" xsi:type="dcterms:W3CDTF">2024-10-13T12:13:51Z</dcterms:modified>
</cp:coreProperties>
</file>