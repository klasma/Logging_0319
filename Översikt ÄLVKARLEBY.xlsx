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45973</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45973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45973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45973</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66277-2020</t>
        </is>
      </c>
      <c r="B17" s="1" t="n">
        <v>44176</v>
      </c>
      <c r="C17" s="1" t="n">
        <v>45973</v>
      </c>
      <c r="D17" t="inlineStr">
        <is>
          <t>UPPSALA LÄN</t>
        </is>
      </c>
      <c r="E17" t="inlineStr">
        <is>
          <t>ÄLVKARLEBY</t>
        </is>
      </c>
      <c r="F17" t="inlineStr">
        <is>
          <t>Bergvik skog väst AB</t>
        </is>
      </c>
      <c r="G17" t="n">
        <v>2.6</v>
      </c>
      <c r="H17" t="n">
        <v>1</v>
      </c>
      <c r="I17" t="n">
        <v>0</v>
      </c>
      <c r="J17" t="n">
        <v>0</v>
      </c>
      <c r="K17" t="n">
        <v>0</v>
      </c>
      <c r="L17" t="n">
        <v>0</v>
      </c>
      <c r="M17" t="n">
        <v>0</v>
      </c>
      <c r="N17" t="n">
        <v>0</v>
      </c>
      <c r="O17" t="n">
        <v>0</v>
      </c>
      <c r="P17" t="n">
        <v>0</v>
      </c>
      <c r="Q17" t="n">
        <v>1</v>
      </c>
      <c r="R17" s="2" t="inlineStr">
        <is>
          <t>Vanlig padda</t>
        </is>
      </c>
      <c r="S17">
        <f>HYPERLINK("https://klasma.github.io/Logging_0319/artfynd/A 66277-2020 artfynd.xlsx", "A 66277-2020")</f>
        <v/>
      </c>
      <c r="T17">
        <f>HYPERLINK("https://klasma.github.io/Logging_0319/kartor/A 66277-2020 karta.png", "A 66277-2020")</f>
        <v/>
      </c>
      <c r="V17">
        <f>HYPERLINK("https://klasma.github.io/Logging_0319/klagomål/A 66277-2020 FSC-klagomål.docx", "A 66277-2020")</f>
        <v/>
      </c>
      <c r="W17">
        <f>HYPERLINK("https://klasma.github.io/Logging_0319/klagomålsmail/A 66277-2020 FSC-klagomål mail.docx", "A 66277-2020")</f>
        <v/>
      </c>
      <c r="X17">
        <f>HYPERLINK("https://klasma.github.io/Logging_0319/tillsyn/A 66277-2020 tillsynsbegäran.docx", "A 66277-2020")</f>
        <v/>
      </c>
      <c r="Y17">
        <f>HYPERLINK("https://klasma.github.io/Logging_0319/tillsynsmail/A 66277-2020 tillsynsbegäran mail.docx", "A 66277-2020")</f>
        <v/>
      </c>
    </row>
    <row r="18" ht="15" customHeight="1">
      <c r="A18" t="inlineStr">
        <is>
          <t>A 19300-2024</t>
        </is>
      </c>
      <c r="B18" s="1" t="n">
        <v>45428.70128472222</v>
      </c>
      <c r="C18" s="1" t="n">
        <v>45973</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9521-2025</t>
        </is>
      </c>
      <c r="B19" s="1" t="n">
        <v>45715.56259259259</v>
      </c>
      <c r="C19" s="1" t="n">
        <v>45973</v>
      </c>
      <c r="D19" t="inlineStr">
        <is>
          <t>UPPSALA LÄN</t>
        </is>
      </c>
      <c r="E19" t="inlineStr">
        <is>
          <t>ÄLVKARLEBY</t>
        </is>
      </c>
      <c r="G19" t="n">
        <v>6.3</v>
      </c>
      <c r="H19" t="n">
        <v>0</v>
      </c>
      <c r="I19" t="n">
        <v>1</v>
      </c>
      <c r="J19" t="n">
        <v>0</v>
      </c>
      <c r="K19" t="n">
        <v>0</v>
      </c>
      <c r="L19" t="n">
        <v>0</v>
      </c>
      <c r="M19" t="n">
        <v>0</v>
      </c>
      <c r="N19" t="n">
        <v>0</v>
      </c>
      <c r="O19" t="n">
        <v>0</v>
      </c>
      <c r="P19" t="n">
        <v>0</v>
      </c>
      <c r="Q19" t="n">
        <v>1</v>
      </c>
      <c r="R19" s="2" t="inlineStr">
        <is>
          <t>Rödgul trumpetsvamp</t>
        </is>
      </c>
      <c r="S19">
        <f>HYPERLINK("https://klasma.github.io/Logging_0319/artfynd/A 9521-2025 artfynd.xlsx", "A 9521-2025")</f>
        <v/>
      </c>
      <c r="T19">
        <f>HYPERLINK("https://klasma.github.io/Logging_0319/kartor/A 9521-2025 karta.png", "A 9521-2025")</f>
        <v/>
      </c>
      <c r="V19">
        <f>HYPERLINK("https://klasma.github.io/Logging_0319/klagomål/A 9521-2025 FSC-klagomål.docx", "A 9521-2025")</f>
        <v/>
      </c>
      <c r="W19">
        <f>HYPERLINK("https://klasma.github.io/Logging_0319/klagomålsmail/A 9521-2025 FSC-klagomål mail.docx", "A 9521-2025")</f>
        <v/>
      </c>
      <c r="X19">
        <f>HYPERLINK("https://klasma.github.io/Logging_0319/tillsyn/A 9521-2025 tillsynsbegäran.docx", "A 9521-2025")</f>
        <v/>
      </c>
      <c r="Y19">
        <f>HYPERLINK("https://klasma.github.io/Logging_0319/tillsynsmail/A 9521-2025 tillsynsbegäran mail.docx", "A 9521-2025")</f>
        <v/>
      </c>
    </row>
    <row r="20" ht="15" customHeight="1">
      <c r="A20" t="inlineStr">
        <is>
          <t>A 39902-2025</t>
        </is>
      </c>
      <c r="B20" s="1" t="n">
        <v>45891.63597222222</v>
      </c>
      <c r="C20" s="1" t="n">
        <v>45973</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21700-2024</t>
        </is>
      </c>
      <c r="B21" s="1" t="n">
        <v>45442</v>
      </c>
      <c r="C21" s="1" t="n">
        <v>45973</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45973</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45973</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36217-2022</t>
        </is>
      </c>
      <c r="B24" s="1" t="n">
        <v>44803</v>
      </c>
      <c r="C24" s="1" t="n">
        <v>45973</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45973</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45973</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2184-2024</t>
        </is>
      </c>
      <c r="B27" s="1" t="n">
        <v>45309</v>
      </c>
      <c r="C27" s="1" t="n">
        <v>45973</v>
      </c>
      <c r="D27" t="inlineStr">
        <is>
          <t>UPPSALA LÄN</t>
        </is>
      </c>
      <c r="E27" t="inlineStr">
        <is>
          <t>ÄLVKARLEBY</t>
        </is>
      </c>
      <c r="G27" t="n">
        <v>0.6</v>
      </c>
      <c r="H27" t="n">
        <v>0</v>
      </c>
      <c r="I27" t="n">
        <v>0</v>
      </c>
      <c r="J27" t="n">
        <v>0</v>
      </c>
      <c r="K27" t="n">
        <v>0</v>
      </c>
      <c r="L27" t="n">
        <v>0</v>
      </c>
      <c r="M27" t="n">
        <v>0</v>
      </c>
      <c r="N27" t="n">
        <v>0</v>
      </c>
      <c r="O27" t="n">
        <v>0</v>
      </c>
      <c r="P27" t="n">
        <v>0</v>
      </c>
      <c r="Q27" t="n">
        <v>0</v>
      </c>
      <c r="R27" s="2" t="inlineStr"/>
    </row>
    <row r="28" ht="15" customHeight="1">
      <c r="A28" t="inlineStr">
        <is>
          <t>A 19303-2024</t>
        </is>
      </c>
      <c r="B28" s="1" t="n">
        <v>45428.70386574074</v>
      </c>
      <c r="C28" s="1" t="n">
        <v>45973</v>
      </c>
      <c r="D28" t="inlineStr">
        <is>
          <t>UPPSALA LÄN</t>
        </is>
      </c>
      <c r="E28" t="inlineStr">
        <is>
          <t>ÄLVKARLEBY</t>
        </is>
      </c>
      <c r="G28" t="n">
        <v>0.4</v>
      </c>
      <c r="H28" t="n">
        <v>0</v>
      </c>
      <c r="I28" t="n">
        <v>0</v>
      </c>
      <c r="J28" t="n">
        <v>0</v>
      </c>
      <c r="K28" t="n">
        <v>0</v>
      </c>
      <c r="L28" t="n">
        <v>0</v>
      </c>
      <c r="M28" t="n">
        <v>0</v>
      </c>
      <c r="N28" t="n">
        <v>0</v>
      </c>
      <c r="O28" t="n">
        <v>0</v>
      </c>
      <c r="P28" t="n">
        <v>0</v>
      </c>
      <c r="Q28" t="n">
        <v>0</v>
      </c>
      <c r="R28" s="2" t="inlineStr"/>
    </row>
    <row r="29" ht="15" customHeight="1">
      <c r="A29" t="inlineStr">
        <is>
          <t>A 41272-2023</t>
        </is>
      </c>
      <c r="B29" s="1" t="n">
        <v>45174</v>
      </c>
      <c r="C29" s="1" t="n">
        <v>45973</v>
      </c>
      <c r="D29" t="inlineStr">
        <is>
          <t>UPPSALA LÄN</t>
        </is>
      </c>
      <c r="E29" t="inlineStr">
        <is>
          <t>ÄLVKARLEBY</t>
        </is>
      </c>
      <c r="F29" t="inlineStr">
        <is>
          <t>Bergvik skog väst AB</t>
        </is>
      </c>
      <c r="G29" t="n">
        <v>0.9</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45973</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2183-2024</t>
        </is>
      </c>
      <c r="B31" s="1" t="n">
        <v>45309</v>
      </c>
      <c r="C31" s="1" t="n">
        <v>45973</v>
      </c>
      <c r="D31" t="inlineStr">
        <is>
          <t>UPPSALA LÄN</t>
        </is>
      </c>
      <c r="E31" t="inlineStr">
        <is>
          <t>ÄLVKARLEBY</t>
        </is>
      </c>
      <c r="G31" t="n">
        <v>0.5</v>
      </c>
      <c r="H31" t="n">
        <v>0</v>
      </c>
      <c r="I31" t="n">
        <v>0</v>
      </c>
      <c r="J31" t="n">
        <v>0</v>
      </c>
      <c r="K31" t="n">
        <v>0</v>
      </c>
      <c r="L31" t="n">
        <v>0</v>
      </c>
      <c r="M31" t="n">
        <v>0</v>
      </c>
      <c r="N31" t="n">
        <v>0</v>
      </c>
      <c r="O31" t="n">
        <v>0</v>
      </c>
      <c r="P31" t="n">
        <v>0</v>
      </c>
      <c r="Q31" t="n">
        <v>0</v>
      </c>
      <c r="R31" s="2" t="inlineStr"/>
    </row>
    <row r="32" ht="15" customHeight="1">
      <c r="A32" t="inlineStr">
        <is>
          <t>A 38226-2023</t>
        </is>
      </c>
      <c r="B32" s="1" t="n">
        <v>45161</v>
      </c>
      <c r="C32" s="1" t="n">
        <v>45973</v>
      </c>
      <c r="D32" t="inlineStr">
        <is>
          <t>UPPSALA LÄN</t>
        </is>
      </c>
      <c r="E32" t="inlineStr">
        <is>
          <t>ÄLVKARLEBY</t>
        </is>
      </c>
      <c r="F32" t="inlineStr">
        <is>
          <t>Bergvik skog väst AB</t>
        </is>
      </c>
      <c r="G32" t="n">
        <v>4.5</v>
      </c>
      <c r="H32" t="n">
        <v>0</v>
      </c>
      <c r="I32" t="n">
        <v>0</v>
      </c>
      <c r="J32" t="n">
        <v>0</v>
      </c>
      <c r="K32" t="n">
        <v>0</v>
      </c>
      <c r="L32" t="n">
        <v>0</v>
      </c>
      <c r="M32" t="n">
        <v>0</v>
      </c>
      <c r="N32" t="n">
        <v>0</v>
      </c>
      <c r="O32" t="n">
        <v>0</v>
      </c>
      <c r="P32" t="n">
        <v>0</v>
      </c>
      <c r="Q32" t="n">
        <v>0</v>
      </c>
      <c r="R32" s="2" t="inlineStr"/>
    </row>
    <row r="33" ht="15" customHeight="1">
      <c r="A33" t="inlineStr">
        <is>
          <t>A 9533-2025</t>
        </is>
      </c>
      <c r="B33" s="1" t="n">
        <v>45715.57082175926</v>
      </c>
      <c r="C33" s="1" t="n">
        <v>45973</v>
      </c>
      <c r="D33" t="inlineStr">
        <is>
          <t>UPPSALA LÄN</t>
        </is>
      </c>
      <c r="E33" t="inlineStr">
        <is>
          <t>ÄLVKARLEBY</t>
        </is>
      </c>
      <c r="G33" t="n">
        <v>2.1</v>
      </c>
      <c r="H33" t="n">
        <v>0</v>
      </c>
      <c r="I33" t="n">
        <v>0</v>
      </c>
      <c r="J33" t="n">
        <v>0</v>
      </c>
      <c r="K33" t="n">
        <v>0</v>
      </c>
      <c r="L33" t="n">
        <v>0</v>
      </c>
      <c r="M33" t="n">
        <v>0</v>
      </c>
      <c r="N33" t="n">
        <v>0</v>
      </c>
      <c r="O33" t="n">
        <v>0</v>
      </c>
      <c r="P33" t="n">
        <v>0</v>
      </c>
      <c r="Q33" t="n">
        <v>0</v>
      </c>
      <c r="R33" s="2" t="inlineStr"/>
    </row>
    <row r="34" ht="15" customHeight="1">
      <c r="A34" t="inlineStr">
        <is>
          <t>A 19697-2025</t>
        </is>
      </c>
      <c r="B34" s="1" t="n">
        <v>45771</v>
      </c>
      <c r="C34" s="1" t="n">
        <v>45973</v>
      </c>
      <c r="D34" t="inlineStr">
        <is>
          <t>UPPSALA LÄN</t>
        </is>
      </c>
      <c r="E34" t="inlineStr">
        <is>
          <t>ÄLVKARLEBY</t>
        </is>
      </c>
      <c r="F34" t="inlineStr">
        <is>
          <t>Bergvik skog väst AB</t>
        </is>
      </c>
      <c r="G34" t="n">
        <v>3.3</v>
      </c>
      <c r="H34" t="n">
        <v>0</v>
      </c>
      <c r="I34" t="n">
        <v>0</v>
      </c>
      <c r="J34" t="n">
        <v>0</v>
      </c>
      <c r="K34" t="n">
        <v>0</v>
      </c>
      <c r="L34" t="n">
        <v>0</v>
      </c>
      <c r="M34" t="n">
        <v>0</v>
      </c>
      <c r="N34" t="n">
        <v>0</v>
      </c>
      <c r="O34" t="n">
        <v>0</v>
      </c>
      <c r="P34" t="n">
        <v>0</v>
      </c>
      <c r="Q34" t="n">
        <v>0</v>
      </c>
      <c r="R34" s="2" t="inlineStr"/>
    </row>
    <row r="35" ht="15" customHeight="1">
      <c r="A35" t="inlineStr">
        <is>
          <t>A 19304-2024</t>
        </is>
      </c>
      <c r="B35" s="1" t="n">
        <v>45428</v>
      </c>
      <c r="C35" s="1" t="n">
        <v>45973</v>
      </c>
      <c r="D35" t="inlineStr">
        <is>
          <t>UPPSALA LÄN</t>
        </is>
      </c>
      <c r="E35" t="inlineStr">
        <is>
          <t>ÄLVKARLEBY</t>
        </is>
      </c>
      <c r="G35" t="n">
        <v>0.2</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45973</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45372-2024</t>
        </is>
      </c>
      <c r="B37" s="1" t="n">
        <v>45576.51116898148</v>
      </c>
      <c r="C37" s="1" t="n">
        <v>45973</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45973</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11553-2021</t>
        </is>
      </c>
      <c r="B39" s="1" t="n">
        <v>44264.48725694444</v>
      </c>
      <c r="C39" s="1" t="n">
        <v>45973</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43285-2023</t>
        </is>
      </c>
      <c r="B40" s="1" t="n">
        <v>45183.5630787037</v>
      </c>
      <c r="C40" s="1" t="n">
        <v>45973</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3950-2025</t>
        </is>
      </c>
      <c r="B41" s="1" t="n">
        <v>45684</v>
      </c>
      <c r="C41" s="1" t="n">
        <v>45973</v>
      </c>
      <c r="D41" t="inlineStr">
        <is>
          <t>UPPSALA LÄN</t>
        </is>
      </c>
      <c r="E41" t="inlineStr">
        <is>
          <t>ÄLVKARLEBY</t>
        </is>
      </c>
      <c r="G41" t="n">
        <v>3.1</v>
      </c>
      <c r="H41" t="n">
        <v>0</v>
      </c>
      <c r="I41" t="n">
        <v>0</v>
      </c>
      <c r="J41" t="n">
        <v>0</v>
      </c>
      <c r="K41" t="n">
        <v>0</v>
      </c>
      <c r="L41" t="n">
        <v>0</v>
      </c>
      <c r="M41" t="n">
        <v>0</v>
      </c>
      <c r="N41" t="n">
        <v>0</v>
      </c>
      <c r="O41" t="n">
        <v>0</v>
      </c>
      <c r="P41" t="n">
        <v>0</v>
      </c>
      <c r="Q41" t="n">
        <v>0</v>
      </c>
      <c r="R41" s="2" t="inlineStr"/>
    </row>
    <row r="42" ht="15" customHeight="1">
      <c r="A42" t="inlineStr">
        <is>
          <t>A 8030-2025</t>
        </is>
      </c>
      <c r="B42" s="1" t="n">
        <v>45707.59064814815</v>
      </c>
      <c r="C42" s="1" t="n">
        <v>45973</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24591-2025</t>
        </is>
      </c>
      <c r="B43" s="1" t="n">
        <v>45798.53666666667</v>
      </c>
      <c r="C43" s="1" t="n">
        <v>45973</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48460-2025</t>
        </is>
      </c>
      <c r="B44" s="1" t="n">
        <v>45935.94372685185</v>
      </c>
      <c r="C44" s="1" t="n">
        <v>45973</v>
      </c>
      <c r="D44" t="inlineStr">
        <is>
          <t>UPPSALA LÄN</t>
        </is>
      </c>
      <c r="E44" t="inlineStr">
        <is>
          <t>ÄLVKARLEBY</t>
        </is>
      </c>
      <c r="F44" t="inlineStr">
        <is>
          <t>Bergvik skog väst AB</t>
        </is>
      </c>
      <c r="G44" t="n">
        <v>1.2</v>
      </c>
      <c r="H44" t="n">
        <v>0</v>
      </c>
      <c r="I44" t="n">
        <v>0</v>
      </c>
      <c r="J44" t="n">
        <v>0</v>
      </c>
      <c r="K44" t="n">
        <v>0</v>
      </c>
      <c r="L44" t="n">
        <v>0</v>
      </c>
      <c r="M44" t="n">
        <v>0</v>
      </c>
      <c r="N44" t="n">
        <v>0</v>
      </c>
      <c r="O44" t="n">
        <v>0</v>
      </c>
      <c r="P44" t="n">
        <v>0</v>
      </c>
      <c r="Q44" t="n">
        <v>0</v>
      </c>
      <c r="R44" s="2" t="inlineStr"/>
    </row>
    <row r="45" ht="15" customHeight="1">
      <c r="A45" t="inlineStr">
        <is>
          <t>A 46113-2023</t>
        </is>
      </c>
      <c r="B45" s="1" t="n">
        <v>45196.54938657407</v>
      </c>
      <c r="C45" s="1" t="n">
        <v>45973</v>
      </c>
      <c r="D45" t="inlineStr">
        <is>
          <t>UPPSALA LÄN</t>
        </is>
      </c>
      <c r="E45" t="inlineStr">
        <is>
          <t>ÄLVKARLEBY</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50398-2025</t>
        </is>
      </c>
      <c r="B46" s="1" t="n">
        <v>45944.62854166667</v>
      </c>
      <c r="C46" s="1" t="n">
        <v>45973</v>
      </c>
      <c r="D46" t="inlineStr">
        <is>
          <t>UPPSALA LÄN</t>
        </is>
      </c>
      <c r="E46" t="inlineStr">
        <is>
          <t>ÄLVKARLEBY</t>
        </is>
      </c>
      <c r="F46" t="inlineStr">
        <is>
          <t>Bergvik skog väst AB</t>
        </is>
      </c>
      <c r="G46" t="n">
        <v>4.4</v>
      </c>
      <c r="H46" t="n">
        <v>0</v>
      </c>
      <c r="I46" t="n">
        <v>0</v>
      </c>
      <c r="J46" t="n">
        <v>0</v>
      </c>
      <c r="K46" t="n">
        <v>0</v>
      </c>
      <c r="L46" t="n">
        <v>0</v>
      </c>
      <c r="M46" t="n">
        <v>0</v>
      </c>
      <c r="N46" t="n">
        <v>0</v>
      </c>
      <c r="O46" t="n">
        <v>0</v>
      </c>
      <c r="P46" t="n">
        <v>0</v>
      </c>
      <c r="Q46" t="n">
        <v>0</v>
      </c>
      <c r="R46" s="2" t="inlineStr"/>
    </row>
    <row r="47" ht="15" customHeight="1">
      <c r="A47" t="inlineStr">
        <is>
          <t>A 967-2021</t>
        </is>
      </c>
      <c r="B47" s="1" t="n">
        <v>44207</v>
      </c>
      <c r="C47" s="1" t="n">
        <v>45973</v>
      </c>
      <c r="D47" t="inlineStr">
        <is>
          <t>UPPSALA LÄN</t>
        </is>
      </c>
      <c r="E47" t="inlineStr">
        <is>
          <t>ÄLVKARLEBY</t>
        </is>
      </c>
      <c r="G47" t="n">
        <v>0.7</v>
      </c>
      <c r="H47" t="n">
        <v>0</v>
      </c>
      <c r="I47" t="n">
        <v>0</v>
      </c>
      <c r="J47" t="n">
        <v>0</v>
      </c>
      <c r="K47" t="n">
        <v>0</v>
      </c>
      <c r="L47" t="n">
        <v>0</v>
      </c>
      <c r="M47" t="n">
        <v>0</v>
      </c>
      <c r="N47" t="n">
        <v>0</v>
      </c>
      <c r="O47" t="n">
        <v>0</v>
      </c>
      <c r="P47" t="n">
        <v>0</v>
      </c>
      <c r="Q47" t="n">
        <v>0</v>
      </c>
      <c r="R47" s="2" t="inlineStr"/>
    </row>
    <row r="48" ht="15" customHeight="1">
      <c r="A48" t="inlineStr">
        <is>
          <t>A 50371-2025</t>
        </is>
      </c>
      <c r="B48" s="1" t="n">
        <v>45944.58696759259</v>
      </c>
      <c r="C48" s="1" t="n">
        <v>45973</v>
      </c>
      <c r="D48" t="inlineStr">
        <is>
          <t>UPPSALA LÄN</t>
        </is>
      </c>
      <c r="E48" t="inlineStr">
        <is>
          <t>ÄLVKARLEBY</t>
        </is>
      </c>
      <c r="F48" t="inlineStr">
        <is>
          <t>Bergvik skog väst AB</t>
        </is>
      </c>
      <c r="G48" t="n">
        <v>1.4</v>
      </c>
      <c r="H48" t="n">
        <v>0</v>
      </c>
      <c r="I48" t="n">
        <v>0</v>
      </c>
      <c r="J48" t="n">
        <v>0</v>
      </c>
      <c r="K48" t="n">
        <v>0</v>
      </c>
      <c r="L48" t="n">
        <v>0</v>
      </c>
      <c r="M48" t="n">
        <v>0</v>
      </c>
      <c r="N48" t="n">
        <v>0</v>
      </c>
      <c r="O48" t="n">
        <v>0</v>
      </c>
      <c r="P48" t="n">
        <v>0</v>
      </c>
      <c r="Q48" t="n">
        <v>0</v>
      </c>
      <c r="R48" s="2" t="inlineStr"/>
    </row>
    <row r="49" ht="15" customHeight="1">
      <c r="A49" t="inlineStr">
        <is>
          <t>A 41615-2025</t>
        </is>
      </c>
      <c r="B49" s="1" t="n">
        <v>45901.69556712963</v>
      </c>
      <c r="C49" s="1" t="n">
        <v>45973</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8031-2025</t>
        </is>
      </c>
      <c r="B50" s="1" t="n">
        <v>45707.59112268518</v>
      </c>
      <c r="C50" s="1" t="n">
        <v>45973</v>
      </c>
      <c r="D50" t="inlineStr">
        <is>
          <t>UPPSALA LÄN</t>
        </is>
      </c>
      <c r="E50" t="inlineStr">
        <is>
          <t>ÄLVKARLEBY</t>
        </is>
      </c>
      <c r="F50" t="inlineStr">
        <is>
          <t>Bergvik skog väst AB</t>
        </is>
      </c>
      <c r="G50" t="n">
        <v>4</v>
      </c>
      <c r="H50" t="n">
        <v>0</v>
      </c>
      <c r="I50" t="n">
        <v>0</v>
      </c>
      <c r="J50" t="n">
        <v>0</v>
      </c>
      <c r="K50" t="n">
        <v>0</v>
      </c>
      <c r="L50" t="n">
        <v>0</v>
      </c>
      <c r="M50" t="n">
        <v>0</v>
      </c>
      <c r="N50" t="n">
        <v>0</v>
      </c>
      <c r="O50" t="n">
        <v>0</v>
      </c>
      <c r="P50" t="n">
        <v>0</v>
      </c>
      <c r="Q50" t="n">
        <v>0</v>
      </c>
      <c r="R50" s="2" t="inlineStr"/>
    </row>
    <row r="51" ht="15" customHeight="1">
      <c r="A51" t="inlineStr">
        <is>
          <t>A 7286-2023</t>
        </is>
      </c>
      <c r="B51" s="1" t="n">
        <v>44970</v>
      </c>
      <c r="C51" s="1" t="n">
        <v>45973</v>
      </c>
      <c r="D51" t="inlineStr">
        <is>
          <t>UPPSALA LÄN</t>
        </is>
      </c>
      <c r="E51" t="inlineStr">
        <is>
          <t>ÄLVKARLEBY</t>
        </is>
      </c>
      <c r="F51" t="inlineStr">
        <is>
          <t>Bergvik skog väst AB</t>
        </is>
      </c>
      <c r="G51" t="n">
        <v>2.5</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45973</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41979-2024</t>
        </is>
      </c>
      <c r="B53" s="1" t="n">
        <v>45561</v>
      </c>
      <c r="C53" s="1" t="n">
        <v>45973</v>
      </c>
      <c r="D53" t="inlineStr">
        <is>
          <t>UPPSALA LÄN</t>
        </is>
      </c>
      <c r="E53" t="inlineStr">
        <is>
          <t>ÄLVKARLEBY</t>
        </is>
      </c>
      <c r="F53" t="inlineStr">
        <is>
          <t>Bergvik skog väst AB</t>
        </is>
      </c>
      <c r="G53" t="n">
        <v>2.8</v>
      </c>
      <c r="H53" t="n">
        <v>0</v>
      </c>
      <c r="I53" t="n">
        <v>0</v>
      </c>
      <c r="J53" t="n">
        <v>0</v>
      </c>
      <c r="K53" t="n">
        <v>0</v>
      </c>
      <c r="L53" t="n">
        <v>0</v>
      </c>
      <c r="M53" t="n">
        <v>0</v>
      </c>
      <c r="N53" t="n">
        <v>0</v>
      </c>
      <c r="O53" t="n">
        <v>0</v>
      </c>
      <c r="P53" t="n">
        <v>0</v>
      </c>
      <c r="Q53" t="n">
        <v>0</v>
      </c>
      <c r="R53" s="2" t="inlineStr"/>
    </row>
    <row r="54" ht="15" customHeight="1">
      <c r="A54" t="inlineStr">
        <is>
          <t>A 26815-2022</t>
        </is>
      </c>
      <c r="B54" s="1" t="n">
        <v>44740.44644675926</v>
      </c>
      <c r="C54" s="1" t="n">
        <v>45973</v>
      </c>
      <c r="D54" t="inlineStr">
        <is>
          <t>UPPSALA LÄN</t>
        </is>
      </c>
      <c r="E54" t="inlineStr">
        <is>
          <t>ÄLVKARLEBY</t>
        </is>
      </c>
      <c r="G54" t="n">
        <v>5.8</v>
      </c>
      <c r="H54" t="n">
        <v>0</v>
      </c>
      <c r="I54" t="n">
        <v>0</v>
      </c>
      <c r="J54" t="n">
        <v>0</v>
      </c>
      <c r="K54" t="n">
        <v>0</v>
      </c>
      <c r="L54" t="n">
        <v>0</v>
      </c>
      <c r="M54" t="n">
        <v>0</v>
      </c>
      <c r="N54" t="n">
        <v>0</v>
      </c>
      <c r="O54" t="n">
        <v>0</v>
      </c>
      <c r="P54" t="n">
        <v>0</v>
      </c>
      <c r="Q54" t="n">
        <v>0</v>
      </c>
      <c r="R54" s="2" t="inlineStr"/>
    </row>
    <row r="55" ht="15" customHeight="1">
      <c r="A55" t="inlineStr">
        <is>
          <t>A 26664-2025</t>
        </is>
      </c>
      <c r="B55" s="1" t="n">
        <v>45810</v>
      </c>
      <c r="C55" s="1" t="n">
        <v>45973</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50113-2025</t>
        </is>
      </c>
      <c r="B56" s="1" t="n">
        <v>45943.54452546296</v>
      </c>
      <c r="C56" s="1" t="n">
        <v>45973</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25330-2025</t>
        </is>
      </c>
      <c r="B57" s="1" t="n">
        <v>45800.59114583334</v>
      </c>
      <c r="C57" s="1" t="n">
        <v>45973</v>
      </c>
      <c r="D57" t="inlineStr">
        <is>
          <t>UPPSALA LÄN</t>
        </is>
      </c>
      <c r="E57" t="inlineStr">
        <is>
          <t>ÄLVKARLEBY</t>
        </is>
      </c>
      <c r="F57" t="inlineStr">
        <is>
          <t>Bergvik skog väst AB</t>
        </is>
      </c>
      <c r="G57" t="n">
        <v>5</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45973</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45973</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45973</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25264-2025</t>
        </is>
      </c>
      <c r="B61" s="1" t="n">
        <v>45800.5334375</v>
      </c>
      <c r="C61" s="1" t="n">
        <v>45973</v>
      </c>
      <c r="D61" t="inlineStr">
        <is>
          <t>UPPSALA LÄN</t>
        </is>
      </c>
      <c r="E61" t="inlineStr">
        <is>
          <t>ÄLVKARLEBY</t>
        </is>
      </c>
      <c r="F61" t="inlineStr">
        <is>
          <t>Bergvik skog väst AB</t>
        </is>
      </c>
      <c r="G61" t="n">
        <v>3.4</v>
      </c>
      <c r="H61" t="n">
        <v>0</v>
      </c>
      <c r="I61" t="n">
        <v>0</v>
      </c>
      <c r="J61" t="n">
        <v>0</v>
      </c>
      <c r="K61" t="n">
        <v>0</v>
      </c>
      <c r="L61" t="n">
        <v>0</v>
      </c>
      <c r="M61" t="n">
        <v>0</v>
      </c>
      <c r="N61" t="n">
        <v>0</v>
      </c>
      <c r="O61" t="n">
        <v>0</v>
      </c>
      <c r="P61" t="n">
        <v>0</v>
      </c>
      <c r="Q61" t="n">
        <v>0</v>
      </c>
      <c r="R61" s="2" t="inlineStr"/>
    </row>
    <row r="62" ht="15" customHeight="1">
      <c r="A62" t="inlineStr">
        <is>
          <t>A 39791-2021</t>
        </is>
      </c>
      <c r="B62" s="1" t="n">
        <v>44417</v>
      </c>
      <c r="C62" s="1" t="n">
        <v>45973</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51238-2025</t>
        </is>
      </c>
      <c r="B63" s="1" t="n">
        <v>45947.69753472223</v>
      </c>
      <c r="C63" s="1" t="n">
        <v>45973</v>
      </c>
      <c r="D63" t="inlineStr">
        <is>
          <t>UPPSALA LÄN</t>
        </is>
      </c>
      <c r="E63" t="inlineStr">
        <is>
          <t>ÄLVKARLEBY</t>
        </is>
      </c>
      <c r="F63" t="inlineStr">
        <is>
          <t>Bergvik skog väst AB</t>
        </is>
      </c>
      <c r="G63" t="n">
        <v>6</v>
      </c>
      <c r="H63" t="n">
        <v>0</v>
      </c>
      <c r="I63" t="n">
        <v>0</v>
      </c>
      <c r="J63" t="n">
        <v>0</v>
      </c>
      <c r="K63" t="n">
        <v>0</v>
      </c>
      <c r="L63" t="n">
        <v>0</v>
      </c>
      <c r="M63" t="n">
        <v>0</v>
      </c>
      <c r="N63" t="n">
        <v>0</v>
      </c>
      <c r="O63" t="n">
        <v>0</v>
      </c>
      <c r="P63" t="n">
        <v>0</v>
      </c>
      <c r="Q63" t="n">
        <v>0</v>
      </c>
      <c r="R63" s="2" t="inlineStr"/>
    </row>
    <row r="64" ht="15" customHeight="1">
      <c r="A64" t="inlineStr">
        <is>
          <t>A 51237-2025</t>
        </is>
      </c>
      <c r="B64" s="1" t="n">
        <v>45947.69307870371</v>
      </c>
      <c r="C64" s="1" t="n">
        <v>45973</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41276-2023</t>
        </is>
      </c>
      <c r="B65" s="1" t="n">
        <v>45174</v>
      </c>
      <c r="C65" s="1" t="n">
        <v>45973</v>
      </c>
      <c r="D65" t="inlineStr">
        <is>
          <t>UPPSALA LÄN</t>
        </is>
      </c>
      <c r="E65" t="inlineStr">
        <is>
          <t>ÄLVKARLEBY</t>
        </is>
      </c>
      <c r="F65" t="inlineStr">
        <is>
          <t>Bergvik skog väst AB</t>
        </is>
      </c>
      <c r="G65" t="n">
        <v>0.3</v>
      </c>
      <c r="H65" t="n">
        <v>0</v>
      </c>
      <c r="I65" t="n">
        <v>0</v>
      </c>
      <c r="J65" t="n">
        <v>0</v>
      </c>
      <c r="K65" t="n">
        <v>0</v>
      </c>
      <c r="L65" t="n">
        <v>0</v>
      </c>
      <c r="M65" t="n">
        <v>0</v>
      </c>
      <c r="N65" t="n">
        <v>0</v>
      </c>
      <c r="O65" t="n">
        <v>0</v>
      </c>
      <c r="P65" t="n">
        <v>0</v>
      </c>
      <c r="Q65" t="n">
        <v>0</v>
      </c>
      <c r="R65" s="2" t="inlineStr"/>
    </row>
    <row r="66" ht="15" customHeight="1">
      <c r="A66" t="inlineStr">
        <is>
          <t>A 19740-2025</t>
        </is>
      </c>
      <c r="B66" s="1" t="n">
        <v>45771</v>
      </c>
      <c r="C66" s="1" t="n">
        <v>45973</v>
      </c>
      <c r="D66" t="inlineStr">
        <is>
          <t>UPPSALA LÄN</t>
        </is>
      </c>
      <c r="E66" t="inlineStr">
        <is>
          <t>ÄLVKARLEBY</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41929-2024</t>
        </is>
      </c>
      <c r="B67" s="1" t="n">
        <v>45561</v>
      </c>
      <c r="C67" s="1" t="n">
        <v>45973</v>
      </c>
      <c r="D67" t="inlineStr">
        <is>
          <t>UPPSALA LÄN</t>
        </is>
      </c>
      <c r="E67" t="inlineStr">
        <is>
          <t>ÄLVKARLEBY</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43662-2025</t>
        </is>
      </c>
      <c r="B68" s="1" t="n">
        <v>45912.34446759259</v>
      </c>
      <c r="C68" s="1" t="n">
        <v>45973</v>
      </c>
      <c r="D68" t="inlineStr">
        <is>
          <t>UPPSALA LÄN</t>
        </is>
      </c>
      <c r="E68" t="inlineStr">
        <is>
          <t>ÄLVKARLEBY</t>
        </is>
      </c>
      <c r="F68" t="inlineStr">
        <is>
          <t>Kyrkan</t>
        </is>
      </c>
      <c r="G68" t="n">
        <v>4.5</v>
      </c>
      <c r="H68" t="n">
        <v>0</v>
      </c>
      <c r="I68" t="n">
        <v>0</v>
      </c>
      <c r="J68" t="n">
        <v>0</v>
      </c>
      <c r="K68" t="n">
        <v>0</v>
      </c>
      <c r="L68" t="n">
        <v>0</v>
      </c>
      <c r="M68" t="n">
        <v>0</v>
      </c>
      <c r="N68" t="n">
        <v>0</v>
      </c>
      <c r="O68" t="n">
        <v>0</v>
      </c>
      <c r="P68" t="n">
        <v>0</v>
      </c>
      <c r="Q68" t="n">
        <v>0</v>
      </c>
      <c r="R68" s="2" t="inlineStr"/>
    </row>
    <row r="69" ht="15" customHeight="1">
      <c r="A69" t="inlineStr">
        <is>
          <t>A 52498-2025</t>
        </is>
      </c>
      <c r="B69" s="1" t="n">
        <v>45954.49314814815</v>
      </c>
      <c r="C69" s="1" t="n">
        <v>45973</v>
      </c>
      <c r="D69" t="inlineStr">
        <is>
          <t>UPPSALA LÄN</t>
        </is>
      </c>
      <c r="E69" t="inlineStr">
        <is>
          <t>ÄLVKARLEBY</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43577-2025</t>
        </is>
      </c>
      <c r="B70" s="1" t="n">
        <v>45911.64219907407</v>
      </c>
      <c r="C70" s="1" t="n">
        <v>45973</v>
      </c>
      <c r="D70" t="inlineStr">
        <is>
          <t>UPPSALA LÄN</t>
        </is>
      </c>
      <c r="E70" t="inlineStr">
        <is>
          <t>ÄLVKARLEBY</t>
        </is>
      </c>
      <c r="F70" t="inlineStr">
        <is>
          <t>Bergvik skog väst AB</t>
        </is>
      </c>
      <c r="G70" t="n">
        <v>3</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45973</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53173-2025</t>
        </is>
      </c>
      <c r="B72" s="1" t="n">
        <v>45958.51738425926</v>
      </c>
      <c r="C72" s="1" t="n">
        <v>45973</v>
      </c>
      <c r="D72" t="inlineStr">
        <is>
          <t>UPPSALA LÄN</t>
        </is>
      </c>
      <c r="E72" t="inlineStr">
        <is>
          <t>ÄLVKARLEBY</t>
        </is>
      </c>
      <c r="F72" t="inlineStr">
        <is>
          <t>Bergvik skog väst AB</t>
        </is>
      </c>
      <c r="G72" t="n">
        <v>2.3</v>
      </c>
      <c r="H72" t="n">
        <v>0</v>
      </c>
      <c r="I72" t="n">
        <v>0</v>
      </c>
      <c r="J72" t="n">
        <v>0</v>
      </c>
      <c r="K72" t="n">
        <v>0</v>
      </c>
      <c r="L72" t="n">
        <v>0</v>
      </c>
      <c r="M72" t="n">
        <v>0</v>
      </c>
      <c r="N72" t="n">
        <v>0</v>
      </c>
      <c r="O72" t="n">
        <v>0</v>
      </c>
      <c r="P72" t="n">
        <v>0</v>
      </c>
      <c r="Q72" t="n">
        <v>0</v>
      </c>
      <c r="R72" s="2" t="inlineStr"/>
    </row>
    <row r="73" ht="15" customHeight="1">
      <c r="A73" t="inlineStr">
        <is>
          <t>A 18451-2025</t>
        </is>
      </c>
      <c r="B73" s="1" t="n">
        <v>45762</v>
      </c>
      <c r="C73" s="1" t="n">
        <v>45973</v>
      </c>
      <c r="D73" t="inlineStr">
        <is>
          <t>UPPSALA LÄN</t>
        </is>
      </c>
      <c r="E73" t="inlineStr">
        <is>
          <t>ÄLVKARLEBY</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19862-2025</t>
        </is>
      </c>
      <c r="B74" s="1" t="n">
        <v>45771.53560185185</v>
      </c>
      <c r="C74" s="1" t="n">
        <v>45973</v>
      </c>
      <c r="D74" t="inlineStr">
        <is>
          <t>UPPSALA LÄN</t>
        </is>
      </c>
      <c r="E74" t="inlineStr">
        <is>
          <t>ÄLVKARLEBY</t>
        </is>
      </c>
      <c r="F74" t="inlineStr">
        <is>
          <t>Kyrkan</t>
        </is>
      </c>
      <c r="G74" t="n">
        <v>3</v>
      </c>
      <c r="H74" t="n">
        <v>0</v>
      </c>
      <c r="I74" t="n">
        <v>0</v>
      </c>
      <c r="J74" t="n">
        <v>0</v>
      </c>
      <c r="K74" t="n">
        <v>0</v>
      </c>
      <c r="L74" t="n">
        <v>0</v>
      </c>
      <c r="M74" t="n">
        <v>0</v>
      </c>
      <c r="N74" t="n">
        <v>0</v>
      </c>
      <c r="O74" t="n">
        <v>0</v>
      </c>
      <c r="P74" t="n">
        <v>0</v>
      </c>
      <c r="Q74" t="n">
        <v>0</v>
      </c>
      <c r="R74" s="2" t="inlineStr"/>
    </row>
    <row r="75" ht="15" customHeight="1">
      <c r="A75" t="inlineStr">
        <is>
          <t>A 15739-2025</t>
        </is>
      </c>
      <c r="B75" s="1" t="n">
        <v>45748.54612268518</v>
      </c>
      <c r="C75" s="1" t="n">
        <v>45973</v>
      </c>
      <c r="D75" t="inlineStr">
        <is>
          <t>UPPSALA LÄN</t>
        </is>
      </c>
      <c r="E75" t="inlineStr">
        <is>
          <t>ÄLVKARLEBY</t>
        </is>
      </c>
      <c r="F75" t="inlineStr">
        <is>
          <t>Kyrkan</t>
        </is>
      </c>
      <c r="G75" t="n">
        <v>2.4</v>
      </c>
      <c r="H75" t="n">
        <v>0</v>
      </c>
      <c r="I75" t="n">
        <v>0</v>
      </c>
      <c r="J75" t="n">
        <v>0</v>
      </c>
      <c r="K75" t="n">
        <v>0</v>
      </c>
      <c r="L75" t="n">
        <v>0</v>
      </c>
      <c r="M75" t="n">
        <v>0</v>
      </c>
      <c r="N75" t="n">
        <v>0</v>
      </c>
      <c r="O75" t="n">
        <v>0</v>
      </c>
      <c r="P75" t="n">
        <v>0</v>
      </c>
      <c r="Q75" t="n">
        <v>0</v>
      </c>
      <c r="R75" s="2" t="inlineStr"/>
    </row>
    <row r="76" ht="15" customHeight="1">
      <c r="A76" t="inlineStr">
        <is>
          <t>A 26670-2025</t>
        </is>
      </c>
      <c r="B76" s="1" t="n">
        <v>45810.41489583333</v>
      </c>
      <c r="C76" s="1" t="n">
        <v>45973</v>
      </c>
      <c r="D76" t="inlineStr">
        <is>
          <t>UPPSALA LÄN</t>
        </is>
      </c>
      <c r="E76" t="inlineStr">
        <is>
          <t>ÄLVKARLEBY</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45033-2025</t>
        </is>
      </c>
      <c r="B77" s="1" t="n">
        <v>45918.70299768518</v>
      </c>
      <c r="C77" s="1" t="n">
        <v>45973</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45512-2025</t>
        </is>
      </c>
      <c r="B78" s="1" t="n">
        <v>45922.58106481482</v>
      </c>
      <c r="C78" s="1" t="n">
        <v>45973</v>
      </c>
      <c r="D78" t="inlineStr">
        <is>
          <t>UPPSALA LÄN</t>
        </is>
      </c>
      <c r="E78" t="inlineStr">
        <is>
          <t>ÄLVKARLEBY</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46510-2025</t>
        </is>
      </c>
      <c r="B79" s="1" t="n">
        <v>45925.92368055556</v>
      </c>
      <c r="C79" s="1" t="n">
        <v>45973</v>
      </c>
      <c r="D79" t="inlineStr">
        <is>
          <t>UPPSALA LÄN</t>
        </is>
      </c>
      <c r="E79" t="inlineStr">
        <is>
          <t>ÄLVKARLEBY</t>
        </is>
      </c>
      <c r="G79" t="n">
        <v>2.3</v>
      </c>
      <c r="H79" t="n">
        <v>0</v>
      </c>
      <c r="I79" t="n">
        <v>0</v>
      </c>
      <c r="J79" t="n">
        <v>0</v>
      </c>
      <c r="K79" t="n">
        <v>0</v>
      </c>
      <c r="L79" t="n">
        <v>0</v>
      </c>
      <c r="M79" t="n">
        <v>0</v>
      </c>
      <c r="N79" t="n">
        <v>0</v>
      </c>
      <c r="O79" t="n">
        <v>0</v>
      </c>
      <c r="P79" t="n">
        <v>0</v>
      </c>
      <c r="Q79" t="n">
        <v>0</v>
      </c>
      <c r="R79" s="2" t="inlineStr"/>
    </row>
    <row r="80" ht="15" customHeight="1">
      <c r="A80" t="inlineStr">
        <is>
          <t>A 46335-2025</t>
        </is>
      </c>
      <c r="B80" s="1" t="n">
        <v>45925.46199074074</v>
      </c>
      <c r="C80" s="1" t="n">
        <v>45973</v>
      </c>
      <c r="D80" t="inlineStr">
        <is>
          <t>UPPSALA LÄN</t>
        </is>
      </c>
      <c r="E80" t="inlineStr">
        <is>
          <t>ÄLVKARLEBY</t>
        </is>
      </c>
      <c r="G80" t="n">
        <v>1.3</v>
      </c>
      <c r="H80" t="n">
        <v>0</v>
      </c>
      <c r="I80" t="n">
        <v>0</v>
      </c>
      <c r="J80" t="n">
        <v>0</v>
      </c>
      <c r="K80" t="n">
        <v>0</v>
      </c>
      <c r="L80" t="n">
        <v>0</v>
      </c>
      <c r="M80" t="n">
        <v>0</v>
      </c>
      <c r="N80" t="n">
        <v>0</v>
      </c>
      <c r="O80" t="n">
        <v>0</v>
      </c>
      <c r="P80" t="n">
        <v>0</v>
      </c>
      <c r="Q80" t="n">
        <v>0</v>
      </c>
      <c r="R80" s="2" t="inlineStr"/>
    </row>
    <row r="81" ht="15" customHeight="1">
      <c r="A81" t="inlineStr">
        <is>
          <t>A 27742-2025</t>
        </is>
      </c>
      <c r="B81" s="1" t="n">
        <v>45815.53724537037</v>
      </c>
      <c r="C81" s="1" t="n">
        <v>45973</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27741-2025</t>
        </is>
      </c>
      <c r="B82" s="1" t="n">
        <v>45815.5346875</v>
      </c>
      <c r="C82" s="1" t="n">
        <v>45973</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14590-2023</t>
        </is>
      </c>
      <c r="B83" s="1" t="n">
        <v>45013.54621527778</v>
      </c>
      <c r="C83" s="1" t="n">
        <v>45973</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28670-2025</t>
        </is>
      </c>
      <c r="B84" s="1" t="n">
        <v>45819.67130787037</v>
      </c>
      <c r="C84" s="1" t="n">
        <v>45973</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28668-2025</t>
        </is>
      </c>
      <c r="B85" s="1" t="n">
        <v>45819.66650462963</v>
      </c>
      <c r="C85" s="1" t="n">
        <v>45973</v>
      </c>
      <c r="D85" t="inlineStr">
        <is>
          <t>UPPSALA LÄN</t>
        </is>
      </c>
      <c r="E85" t="inlineStr">
        <is>
          <t>ÄLVKARLEBY</t>
        </is>
      </c>
      <c r="F85" t="inlineStr">
        <is>
          <t>Bergvik skog väst AB</t>
        </is>
      </c>
      <c r="G85" t="n">
        <v>8.300000000000001</v>
      </c>
      <c r="H85" t="n">
        <v>0</v>
      </c>
      <c r="I85" t="n">
        <v>0</v>
      </c>
      <c r="J85" t="n">
        <v>0</v>
      </c>
      <c r="K85" t="n">
        <v>0</v>
      </c>
      <c r="L85" t="n">
        <v>0</v>
      </c>
      <c r="M85" t="n">
        <v>0</v>
      </c>
      <c r="N85" t="n">
        <v>0</v>
      </c>
      <c r="O85" t="n">
        <v>0</v>
      </c>
      <c r="P85" t="n">
        <v>0</v>
      </c>
      <c r="Q85" t="n">
        <v>0</v>
      </c>
      <c r="R85" s="2" t="inlineStr"/>
    </row>
    <row r="86" ht="15" customHeight="1">
      <c r="A86" t="inlineStr">
        <is>
          <t>A 30483-2025</t>
        </is>
      </c>
      <c r="B86" s="1" t="n">
        <v>45828.68988425926</v>
      </c>
      <c r="C86" s="1" t="n">
        <v>45973</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30944-2025</t>
        </is>
      </c>
      <c r="B87" s="1" t="n">
        <v>45832.41182870371</v>
      </c>
      <c r="C87" s="1" t="n">
        <v>45973</v>
      </c>
      <c r="D87" t="inlineStr">
        <is>
          <t>UPPSALA LÄN</t>
        </is>
      </c>
      <c r="E87" t="inlineStr">
        <is>
          <t>ÄLVKARLEBY</t>
        </is>
      </c>
      <c r="F87" t="inlineStr">
        <is>
          <t>Bergvik skog öst AB</t>
        </is>
      </c>
      <c r="G87" t="n">
        <v>3.4</v>
      </c>
      <c r="H87" t="n">
        <v>0</v>
      </c>
      <c r="I87" t="n">
        <v>0</v>
      </c>
      <c r="J87" t="n">
        <v>0</v>
      </c>
      <c r="K87" t="n">
        <v>0</v>
      </c>
      <c r="L87" t="n">
        <v>0</v>
      </c>
      <c r="M87" t="n">
        <v>0</v>
      </c>
      <c r="N87" t="n">
        <v>0</v>
      </c>
      <c r="O87" t="n">
        <v>0</v>
      </c>
      <c r="P87" t="n">
        <v>0</v>
      </c>
      <c r="Q87" t="n">
        <v>0</v>
      </c>
      <c r="R87" s="2" t="inlineStr"/>
    </row>
    <row r="88" ht="15" customHeight="1">
      <c r="A88" t="inlineStr">
        <is>
          <t>A 30936-2025</t>
        </is>
      </c>
      <c r="B88" s="1" t="n">
        <v>45832.40586805555</v>
      </c>
      <c r="C88" s="1" t="n">
        <v>45973</v>
      </c>
      <c r="D88" t="inlineStr">
        <is>
          <t>UPPSALA LÄN</t>
        </is>
      </c>
      <c r="E88" t="inlineStr">
        <is>
          <t>ÄLVKARLEBY</t>
        </is>
      </c>
      <c r="F88" t="inlineStr">
        <is>
          <t>Bergvik skog öst AB</t>
        </is>
      </c>
      <c r="G88" t="n">
        <v>7.2</v>
      </c>
      <c r="H88" t="n">
        <v>0</v>
      </c>
      <c r="I88" t="n">
        <v>0</v>
      </c>
      <c r="J88" t="n">
        <v>0</v>
      </c>
      <c r="K88" t="n">
        <v>0</v>
      </c>
      <c r="L88" t="n">
        <v>0</v>
      </c>
      <c r="M88" t="n">
        <v>0</v>
      </c>
      <c r="N88" t="n">
        <v>0</v>
      </c>
      <c r="O88" t="n">
        <v>0</v>
      </c>
      <c r="P88" t="n">
        <v>0</v>
      </c>
      <c r="Q88" t="n">
        <v>0</v>
      </c>
      <c r="R88" s="2" t="inlineStr"/>
    </row>
    <row r="89" ht="15" customHeight="1">
      <c r="A89" t="inlineStr">
        <is>
          <t>A 32221-2025</t>
        </is>
      </c>
      <c r="B89" s="1" t="n">
        <v>45835.5909837963</v>
      </c>
      <c r="C89" s="1" t="n">
        <v>45973</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32203-2025</t>
        </is>
      </c>
      <c r="B90" s="1" t="n">
        <v>45835.57951388889</v>
      </c>
      <c r="C90" s="1" t="n">
        <v>45973</v>
      </c>
      <c r="D90" t="inlineStr">
        <is>
          <t>UPPSALA LÄN</t>
        </is>
      </c>
      <c r="E90" t="inlineStr">
        <is>
          <t>ÄLVKARLEBY</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32186-2025</t>
        </is>
      </c>
      <c r="B91" s="1" t="n">
        <v>45835.5667824074</v>
      </c>
      <c r="C91" s="1" t="n">
        <v>45973</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32187-2025</t>
        </is>
      </c>
      <c r="B92" s="1" t="n">
        <v>45835.56949074074</v>
      </c>
      <c r="C92" s="1" t="n">
        <v>45973</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32212-2025</t>
        </is>
      </c>
      <c r="B93" s="1" t="n">
        <v>45835.58509259259</v>
      </c>
      <c r="C93" s="1" t="n">
        <v>45973</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c r="A94" t="inlineStr">
        <is>
          <t>A 36626-2025</t>
        </is>
      </c>
      <c r="B94" s="1" t="n">
        <v>45870.66732638889</v>
      </c>
      <c r="C94" s="1" t="n">
        <v>45973</v>
      </c>
      <c r="D94" t="inlineStr">
        <is>
          <t>UPPSALA LÄN</t>
        </is>
      </c>
      <c r="E94" t="inlineStr">
        <is>
          <t>ÄLVKARLEBY</t>
        </is>
      </c>
      <c r="F94" t="inlineStr">
        <is>
          <t>Bergvik skog väst AB</t>
        </is>
      </c>
      <c r="G94" t="n">
        <v>2.7</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2025-11-12T10:10:47Z</dcterms:created>
  <dcterms:modified xmlns:dcterms="http://purl.org/dc/terms/" xmlns:xsi="http://www.w3.org/2001/XMLSchema-instance" xsi:type="dcterms:W3CDTF">2025-11-12T10:10:47Z</dcterms:modified>
</cp:coreProperties>
</file>