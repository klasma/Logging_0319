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45345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45345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33441-2021</t>
        </is>
      </c>
      <c r="B4" s="1" t="n">
        <v>44377</v>
      </c>
      <c r="C4" s="1" t="n">
        <v>45345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12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Kalkkärrsgrynsnäcka
Nästrot
Ögonpyrola</t>
        </is>
      </c>
      <c r="S4">
        <f>HYPERLINK("https://klasma.github.io/Logging_0319/artfynd/A 33441-2021 artfynd.xlsx", "A 33441-2021")</f>
        <v/>
      </c>
      <c r="T4">
        <f>HYPERLINK("https://klasma.github.io/Logging_0319/kartor/A 33441-2021 karta.png", "A 33441-2021")</f>
        <v/>
      </c>
      <c r="V4">
        <f>HYPERLINK("https://klasma.github.io/Logging_0319/klagomål/A 33441-2021 FSC-klagomål.docx", "A 33441-2021")</f>
        <v/>
      </c>
      <c r="W4">
        <f>HYPERLINK("https://klasma.github.io/Logging_0319/klagomålsmail/A 33441-2021 FSC-klagomål mail.docx", "A 33441-2021")</f>
        <v/>
      </c>
      <c r="X4">
        <f>HYPERLINK("https://klasma.github.io/Logging_0319/tillsyn/A 33441-2021 tillsynsbegäran.docx", "A 33441-2021")</f>
        <v/>
      </c>
      <c r="Y4">
        <f>HYPERLINK("https://klasma.github.io/Logging_0319/tillsynsmail/A 33441-2021 tillsynsbegäran mail.docx", "A 33441-2021")</f>
        <v/>
      </c>
    </row>
    <row r="5" ht="15" customHeight="1">
      <c r="A5" t="inlineStr">
        <is>
          <t>A 25724-2023</t>
        </is>
      </c>
      <c r="B5" s="1" t="n">
        <v>45090</v>
      </c>
      <c r="C5" s="1" t="n">
        <v>45345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18.6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Väddnätfjäril
Anisspindling
Tibast</t>
        </is>
      </c>
      <c r="S5">
        <f>HYPERLINK("https://klasma.github.io/Logging_0319/artfynd/A 25724-2023 artfynd.xlsx", "A 25724-2023")</f>
        <v/>
      </c>
      <c r="T5">
        <f>HYPERLINK("https://klasma.github.io/Logging_0319/kartor/A 25724-2023 karta.png", "A 25724-2023")</f>
        <v/>
      </c>
      <c r="V5">
        <f>HYPERLINK("https://klasma.github.io/Logging_0319/klagomål/A 25724-2023 FSC-klagomål.docx", "A 25724-2023")</f>
        <v/>
      </c>
      <c r="W5">
        <f>HYPERLINK("https://klasma.github.io/Logging_0319/klagomålsmail/A 25724-2023 FSC-klagomål mail.docx", "A 25724-2023")</f>
        <v/>
      </c>
      <c r="X5">
        <f>HYPERLINK("https://klasma.github.io/Logging_0319/tillsyn/A 25724-2023 tillsynsbegäran.docx", "A 25724-2023")</f>
        <v/>
      </c>
      <c r="Y5">
        <f>HYPERLINK("https://klasma.github.io/Logging_0319/tillsynsmail/A 25724-2023 tillsynsbegäran mail.docx", "A 25724-2023")</f>
        <v/>
      </c>
    </row>
    <row r="6" ht="15" customHeight="1">
      <c r="A6" t="inlineStr">
        <is>
          <t>A 45895-2023</t>
        </is>
      </c>
      <c r="B6" s="1" t="n">
        <v>45195</v>
      </c>
      <c r="C6" s="1" t="n">
        <v>45345</v>
      </c>
      <c r="D6" t="inlineStr">
        <is>
          <t>UPPSALA LÄN</t>
        </is>
      </c>
      <c r="E6" t="inlineStr">
        <is>
          <t>ÄLVKARLEBY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Flattoppad klubbsvamp
Sårläka
Trådfräken</t>
        </is>
      </c>
      <c r="S6">
        <f>HYPERLINK("https://klasma.github.io/Logging_0319/artfynd/A 45895-2023 artfynd.xlsx", "A 45895-2023")</f>
        <v/>
      </c>
      <c r="T6">
        <f>HYPERLINK("https://klasma.github.io/Logging_0319/kartor/A 45895-2023 karta.png", "A 45895-2023")</f>
        <v/>
      </c>
      <c r="V6">
        <f>HYPERLINK("https://klasma.github.io/Logging_0319/klagomål/A 45895-2023 FSC-klagomål.docx", "A 45895-2023")</f>
        <v/>
      </c>
      <c r="W6">
        <f>HYPERLINK("https://klasma.github.io/Logging_0319/klagomålsmail/A 45895-2023 FSC-klagomål mail.docx", "A 45895-2023")</f>
        <v/>
      </c>
      <c r="X6">
        <f>HYPERLINK("https://klasma.github.io/Logging_0319/tillsyn/A 45895-2023 tillsynsbegäran.docx", "A 45895-2023")</f>
        <v/>
      </c>
      <c r="Y6">
        <f>HYPERLINK("https://klasma.github.io/Logging_0319/tillsynsmail/A 45895-2023 tillsynsbegäran mail.docx", "A 45895-2023")</f>
        <v/>
      </c>
    </row>
    <row r="7" ht="15" customHeight="1">
      <c r="A7" t="inlineStr">
        <is>
          <t>A 46277-2018</t>
        </is>
      </c>
      <c r="B7" s="1" t="n">
        <v>43367</v>
      </c>
      <c r="C7" s="1" t="n">
        <v>45345</v>
      </c>
      <c r="D7" t="inlineStr">
        <is>
          <t>UPPSALA LÄN</t>
        </is>
      </c>
      <c r="E7" t="inlineStr">
        <is>
          <t>ÄLVKARLEBY</t>
        </is>
      </c>
      <c r="G7" t="n">
        <v>1.5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Guckusko
Tibast</t>
        </is>
      </c>
      <c r="S7">
        <f>HYPERLINK("https://klasma.github.io/Logging_0319/artfynd/A 46277-2018 artfynd.xlsx", "A 46277-2018")</f>
        <v/>
      </c>
      <c r="T7">
        <f>HYPERLINK("https://klasma.github.io/Logging_0319/kartor/A 46277-2018 karta.png", "A 46277-2018")</f>
        <v/>
      </c>
      <c r="V7">
        <f>HYPERLINK("https://klasma.github.io/Logging_0319/klagomål/A 46277-2018 FSC-klagomål.docx", "A 46277-2018")</f>
        <v/>
      </c>
      <c r="W7">
        <f>HYPERLINK("https://klasma.github.io/Logging_0319/klagomålsmail/A 46277-2018 FSC-klagomål mail.docx", "A 46277-2018")</f>
        <v/>
      </c>
      <c r="X7">
        <f>HYPERLINK("https://klasma.github.io/Logging_0319/tillsyn/A 46277-2018 tillsynsbegäran.docx", "A 46277-2018")</f>
        <v/>
      </c>
      <c r="Y7">
        <f>HYPERLINK("https://klasma.github.io/Logging_0319/tillsynsmail/A 46277-2018 tillsynsbegäran mail.docx", "A 46277-2018")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45345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45345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45345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6832-2023</t>
        </is>
      </c>
      <c r="B11" s="1" t="n">
        <v>44967</v>
      </c>
      <c r="C11" s="1" t="n">
        <v>45345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Grangråticka
Koppartaggsvamp</t>
        </is>
      </c>
      <c r="S11">
        <f>HYPERLINK("https://klasma.github.io/Logging_0319/artfynd/A 6832-2023 artfynd.xlsx", "A 6832-2023")</f>
        <v/>
      </c>
      <c r="T11">
        <f>HYPERLINK("https://klasma.github.io/Logging_0319/kartor/A 6832-2023 karta.png", "A 6832-2023")</f>
        <v/>
      </c>
      <c r="V11">
        <f>HYPERLINK("https://klasma.github.io/Logging_0319/klagomål/A 6832-2023 FSC-klagomål.docx", "A 6832-2023")</f>
        <v/>
      </c>
      <c r="W11">
        <f>HYPERLINK("https://klasma.github.io/Logging_0319/klagomålsmail/A 6832-2023 FSC-klagomål mail.docx", "A 6832-2023")</f>
        <v/>
      </c>
      <c r="X11">
        <f>HYPERLINK("https://klasma.github.io/Logging_0319/tillsyn/A 6832-2023 tillsynsbegäran.docx", "A 6832-2023")</f>
        <v/>
      </c>
      <c r="Y11">
        <f>HYPERLINK("https://klasma.github.io/Logging_0319/tillsynsmail/A 6832-2023 tillsynsbegäran mail.docx", "A 6832-2023")</f>
        <v/>
      </c>
    </row>
    <row r="12" ht="15" customHeight="1">
      <c r="A12" t="inlineStr">
        <is>
          <t>A 46363-2023</t>
        </is>
      </c>
      <c r="B12" s="1" t="n">
        <v>45197</v>
      </c>
      <c r="C12" s="1" t="n">
        <v>45345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öst AB</t>
        </is>
      </c>
      <c r="G12" t="n">
        <v>11.8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Brudsporre
Fläcknycklar</t>
        </is>
      </c>
      <c r="S12">
        <f>HYPERLINK("https://klasma.github.io/Logging_0319/artfynd/A 46363-2023 artfynd.xlsx", "A 46363-2023")</f>
        <v/>
      </c>
      <c r="T12">
        <f>HYPERLINK("https://klasma.github.io/Logging_0319/kartor/A 46363-2023 karta.png", "A 46363-2023")</f>
        <v/>
      </c>
      <c r="V12">
        <f>HYPERLINK("https://klasma.github.io/Logging_0319/klagomål/A 46363-2023 FSC-klagomål.docx", "A 46363-2023")</f>
        <v/>
      </c>
      <c r="W12">
        <f>HYPERLINK("https://klasma.github.io/Logging_0319/klagomålsmail/A 46363-2023 FSC-klagomål mail.docx", "A 46363-2023")</f>
        <v/>
      </c>
      <c r="X12">
        <f>HYPERLINK("https://klasma.github.io/Logging_0319/tillsyn/A 46363-2023 tillsynsbegäran.docx", "A 46363-2023")</f>
        <v/>
      </c>
      <c r="Y12">
        <f>HYPERLINK("https://klasma.github.io/Logging_0319/tillsynsmail/A 46363-2023 tillsynsbegäran mail.docx", "A 46363-2023")</f>
        <v/>
      </c>
    </row>
    <row r="13" ht="15" customHeight="1">
      <c r="A13" t="inlineStr">
        <is>
          <t>A 60458-2023</t>
        </is>
      </c>
      <c r="B13" s="1" t="n">
        <v>45259</v>
      </c>
      <c r="C13" s="1" t="n">
        <v>45345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Bredgentiana
Fältgentiana</t>
        </is>
      </c>
      <c r="S13">
        <f>HYPERLINK("https://klasma.github.io/Logging_0319/artfynd/A 60458-2023 artfynd.xlsx", "A 60458-2023")</f>
        <v/>
      </c>
      <c r="T13">
        <f>HYPERLINK("https://klasma.github.io/Logging_0319/kartor/A 60458-2023 karta.png", "A 60458-2023")</f>
        <v/>
      </c>
      <c r="V13">
        <f>HYPERLINK("https://klasma.github.io/Logging_0319/klagomål/A 60458-2023 FSC-klagomål.docx", "A 60458-2023")</f>
        <v/>
      </c>
      <c r="W13">
        <f>HYPERLINK("https://klasma.github.io/Logging_0319/klagomålsmail/A 60458-2023 FSC-klagomål mail.docx", "A 60458-2023")</f>
        <v/>
      </c>
      <c r="X13">
        <f>HYPERLINK("https://klasma.github.io/Logging_0319/tillsyn/A 60458-2023 tillsynsbegäran.docx", "A 60458-2023")</f>
        <v/>
      </c>
      <c r="Y13">
        <f>HYPERLINK("https://klasma.github.io/Logging_0319/tillsynsmail/A 60458-2023 tillsynsbegäran mail.docx", "A 60458-2023")</f>
        <v/>
      </c>
    </row>
    <row r="14" ht="15" customHeight="1">
      <c r="A14" t="inlineStr">
        <is>
          <t>A 61147-2019</t>
        </is>
      </c>
      <c r="B14" s="1" t="n">
        <v>43782</v>
      </c>
      <c r="C14" s="1" t="n">
        <v>45345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Violgubbe</t>
        </is>
      </c>
      <c r="S14">
        <f>HYPERLINK("https://klasma.github.io/Logging_0319/artfynd/A 61147-2019 artfynd.xlsx", "A 61147-2019")</f>
        <v/>
      </c>
      <c r="T14">
        <f>HYPERLINK("https://klasma.github.io/Logging_0319/kartor/A 61147-2019 karta.png", "A 61147-2019")</f>
        <v/>
      </c>
      <c r="V14">
        <f>HYPERLINK("https://klasma.github.io/Logging_0319/klagomål/A 61147-2019 FSC-klagomål.docx", "A 61147-2019")</f>
        <v/>
      </c>
      <c r="W14">
        <f>HYPERLINK("https://klasma.github.io/Logging_0319/klagomålsmail/A 61147-2019 FSC-klagomål mail.docx", "A 61147-2019")</f>
        <v/>
      </c>
      <c r="X14">
        <f>HYPERLINK("https://klasma.github.io/Logging_0319/tillsyn/A 61147-2019 tillsynsbegäran.docx", "A 61147-2019")</f>
        <v/>
      </c>
      <c r="Y14">
        <f>HYPERLINK("https://klasma.github.io/Logging_0319/tillsynsmail/A 61147-2019 tillsynsbegäran mail.docx", "A 61147-2019")</f>
        <v/>
      </c>
    </row>
    <row r="15" ht="15" customHeight="1">
      <c r="A15" t="inlineStr">
        <is>
          <t>A 61354-2019</t>
        </is>
      </c>
      <c r="B15" s="1" t="n">
        <v>43783</v>
      </c>
      <c r="C15" s="1" t="n">
        <v>45345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Olivspindling</t>
        </is>
      </c>
      <c r="S15">
        <f>HYPERLINK("https://klasma.github.io/Logging_0319/artfynd/A 61354-2019 artfynd.xlsx", "A 61354-2019")</f>
        <v/>
      </c>
      <c r="T15">
        <f>HYPERLINK("https://klasma.github.io/Logging_0319/kartor/A 61354-2019 karta.png", "A 61354-2019")</f>
        <v/>
      </c>
      <c r="V15">
        <f>HYPERLINK("https://klasma.github.io/Logging_0319/klagomål/A 61354-2019 FSC-klagomål.docx", "A 61354-2019")</f>
        <v/>
      </c>
      <c r="W15">
        <f>HYPERLINK("https://klasma.github.io/Logging_0319/klagomålsmail/A 61354-2019 FSC-klagomål mail.docx", "A 61354-2019")</f>
        <v/>
      </c>
      <c r="X15">
        <f>HYPERLINK("https://klasma.github.io/Logging_0319/tillsyn/A 61354-2019 tillsynsbegäran.docx", "A 61354-2019")</f>
        <v/>
      </c>
      <c r="Y15">
        <f>HYPERLINK("https://klasma.github.io/Logging_0319/tillsynsmail/A 61354-2019 tillsynsbegäran mail.docx", "A 61354-2019")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45345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45345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70017-2021</t>
        </is>
      </c>
      <c r="B18" s="1" t="n">
        <v>44533</v>
      </c>
      <c r="C18" s="1" t="n">
        <v>45345</v>
      </c>
      <c r="D18" t="inlineStr">
        <is>
          <t>UPPSALA LÄN</t>
        </is>
      </c>
      <c r="E18" t="inlineStr">
        <is>
          <t>ÄLVKARLEBY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Gölgroda</t>
        </is>
      </c>
      <c r="S18">
        <f>HYPERLINK("https://klasma.github.io/Logging_0319/artfynd/A 70017-2021 artfynd.xlsx", "A 70017-2021")</f>
        <v/>
      </c>
      <c r="T18">
        <f>HYPERLINK("https://klasma.github.io/Logging_0319/kartor/A 70017-2021 karta.png", "A 70017-2021")</f>
        <v/>
      </c>
      <c r="V18">
        <f>HYPERLINK("https://klasma.github.io/Logging_0319/klagomål/A 70017-2021 FSC-klagomål.docx", "A 70017-2021")</f>
        <v/>
      </c>
      <c r="W18">
        <f>HYPERLINK("https://klasma.github.io/Logging_0319/klagomålsmail/A 70017-2021 FSC-klagomål mail.docx", "A 70017-2021")</f>
        <v/>
      </c>
      <c r="X18">
        <f>HYPERLINK("https://klasma.github.io/Logging_0319/tillsyn/A 70017-2021 tillsynsbegäran.docx", "A 70017-2021")</f>
        <v/>
      </c>
      <c r="Y18">
        <f>HYPERLINK("https://klasma.github.io/Logging_0319/tillsynsmail/A 70017-2021 tillsynsbegäran mail.docx", "A 70017-2021")</f>
        <v/>
      </c>
    </row>
    <row r="19" ht="15" customHeight="1">
      <c r="A19" t="inlineStr">
        <is>
          <t>A 29748-2022</t>
        </is>
      </c>
      <c r="B19" s="1" t="n">
        <v>44755</v>
      </c>
      <c r="C19" s="1" t="n">
        <v>45345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 bockrot</t>
        </is>
      </c>
      <c r="S19">
        <f>HYPERLINK("https://klasma.github.io/Logging_0319/artfynd/A 29748-2022 artfynd.xlsx", "A 29748-2022")</f>
        <v/>
      </c>
      <c r="T19">
        <f>HYPERLINK("https://klasma.github.io/Logging_0319/kartor/A 29748-2022 karta.png", "A 29748-2022")</f>
        <v/>
      </c>
      <c r="V19">
        <f>HYPERLINK("https://klasma.github.io/Logging_0319/klagomål/A 29748-2022 FSC-klagomål.docx", "A 29748-2022")</f>
        <v/>
      </c>
      <c r="W19">
        <f>HYPERLINK("https://klasma.github.io/Logging_0319/klagomålsmail/A 29748-2022 FSC-klagomål mail.docx", "A 29748-2022")</f>
        <v/>
      </c>
      <c r="X19">
        <f>HYPERLINK("https://klasma.github.io/Logging_0319/tillsyn/A 29748-2022 tillsynsbegäran.docx", "A 29748-2022")</f>
        <v/>
      </c>
      <c r="Y19">
        <f>HYPERLINK("https://klasma.github.io/Logging_0319/tillsynsmail/A 29748-2022 tillsynsbegäran mail.docx", "A 29748-2022")</f>
        <v/>
      </c>
    </row>
    <row r="20" ht="15" customHeight="1">
      <c r="A20" t="inlineStr">
        <is>
          <t>A 12415-2023</t>
        </is>
      </c>
      <c r="B20" s="1" t="n">
        <v>44999</v>
      </c>
      <c r="C20" s="1" t="n">
        <v>45345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HYPERLINK("https://klasma.github.io/Logging_0319/artfynd/A 12415-2023 artfynd.xlsx", "A 12415-2023")</f>
        <v/>
      </c>
      <c r="T20">
        <f>HYPERLINK("https://klasma.github.io/Logging_0319/kartor/A 12415-2023 karta.png", "A 12415-2023")</f>
        <v/>
      </c>
      <c r="V20">
        <f>HYPERLINK("https://klasma.github.io/Logging_0319/klagomål/A 12415-2023 FSC-klagomål.docx", "A 12415-2023")</f>
        <v/>
      </c>
      <c r="W20">
        <f>HYPERLINK("https://klasma.github.io/Logging_0319/klagomålsmail/A 12415-2023 FSC-klagomål mail.docx", "A 12415-2023")</f>
        <v/>
      </c>
      <c r="X20">
        <f>HYPERLINK("https://klasma.github.io/Logging_0319/tillsyn/A 12415-2023 tillsynsbegäran.docx", "A 12415-2023")</f>
        <v/>
      </c>
      <c r="Y20">
        <f>HYPERLINK("https://klasma.github.io/Logging_0319/tillsynsmail/A 12415-2023 tillsynsbegäran mail.docx", "A 12415-2023")</f>
        <v/>
      </c>
    </row>
    <row r="21" ht="15" customHeight="1">
      <c r="A21" t="inlineStr">
        <is>
          <t>A 46354-2023</t>
        </is>
      </c>
      <c r="B21" s="1" t="n">
        <v>45197</v>
      </c>
      <c r="C21" s="1" t="n">
        <v>45345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öst AB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HYPERLINK("https://klasma.github.io/Logging_0319/artfynd/A 46354-2023 artfynd.xlsx", "A 46354-2023")</f>
        <v/>
      </c>
      <c r="T21">
        <f>HYPERLINK("https://klasma.github.io/Logging_0319/kartor/A 46354-2023 karta.png", "A 46354-2023")</f>
        <v/>
      </c>
      <c r="V21">
        <f>HYPERLINK("https://klasma.github.io/Logging_0319/klagomål/A 46354-2023 FSC-klagomål.docx", "A 46354-2023")</f>
        <v/>
      </c>
      <c r="W21">
        <f>HYPERLINK("https://klasma.github.io/Logging_0319/klagomålsmail/A 46354-2023 FSC-klagomål mail.docx", "A 46354-2023")</f>
        <v/>
      </c>
      <c r="X21">
        <f>HYPERLINK("https://klasma.github.io/Logging_0319/tillsyn/A 46354-2023 tillsynsbegäran.docx", "A 46354-2023")</f>
        <v/>
      </c>
      <c r="Y21">
        <f>HYPERLINK("https://klasma.github.io/Logging_0319/tillsynsmail/A 46354-2023 tillsynsbegäran mail.docx", "A 46354-2023")</f>
        <v/>
      </c>
    </row>
    <row r="22" ht="15" customHeight="1">
      <c r="A22" t="inlineStr">
        <is>
          <t>A 5209-2024</t>
        </is>
      </c>
      <c r="B22" s="1" t="n">
        <v>45330</v>
      </c>
      <c r="C22" s="1" t="n">
        <v>45345</v>
      </c>
      <c r="D22" t="inlineStr">
        <is>
          <t>UPPSALA LÄN</t>
        </is>
      </c>
      <c r="E22" t="inlineStr">
        <is>
          <t>ÄLVKARLEBY</t>
        </is>
      </c>
      <c r="G22" t="n">
        <v>6.3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Guckusko</t>
        </is>
      </c>
      <c r="S22">
        <f>HYPERLINK("https://klasma.github.io/Logging_0319/artfynd/A 5209-2024 artfynd.xlsx", "A 5209-2024")</f>
        <v/>
      </c>
      <c r="T22">
        <f>HYPERLINK("https://klasma.github.io/Logging_0319/kartor/A 5209-2024 karta.png", "A 5209-2024")</f>
        <v/>
      </c>
      <c r="V22">
        <f>HYPERLINK("https://klasma.github.io/Logging_0319/klagomål/A 5209-2024 FSC-klagomål.docx", "A 5209-2024")</f>
        <v/>
      </c>
      <c r="W22">
        <f>HYPERLINK("https://klasma.github.io/Logging_0319/klagomålsmail/A 5209-2024 FSC-klagomål mail.docx", "A 5209-2024")</f>
        <v/>
      </c>
      <c r="X22">
        <f>HYPERLINK("https://klasma.github.io/Logging_0319/tillsyn/A 5209-2024 tillsynsbegäran.docx", "A 5209-2024")</f>
        <v/>
      </c>
      <c r="Y22">
        <f>HYPERLINK("https://klasma.github.io/Logging_0319/tillsynsmail/A 5209-2024 tillsynsbegäran mail.docx", "A 5209-2024")</f>
        <v/>
      </c>
    </row>
    <row r="23" ht="15" customHeight="1">
      <c r="A23" t="inlineStr">
        <is>
          <t>A 67221-2018</t>
        </is>
      </c>
      <c r="B23" s="1" t="n">
        <v>43439</v>
      </c>
      <c r="C23" s="1" t="n">
        <v>45345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10480-2019</t>
        </is>
      </c>
      <c r="B24" s="1" t="n">
        <v>43511</v>
      </c>
      <c r="C24" s="1" t="n">
        <v>45345</v>
      </c>
      <c r="D24" t="inlineStr">
        <is>
          <t>UPPSALA LÄN</t>
        </is>
      </c>
      <c r="E24" t="inlineStr">
        <is>
          <t>ÄLVKARLEBY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10483-2019</t>
        </is>
      </c>
      <c r="B25" s="1" t="n">
        <v>43511</v>
      </c>
      <c r="C25" s="1" t="n">
        <v>45345</v>
      </c>
      <c r="D25" t="inlineStr">
        <is>
          <t>UPPSALA LÄN</t>
        </is>
      </c>
      <c r="E25" t="inlineStr">
        <is>
          <t>ÄLVKARLEBY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10482-2019</t>
        </is>
      </c>
      <c r="B26" s="1" t="n">
        <v>43511</v>
      </c>
      <c r="C26" s="1" t="n">
        <v>45345</v>
      </c>
      <c r="D26" t="inlineStr">
        <is>
          <t>UPPSALA LÄN</t>
        </is>
      </c>
      <c r="E26" t="inlineStr">
        <is>
          <t>ÄLVKARLEBY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10481-2019</t>
        </is>
      </c>
      <c r="B27" s="1" t="n">
        <v>43511</v>
      </c>
      <c r="C27" s="1" t="n">
        <v>45345</v>
      </c>
      <c r="D27" t="inlineStr">
        <is>
          <t>UPPSALA LÄN</t>
        </is>
      </c>
      <c r="E27" t="inlineStr">
        <is>
          <t>ÄLVKARLEBY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10898-2019</t>
        </is>
      </c>
      <c r="B28" s="1" t="n">
        <v>43515</v>
      </c>
      <c r="C28" s="1" t="n">
        <v>45345</v>
      </c>
      <c r="D28" t="inlineStr">
        <is>
          <t>UPPSALA LÄN</t>
        </is>
      </c>
      <c r="E28" t="inlineStr">
        <is>
          <t>ÄLVKARLEBY</t>
        </is>
      </c>
      <c r="F28" t="inlineStr">
        <is>
          <t>Kyrkan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19969-2019</t>
        </is>
      </c>
      <c r="B29" s="1" t="n">
        <v>43570</v>
      </c>
      <c r="C29" s="1" t="n">
        <v>45345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45345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45345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45345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45345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45345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45345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45345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45345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45345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45345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45345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45345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45345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45345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45345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45345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45345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45345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45345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45345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45345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45345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45345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45345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45345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45345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45345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45345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45345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45345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45345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45345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45345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45345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45345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45345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45345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45345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45345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45345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45345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45345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45345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45345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45345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45345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45345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45345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45345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45345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45345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45345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45345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45345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45345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45345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45345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45345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45345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45345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45345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45345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45345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45345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45345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45345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45345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45345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45345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45345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996-2024</t>
        </is>
      </c>
      <c r="B100" s="1" t="n">
        <v>45301</v>
      </c>
      <c r="C100" s="1" t="n">
        <v>45345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45345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2184-2024</t>
        </is>
      </c>
      <c r="B102" s="1" t="n">
        <v>45309</v>
      </c>
      <c r="C102" s="1" t="n">
        <v>45345</v>
      </c>
      <c r="D102" t="inlineStr">
        <is>
          <t>UPPSALA LÄN</t>
        </is>
      </c>
      <c r="E102" t="inlineStr">
        <is>
          <t>ÄLVKARLEBY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2183-2024</t>
        </is>
      </c>
      <c r="B103" s="1" t="n">
        <v>45309</v>
      </c>
      <c r="C103" s="1" t="n">
        <v>45345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2024-02-23T06:58:12Z</dcterms:created>
  <dcterms:modified xmlns:dcterms="http://purl.org/dc/terms/" xmlns:xsi="http://www.w3.org/2001/XMLSchema-instance" xsi:type="dcterms:W3CDTF">2024-02-23T06:58:12Z</dcterms:modified>
</cp:coreProperties>
</file>