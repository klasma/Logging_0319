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46094</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46094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46094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46094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46094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46094</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46094</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46094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46094</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46094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46094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46094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21007-2025</t>
        </is>
      </c>
      <c r="B14" s="1" t="n">
        <v>45777</v>
      </c>
      <c r="C14" s="1" t="n">
        <v>46094</v>
      </c>
      <c r="D14" t="inlineStr">
        <is>
          <t>UPPSALA LÄN</t>
        </is>
      </c>
      <c r="E14" t="inlineStr">
        <is>
          <t>ÄLVKARLEBY</t>
        </is>
      </c>
      <c r="F14" t="inlineStr">
        <is>
          <t>Bergvik skog väst AB</t>
        </is>
      </c>
      <c r="G14" t="n">
        <v>5.2</v>
      </c>
      <c r="H14" t="n">
        <v>1</v>
      </c>
      <c r="I14" t="n">
        <v>2</v>
      </c>
      <c r="J14" t="n">
        <v>0</v>
      </c>
      <c r="K14" t="n">
        <v>0</v>
      </c>
      <c r="L14" t="n">
        <v>0</v>
      </c>
      <c r="M14" t="n">
        <v>0</v>
      </c>
      <c r="N14" t="n">
        <v>0</v>
      </c>
      <c r="O14" t="n">
        <v>0</v>
      </c>
      <c r="P14" t="n">
        <v>0</v>
      </c>
      <c r="Q14" t="n">
        <v>3</v>
      </c>
      <c r="R14" s="2" t="inlineStr">
        <is>
          <t>Svart trolldruva
Tibast
Lopplummer (aggregat)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34798-2024</t>
        </is>
      </c>
      <c r="B15" s="1" t="n">
        <v>45526</v>
      </c>
      <c r="C15" s="1" t="n">
        <v>46094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46094</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58480-2025</t>
        </is>
      </c>
      <c r="B17" s="1" t="n">
        <v>45985.64805555555</v>
      </c>
      <c r="C17" s="1" t="n">
        <v>46094</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61693-2025</t>
        </is>
      </c>
      <c r="B18" s="1" t="n">
        <v>46002</v>
      </c>
      <c r="C18" s="1" t="n">
        <v>46094</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62278-2025</t>
        </is>
      </c>
      <c r="B19" s="1" t="n">
        <v>46006.63202546296</v>
      </c>
      <c r="C19" s="1" t="n">
        <v>46094</v>
      </c>
      <c r="D19" t="inlineStr">
        <is>
          <t>UPPSALA LÄN</t>
        </is>
      </c>
      <c r="E19" t="inlineStr">
        <is>
          <t>ÄLVKARLEBY</t>
        </is>
      </c>
      <c r="F19" t="inlineStr">
        <is>
          <t>Bergvik skog väst AB</t>
        </is>
      </c>
      <c r="G19" t="n">
        <v>6.3</v>
      </c>
      <c r="H19" t="n">
        <v>2</v>
      </c>
      <c r="I19" t="n">
        <v>0</v>
      </c>
      <c r="J19" t="n">
        <v>1</v>
      </c>
      <c r="K19" t="n">
        <v>1</v>
      </c>
      <c r="L19" t="n">
        <v>1</v>
      </c>
      <c r="M19" t="n">
        <v>0</v>
      </c>
      <c r="N19" t="n">
        <v>0</v>
      </c>
      <c r="O19" t="n">
        <v>3</v>
      </c>
      <c r="P19" t="n">
        <v>2</v>
      </c>
      <c r="Q19" t="n">
        <v>3</v>
      </c>
      <c r="R19" s="2" t="inlineStr">
        <is>
          <t>Mosippa
Knärot
Rökfingersvamp</t>
        </is>
      </c>
      <c r="S19">
        <f>HYPERLINK("https://klasma.github.io/Logging_0319/artfynd/A 62278-2025 artfynd.xlsx", "A 62278-2025")</f>
        <v/>
      </c>
      <c r="T19">
        <f>HYPERLINK("https://klasma.github.io/Logging_0319/kartor/A 62278-2025 karta.png", "A 62278-2025")</f>
        <v/>
      </c>
      <c r="U19">
        <f>HYPERLINK("https://klasma.github.io/Logging_0319/knärot/A 62278-2025 karta knärot.png", "A 62278-2025")</f>
        <v/>
      </c>
      <c r="V19">
        <f>HYPERLINK("https://klasma.github.io/Logging_0319/klagomål/A 62278-2025 FSC-klagomål.docx", "A 62278-2025")</f>
        <v/>
      </c>
      <c r="W19">
        <f>HYPERLINK("https://klasma.github.io/Logging_0319/klagomålsmail/A 62278-2025 FSC-klagomål mail.docx", "A 62278-2025")</f>
        <v/>
      </c>
      <c r="X19">
        <f>HYPERLINK("https://klasma.github.io/Logging_0319/tillsyn/A 62278-2025 tillsynsbegäran.docx", "A 62278-2025")</f>
        <v/>
      </c>
      <c r="Y19">
        <f>HYPERLINK("https://klasma.github.io/Logging_0319/tillsynsmail/A 62278-2025 tillsynsbegäran mail.docx", "A 62278-2025")</f>
        <v/>
      </c>
    </row>
    <row r="20" ht="15" customHeight="1">
      <c r="A20" t="inlineStr">
        <is>
          <t>A 58485-2025</t>
        </is>
      </c>
      <c r="B20" s="1" t="n">
        <v>45985.65565972222</v>
      </c>
      <c r="C20" s="1" t="n">
        <v>46094</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46094</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21700-2024</t>
        </is>
      </c>
      <c r="B22" s="1" t="n">
        <v>45442</v>
      </c>
      <c r="C22" s="1" t="n">
        <v>46094</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46094</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39902-2025</t>
        </is>
      </c>
      <c r="B24" s="1" t="n">
        <v>45891.63597222222</v>
      </c>
      <c r="C24" s="1" t="n">
        <v>46094</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9521-2025</t>
        </is>
      </c>
      <c r="B25" s="1" t="n">
        <v>45715.56259259259</v>
      </c>
      <c r="C25" s="1" t="n">
        <v>46094</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47207-2025</t>
        </is>
      </c>
      <c r="B26" s="1" t="n">
        <v>45930.37263888889</v>
      </c>
      <c r="C26" s="1" t="n">
        <v>46094</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51238-2025</t>
        </is>
      </c>
      <c r="B27" s="1" t="n">
        <v>45947.69753472223</v>
      </c>
      <c r="C27" s="1" t="n">
        <v>46094</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59993-2025</t>
        </is>
      </c>
      <c r="B28" s="1" t="n">
        <v>45993.56505787037</v>
      </c>
      <c r="C28" s="1" t="n">
        <v>46094</v>
      </c>
      <c r="D28" t="inlineStr">
        <is>
          <t>UPPSALA LÄN</t>
        </is>
      </c>
      <c r="E28" t="inlineStr">
        <is>
          <t>ÄLVKARLEBY</t>
        </is>
      </c>
      <c r="F28" t="inlineStr">
        <is>
          <t>Bergvik skog väst AB</t>
        </is>
      </c>
      <c r="G28" t="n">
        <v>18.6</v>
      </c>
      <c r="H28" t="n">
        <v>1</v>
      </c>
      <c r="I28" t="n">
        <v>1</v>
      </c>
      <c r="J28" t="n">
        <v>0</v>
      </c>
      <c r="K28" t="n">
        <v>0</v>
      </c>
      <c r="L28" t="n">
        <v>0</v>
      </c>
      <c r="M28" t="n">
        <v>0</v>
      </c>
      <c r="N28" t="n">
        <v>0</v>
      </c>
      <c r="O28" t="n">
        <v>0</v>
      </c>
      <c r="P28" t="n">
        <v>0</v>
      </c>
      <c r="Q28" t="n">
        <v>1</v>
      </c>
      <c r="R28" s="2" t="inlineStr">
        <is>
          <t>Skogsknipprot</t>
        </is>
      </c>
      <c r="S28">
        <f>HYPERLINK("https://klasma.github.io/Logging_0319/artfynd/A 59993-2025 artfynd.xlsx", "A 59993-2025")</f>
        <v/>
      </c>
      <c r="T28">
        <f>HYPERLINK("https://klasma.github.io/Logging_0319/kartor/A 59993-2025 karta.png", "A 59993-2025")</f>
        <v/>
      </c>
      <c r="V28">
        <f>HYPERLINK("https://klasma.github.io/Logging_0319/klagomål/A 59993-2025 FSC-klagomål.docx", "A 59993-2025")</f>
        <v/>
      </c>
      <c r="W28">
        <f>HYPERLINK("https://klasma.github.io/Logging_0319/klagomålsmail/A 59993-2025 FSC-klagomål mail.docx", "A 59993-2025")</f>
        <v/>
      </c>
      <c r="X28">
        <f>HYPERLINK("https://klasma.github.io/Logging_0319/tillsyn/A 59993-2025 tillsynsbegäran.docx", "A 59993-2025")</f>
        <v/>
      </c>
      <c r="Y28">
        <f>HYPERLINK("https://klasma.github.io/Logging_0319/tillsynsmail/A 59993-2025 tillsynsbegäran mail.docx", "A 59993-2025")</f>
        <v/>
      </c>
    </row>
    <row r="29" ht="15" customHeight="1">
      <c r="A29" t="inlineStr">
        <is>
          <t>A 4132-2026</t>
        </is>
      </c>
      <c r="B29" s="1" t="n">
        <v>46044.62596064815</v>
      </c>
      <c r="C29" s="1" t="n">
        <v>46094</v>
      </c>
      <c r="D29" t="inlineStr">
        <is>
          <t>UPPSALA LÄN</t>
        </is>
      </c>
      <c r="E29" t="inlineStr">
        <is>
          <t>ÄLVKARLEBY</t>
        </is>
      </c>
      <c r="F29" t="inlineStr">
        <is>
          <t>Bergvik skog öst AB</t>
        </is>
      </c>
      <c r="G29" t="n">
        <v>12.2</v>
      </c>
      <c r="H29" t="n">
        <v>1</v>
      </c>
      <c r="I29" t="n">
        <v>0</v>
      </c>
      <c r="J29" t="n">
        <v>0</v>
      </c>
      <c r="K29" t="n">
        <v>0</v>
      </c>
      <c r="L29" t="n">
        <v>0</v>
      </c>
      <c r="M29" t="n">
        <v>0</v>
      </c>
      <c r="N29" t="n">
        <v>0</v>
      </c>
      <c r="O29" t="n">
        <v>0</v>
      </c>
      <c r="P29" t="n">
        <v>0</v>
      </c>
      <c r="Q29" t="n">
        <v>1</v>
      </c>
      <c r="R29" s="2" t="inlineStr">
        <is>
          <t>Dubbelnycklar</t>
        </is>
      </c>
      <c r="S29">
        <f>HYPERLINK("https://klasma.github.io/Logging_0319/artfynd/A 4132-2026 artfynd.xlsx", "A 4132-2026")</f>
        <v/>
      </c>
      <c r="T29">
        <f>HYPERLINK("https://klasma.github.io/Logging_0319/kartor/A 4132-2026 karta.png", "A 4132-2026")</f>
        <v/>
      </c>
      <c r="V29">
        <f>HYPERLINK("https://klasma.github.io/Logging_0319/klagomål/A 4132-2026 FSC-klagomål.docx", "A 4132-2026")</f>
        <v/>
      </c>
      <c r="W29">
        <f>HYPERLINK("https://klasma.github.io/Logging_0319/klagomålsmail/A 4132-2026 FSC-klagomål mail.docx", "A 4132-2026")</f>
        <v/>
      </c>
      <c r="X29">
        <f>HYPERLINK("https://klasma.github.io/Logging_0319/tillsyn/A 4132-2026 tillsynsbegäran.docx", "A 4132-2026")</f>
        <v/>
      </c>
      <c r="Y29">
        <f>HYPERLINK("https://klasma.github.io/Logging_0319/tillsynsmail/A 4132-2026 tillsynsbegäran mail.docx", "A 4132-2026")</f>
        <v/>
      </c>
    </row>
    <row r="30" ht="15" customHeight="1">
      <c r="A30" t="inlineStr">
        <is>
          <t>A 36217-2022</t>
        </is>
      </c>
      <c r="B30" s="1" t="n">
        <v>44803</v>
      </c>
      <c r="C30" s="1" t="n">
        <v>46094</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46094</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46094</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46094</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46094</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16990-2022</t>
        </is>
      </c>
      <c r="B35" s="1" t="n">
        <v>44676.6122337963</v>
      </c>
      <c r="C35" s="1" t="n">
        <v>46094</v>
      </c>
      <c r="D35" t="inlineStr">
        <is>
          <t>UPPSALA LÄN</t>
        </is>
      </c>
      <c r="E35" t="inlineStr">
        <is>
          <t>ÄLVKARLEBY</t>
        </is>
      </c>
      <c r="F35" t="inlineStr">
        <is>
          <t>Bergvik skog väst AB</t>
        </is>
      </c>
      <c r="G35" t="n">
        <v>2.6</v>
      </c>
      <c r="H35" t="n">
        <v>0</v>
      </c>
      <c r="I35" t="n">
        <v>0</v>
      </c>
      <c r="J35" t="n">
        <v>0</v>
      </c>
      <c r="K35" t="n">
        <v>0</v>
      </c>
      <c r="L35" t="n">
        <v>0</v>
      </c>
      <c r="M35" t="n">
        <v>0</v>
      </c>
      <c r="N35" t="n">
        <v>0</v>
      </c>
      <c r="O35" t="n">
        <v>0</v>
      </c>
      <c r="P35" t="n">
        <v>0</v>
      </c>
      <c r="Q35" t="n">
        <v>0</v>
      </c>
      <c r="R35" s="2" t="inlineStr"/>
    </row>
    <row r="36" ht="15" customHeight="1">
      <c r="A36" t="inlineStr">
        <is>
          <t>A 19697-2025</t>
        </is>
      </c>
      <c r="B36" s="1" t="n">
        <v>45771</v>
      </c>
      <c r="C36" s="1" t="n">
        <v>46094</v>
      </c>
      <c r="D36" t="inlineStr">
        <is>
          <t>UPPSALA LÄN</t>
        </is>
      </c>
      <c r="E36" t="inlineStr">
        <is>
          <t>ÄLVKARLEBY</t>
        </is>
      </c>
      <c r="F36" t="inlineStr">
        <is>
          <t>Bergvik skog väst AB</t>
        </is>
      </c>
      <c r="G36" t="n">
        <v>3.3</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46094</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36282-2022</t>
        </is>
      </c>
      <c r="B38" s="1" t="n">
        <v>44803</v>
      </c>
      <c r="C38" s="1" t="n">
        <v>46094</v>
      </c>
      <c r="D38" t="inlineStr">
        <is>
          <t>UPPSALA LÄN</t>
        </is>
      </c>
      <c r="E38" t="inlineStr">
        <is>
          <t>ÄLVKARLEBY</t>
        </is>
      </c>
      <c r="G38" t="n">
        <v>0.1</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46094</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18451-2025</t>
        </is>
      </c>
      <c r="B40" s="1" t="n">
        <v>45762</v>
      </c>
      <c r="C40" s="1" t="n">
        <v>46094</v>
      </c>
      <c r="D40" t="inlineStr">
        <is>
          <t>UPPSALA LÄN</t>
        </is>
      </c>
      <c r="E40" t="inlineStr">
        <is>
          <t>ÄLVKARLEBY</t>
        </is>
      </c>
      <c r="F40" t="inlineStr">
        <is>
          <t>Bergvik skog väst AB</t>
        </is>
      </c>
      <c r="G40" t="n">
        <v>1.2</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46094</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46094</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19303-2024</t>
        </is>
      </c>
      <c r="B43" s="1" t="n">
        <v>45428.70386574074</v>
      </c>
      <c r="C43" s="1" t="n">
        <v>46094</v>
      </c>
      <c r="D43" t="inlineStr">
        <is>
          <t>UPPSALA LÄN</t>
        </is>
      </c>
      <c r="E43" t="inlineStr">
        <is>
          <t>ÄLVKARLEBY</t>
        </is>
      </c>
      <c r="G43" t="n">
        <v>0.4</v>
      </c>
      <c r="H43" t="n">
        <v>0</v>
      </c>
      <c r="I43" t="n">
        <v>0</v>
      </c>
      <c r="J43" t="n">
        <v>0</v>
      </c>
      <c r="K43" t="n">
        <v>0</v>
      </c>
      <c r="L43" t="n">
        <v>0</v>
      </c>
      <c r="M43" t="n">
        <v>0</v>
      </c>
      <c r="N43" t="n">
        <v>0</v>
      </c>
      <c r="O43" t="n">
        <v>0</v>
      </c>
      <c r="P43" t="n">
        <v>0</v>
      </c>
      <c r="Q43" t="n">
        <v>0</v>
      </c>
      <c r="R43" s="2" t="inlineStr"/>
    </row>
    <row r="44" ht="15" customHeight="1">
      <c r="A44" t="inlineStr">
        <is>
          <t>A 24591-2025</t>
        </is>
      </c>
      <c r="B44" s="1" t="n">
        <v>45798.53666666667</v>
      </c>
      <c r="C44" s="1" t="n">
        <v>46094</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3950-2025</t>
        </is>
      </c>
      <c r="B45" s="1" t="n">
        <v>45684</v>
      </c>
      <c r="C45" s="1" t="n">
        <v>46094</v>
      </c>
      <c r="D45" t="inlineStr">
        <is>
          <t>UPPSALA LÄN</t>
        </is>
      </c>
      <c r="E45" t="inlineStr">
        <is>
          <t>ÄLVKARLEBY</t>
        </is>
      </c>
      <c r="G45" t="n">
        <v>3.1</v>
      </c>
      <c r="H45" t="n">
        <v>0</v>
      </c>
      <c r="I45" t="n">
        <v>0</v>
      </c>
      <c r="J45" t="n">
        <v>0</v>
      </c>
      <c r="K45" t="n">
        <v>0</v>
      </c>
      <c r="L45" t="n">
        <v>0</v>
      </c>
      <c r="M45" t="n">
        <v>0</v>
      </c>
      <c r="N45" t="n">
        <v>0</v>
      </c>
      <c r="O45" t="n">
        <v>0</v>
      </c>
      <c r="P45" t="n">
        <v>0</v>
      </c>
      <c r="Q45" t="n">
        <v>0</v>
      </c>
      <c r="R45" s="2" t="inlineStr"/>
    </row>
    <row r="46" ht="15" customHeight="1">
      <c r="A46" t="inlineStr">
        <is>
          <t>A 25330-2025</t>
        </is>
      </c>
      <c r="B46" s="1" t="n">
        <v>45800.59114583334</v>
      </c>
      <c r="C46" s="1" t="n">
        <v>46094</v>
      </c>
      <c r="D46" t="inlineStr">
        <is>
          <t>UPPSALA LÄN</t>
        </is>
      </c>
      <c r="E46" t="inlineStr">
        <is>
          <t>ÄLVKARLEBY</t>
        </is>
      </c>
      <c r="F46" t="inlineStr">
        <is>
          <t>Bergvik skog väst AB</t>
        </is>
      </c>
      <c r="G46" t="n">
        <v>5</v>
      </c>
      <c r="H46" t="n">
        <v>0</v>
      </c>
      <c r="I46" t="n">
        <v>0</v>
      </c>
      <c r="J46" t="n">
        <v>0</v>
      </c>
      <c r="K46" t="n">
        <v>0</v>
      </c>
      <c r="L46" t="n">
        <v>0</v>
      </c>
      <c r="M46" t="n">
        <v>0</v>
      </c>
      <c r="N46" t="n">
        <v>0</v>
      </c>
      <c r="O46" t="n">
        <v>0</v>
      </c>
      <c r="P46" t="n">
        <v>0</v>
      </c>
      <c r="Q46" t="n">
        <v>0</v>
      </c>
      <c r="R46" s="2" t="inlineStr"/>
    </row>
    <row r="47" ht="15" customHeight="1">
      <c r="A47" t="inlineStr">
        <is>
          <t>A 25264-2025</t>
        </is>
      </c>
      <c r="B47" s="1" t="n">
        <v>45800.5334375</v>
      </c>
      <c r="C47" s="1" t="n">
        <v>46094</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19862-2025</t>
        </is>
      </c>
      <c r="B48" s="1" t="n">
        <v>45771.53560185185</v>
      </c>
      <c r="C48" s="1" t="n">
        <v>46094</v>
      </c>
      <c r="D48" t="inlineStr">
        <is>
          <t>UPPSALA LÄN</t>
        </is>
      </c>
      <c r="E48" t="inlineStr">
        <is>
          <t>ÄLVKARLEBY</t>
        </is>
      </c>
      <c r="F48" t="inlineStr">
        <is>
          <t>Kyrkan</t>
        </is>
      </c>
      <c r="G48" t="n">
        <v>3</v>
      </c>
      <c r="H48" t="n">
        <v>0</v>
      </c>
      <c r="I48" t="n">
        <v>0</v>
      </c>
      <c r="J48" t="n">
        <v>0</v>
      </c>
      <c r="K48" t="n">
        <v>0</v>
      </c>
      <c r="L48" t="n">
        <v>0</v>
      </c>
      <c r="M48" t="n">
        <v>0</v>
      </c>
      <c r="N48" t="n">
        <v>0</v>
      </c>
      <c r="O48" t="n">
        <v>0</v>
      </c>
      <c r="P48" t="n">
        <v>0</v>
      </c>
      <c r="Q48" t="n">
        <v>0</v>
      </c>
      <c r="R48" s="2" t="inlineStr"/>
    </row>
    <row r="49" ht="15" customHeight="1">
      <c r="A49" t="inlineStr">
        <is>
          <t>A 45372-2024</t>
        </is>
      </c>
      <c r="B49" s="1" t="n">
        <v>45576.51116898148</v>
      </c>
      <c r="C49" s="1" t="n">
        <v>46094</v>
      </c>
      <c r="D49" t="inlineStr">
        <is>
          <t>UPPSALA LÄN</t>
        </is>
      </c>
      <c r="E49" t="inlineStr">
        <is>
          <t>ÄLVKARLEBY</t>
        </is>
      </c>
      <c r="F49" t="inlineStr">
        <is>
          <t>Bergvik skog väst AB</t>
        </is>
      </c>
      <c r="G49" t="n">
        <v>3.4</v>
      </c>
      <c r="H49" t="n">
        <v>0</v>
      </c>
      <c r="I49" t="n">
        <v>0</v>
      </c>
      <c r="J49" t="n">
        <v>0</v>
      </c>
      <c r="K49" t="n">
        <v>0</v>
      </c>
      <c r="L49" t="n">
        <v>0</v>
      </c>
      <c r="M49" t="n">
        <v>0</v>
      </c>
      <c r="N49" t="n">
        <v>0</v>
      </c>
      <c r="O49" t="n">
        <v>0</v>
      </c>
      <c r="P49" t="n">
        <v>0</v>
      </c>
      <c r="Q49" t="n">
        <v>0</v>
      </c>
      <c r="R49" s="2" t="inlineStr"/>
    </row>
    <row r="50" ht="15" customHeight="1">
      <c r="A50" t="inlineStr">
        <is>
          <t>A 26670-2025</t>
        </is>
      </c>
      <c r="B50" s="1" t="n">
        <v>45810.41489583333</v>
      </c>
      <c r="C50" s="1" t="n">
        <v>46094</v>
      </c>
      <c r="D50" t="inlineStr">
        <is>
          <t>UPPSALA LÄN</t>
        </is>
      </c>
      <c r="E50" t="inlineStr">
        <is>
          <t>ÄLVKARLEBY</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15739-2025</t>
        </is>
      </c>
      <c r="B51" s="1" t="n">
        <v>45748.54612268518</v>
      </c>
      <c r="C51" s="1" t="n">
        <v>46094</v>
      </c>
      <c r="D51" t="inlineStr">
        <is>
          <t>UPPSALA LÄN</t>
        </is>
      </c>
      <c r="E51" t="inlineStr">
        <is>
          <t>ÄLVKARLEBY</t>
        </is>
      </c>
      <c r="F51" t="inlineStr">
        <is>
          <t>Kyrkan</t>
        </is>
      </c>
      <c r="G51" t="n">
        <v>2.4</v>
      </c>
      <c r="H51" t="n">
        <v>0</v>
      </c>
      <c r="I51" t="n">
        <v>0</v>
      </c>
      <c r="J51" t="n">
        <v>0</v>
      </c>
      <c r="K51" t="n">
        <v>0</v>
      </c>
      <c r="L51" t="n">
        <v>0</v>
      </c>
      <c r="M51" t="n">
        <v>0</v>
      </c>
      <c r="N51" t="n">
        <v>0</v>
      </c>
      <c r="O51" t="n">
        <v>0</v>
      </c>
      <c r="P51" t="n">
        <v>0</v>
      </c>
      <c r="Q51" t="n">
        <v>0</v>
      </c>
      <c r="R51" s="2" t="inlineStr"/>
    </row>
    <row r="52" ht="15" customHeight="1">
      <c r="A52" t="inlineStr">
        <is>
          <t>A 41929-2024</t>
        </is>
      </c>
      <c r="B52" s="1" t="n">
        <v>45561</v>
      </c>
      <c r="C52" s="1" t="n">
        <v>46094</v>
      </c>
      <c r="D52" t="inlineStr">
        <is>
          <t>UPPSALA LÄN</t>
        </is>
      </c>
      <c r="E52" t="inlineStr">
        <is>
          <t>ÄLVKARLEBY</t>
        </is>
      </c>
      <c r="F52" t="inlineStr">
        <is>
          <t>Bergvik skog väst AB</t>
        </is>
      </c>
      <c r="G52" t="n">
        <v>4.9</v>
      </c>
      <c r="H52" t="n">
        <v>0</v>
      </c>
      <c r="I52" t="n">
        <v>0</v>
      </c>
      <c r="J52" t="n">
        <v>0</v>
      </c>
      <c r="K52" t="n">
        <v>0</v>
      </c>
      <c r="L52" t="n">
        <v>0</v>
      </c>
      <c r="M52" t="n">
        <v>0</v>
      </c>
      <c r="N52" t="n">
        <v>0</v>
      </c>
      <c r="O52" t="n">
        <v>0</v>
      </c>
      <c r="P52" t="n">
        <v>0</v>
      </c>
      <c r="Q52" t="n">
        <v>0</v>
      </c>
      <c r="R52" s="2" t="inlineStr"/>
    </row>
    <row r="53" ht="15" customHeight="1">
      <c r="A53" t="inlineStr">
        <is>
          <t>A 27741-2025</t>
        </is>
      </c>
      <c r="B53" s="1" t="n">
        <v>45815.5346875</v>
      </c>
      <c r="C53" s="1" t="n">
        <v>46094</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46094</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46094</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46094</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39791-2021</t>
        </is>
      </c>
      <c r="B57" s="1" t="n">
        <v>44417</v>
      </c>
      <c r="C57" s="1" t="n">
        <v>46094</v>
      </c>
      <c r="D57" t="inlineStr">
        <is>
          <t>UPPSALA LÄN</t>
        </is>
      </c>
      <c r="E57" t="inlineStr">
        <is>
          <t>ÄLVKARLEBY</t>
        </is>
      </c>
      <c r="G57" t="n">
        <v>1.8</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46094</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46094</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43285-2023</t>
        </is>
      </c>
      <c r="B60" s="1" t="n">
        <v>45183.5630787037</v>
      </c>
      <c r="C60" s="1" t="n">
        <v>46094</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46094</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32187-2025</t>
        </is>
      </c>
      <c r="B62" s="1" t="n">
        <v>45835.56949074074</v>
      </c>
      <c r="C62" s="1" t="n">
        <v>46094</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26815-2022</t>
        </is>
      </c>
      <c r="B63" s="1" t="n">
        <v>44740.44644675926</v>
      </c>
      <c r="C63" s="1" t="n">
        <v>46094</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32203-2025</t>
        </is>
      </c>
      <c r="B64" s="1" t="n">
        <v>45835.57951388889</v>
      </c>
      <c r="C64" s="1" t="n">
        <v>46094</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46094</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46094</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46094</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9533-2025</t>
        </is>
      </c>
      <c r="B68" s="1" t="n">
        <v>45715.57082175926</v>
      </c>
      <c r="C68" s="1" t="n">
        <v>46094</v>
      </c>
      <c r="D68" t="inlineStr">
        <is>
          <t>UPPSALA LÄN</t>
        </is>
      </c>
      <c r="E68" t="inlineStr">
        <is>
          <t>ÄLVKARLEBY</t>
        </is>
      </c>
      <c r="G68" t="n">
        <v>2.1</v>
      </c>
      <c r="H68" t="n">
        <v>0</v>
      </c>
      <c r="I68" t="n">
        <v>0</v>
      </c>
      <c r="J68" t="n">
        <v>0</v>
      </c>
      <c r="K68" t="n">
        <v>0</v>
      </c>
      <c r="L68" t="n">
        <v>0</v>
      </c>
      <c r="M68" t="n">
        <v>0</v>
      </c>
      <c r="N68" t="n">
        <v>0</v>
      </c>
      <c r="O68" t="n">
        <v>0</v>
      </c>
      <c r="P68" t="n">
        <v>0</v>
      </c>
      <c r="Q68" t="n">
        <v>0</v>
      </c>
      <c r="R68" s="2" t="inlineStr"/>
    </row>
    <row r="69" ht="15" customHeight="1">
      <c r="A69" t="inlineStr">
        <is>
          <t>A 2184-2024</t>
        </is>
      </c>
      <c r="B69" s="1" t="n">
        <v>45309</v>
      </c>
      <c r="C69" s="1" t="n">
        <v>46094</v>
      </c>
      <c r="D69" t="inlineStr">
        <is>
          <t>UPPSALA LÄN</t>
        </is>
      </c>
      <c r="E69" t="inlineStr">
        <is>
          <t>ÄLVKARLEBY</t>
        </is>
      </c>
      <c r="G69" t="n">
        <v>0.6</v>
      </c>
      <c r="H69" t="n">
        <v>0</v>
      </c>
      <c r="I69" t="n">
        <v>0</v>
      </c>
      <c r="J69" t="n">
        <v>0</v>
      </c>
      <c r="K69" t="n">
        <v>0</v>
      </c>
      <c r="L69" t="n">
        <v>0</v>
      </c>
      <c r="M69" t="n">
        <v>0</v>
      </c>
      <c r="N69" t="n">
        <v>0</v>
      </c>
      <c r="O69" t="n">
        <v>0</v>
      </c>
      <c r="P69" t="n">
        <v>0</v>
      </c>
      <c r="Q69" t="n">
        <v>0</v>
      </c>
      <c r="R69" s="2" t="inlineStr"/>
    </row>
    <row r="70" ht="15" customHeight="1">
      <c r="A70" t="inlineStr">
        <is>
          <t>A 8031-2025</t>
        </is>
      </c>
      <c r="B70" s="1" t="n">
        <v>45707.59112268518</v>
      </c>
      <c r="C70" s="1" t="n">
        <v>46094</v>
      </c>
      <c r="D70" t="inlineStr">
        <is>
          <t>UPPSALA LÄN</t>
        </is>
      </c>
      <c r="E70" t="inlineStr">
        <is>
          <t>ÄLVKARLEBY</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46094</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41272-2023</t>
        </is>
      </c>
      <c r="B72" s="1" t="n">
        <v>45174</v>
      </c>
      <c r="C72" s="1" t="n">
        <v>46094</v>
      </c>
      <c r="D72" t="inlineStr">
        <is>
          <t>UPPSALA LÄN</t>
        </is>
      </c>
      <c r="E72" t="inlineStr">
        <is>
          <t>ÄLVKARLEBY</t>
        </is>
      </c>
      <c r="F72" t="inlineStr">
        <is>
          <t>Bergvik skog väst AB</t>
        </is>
      </c>
      <c r="G72" t="n">
        <v>0.9</v>
      </c>
      <c r="H72" t="n">
        <v>0</v>
      </c>
      <c r="I72" t="n">
        <v>0</v>
      </c>
      <c r="J72" t="n">
        <v>0</v>
      </c>
      <c r="K72" t="n">
        <v>0</v>
      </c>
      <c r="L72" t="n">
        <v>0</v>
      </c>
      <c r="M72" t="n">
        <v>0</v>
      </c>
      <c r="N72" t="n">
        <v>0</v>
      </c>
      <c r="O72" t="n">
        <v>0</v>
      </c>
      <c r="P72" t="n">
        <v>0</v>
      </c>
      <c r="Q72" t="n">
        <v>0</v>
      </c>
      <c r="R72" s="2" t="inlineStr"/>
    </row>
    <row r="73" ht="15" customHeight="1">
      <c r="A73" t="inlineStr">
        <is>
          <t>A 8030-2025</t>
        </is>
      </c>
      <c r="B73" s="1" t="n">
        <v>45707.59064814815</v>
      </c>
      <c r="C73" s="1" t="n">
        <v>46094</v>
      </c>
      <c r="D73" t="inlineStr">
        <is>
          <t>UPPSALA LÄN</t>
        </is>
      </c>
      <c r="E73" t="inlineStr">
        <is>
          <t>ÄLVKARLEBY</t>
        </is>
      </c>
      <c r="F73" t="inlineStr">
        <is>
          <t>Bergvik skog väst AB</t>
        </is>
      </c>
      <c r="G73" t="n">
        <v>3.6</v>
      </c>
      <c r="H73" t="n">
        <v>0</v>
      </c>
      <c r="I73" t="n">
        <v>0</v>
      </c>
      <c r="J73" t="n">
        <v>0</v>
      </c>
      <c r="K73" t="n">
        <v>0</v>
      </c>
      <c r="L73" t="n">
        <v>0</v>
      </c>
      <c r="M73" t="n">
        <v>0</v>
      </c>
      <c r="N73" t="n">
        <v>0</v>
      </c>
      <c r="O73" t="n">
        <v>0</v>
      </c>
      <c r="P73" t="n">
        <v>0</v>
      </c>
      <c r="Q73" t="n">
        <v>0</v>
      </c>
      <c r="R73" s="2" t="inlineStr"/>
    </row>
    <row r="74" ht="15" customHeight="1">
      <c r="A74" t="inlineStr">
        <is>
          <t>A 14590-2023</t>
        </is>
      </c>
      <c r="B74" s="1" t="n">
        <v>45013.54621527778</v>
      </c>
      <c r="C74" s="1" t="n">
        <v>46094</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46094</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41615-2025</t>
        </is>
      </c>
      <c r="B76" s="1" t="n">
        <v>45901.69556712963</v>
      </c>
      <c r="C76" s="1" t="n">
        <v>46094</v>
      </c>
      <c r="D76" t="inlineStr">
        <is>
          <t>UPPSALA LÄN</t>
        </is>
      </c>
      <c r="E76" t="inlineStr">
        <is>
          <t>ÄLVKARLEBY</t>
        </is>
      </c>
      <c r="F76" t="inlineStr">
        <is>
          <t>Bergvik skog väst AB</t>
        </is>
      </c>
      <c r="G76" t="n">
        <v>3</v>
      </c>
      <c r="H76" t="n">
        <v>0</v>
      </c>
      <c r="I76" t="n">
        <v>0</v>
      </c>
      <c r="J76" t="n">
        <v>0</v>
      </c>
      <c r="K76" t="n">
        <v>0</v>
      </c>
      <c r="L76" t="n">
        <v>0</v>
      </c>
      <c r="M76" t="n">
        <v>0</v>
      </c>
      <c r="N76" t="n">
        <v>0</v>
      </c>
      <c r="O76" t="n">
        <v>0</v>
      </c>
      <c r="P76" t="n">
        <v>0</v>
      </c>
      <c r="Q76" t="n">
        <v>0</v>
      </c>
      <c r="R76" s="2" t="inlineStr"/>
    </row>
    <row r="77" ht="15" customHeight="1">
      <c r="A77" t="inlineStr">
        <is>
          <t>A 26664-2025</t>
        </is>
      </c>
      <c r="B77" s="1" t="n">
        <v>45810</v>
      </c>
      <c r="C77" s="1" t="n">
        <v>46094</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41276-2023</t>
        </is>
      </c>
      <c r="B78" s="1" t="n">
        <v>45174</v>
      </c>
      <c r="C78" s="1" t="n">
        <v>46094</v>
      </c>
      <c r="D78" t="inlineStr">
        <is>
          <t>UPPSALA LÄN</t>
        </is>
      </c>
      <c r="E78" t="inlineStr">
        <is>
          <t>ÄLVKARLEBY</t>
        </is>
      </c>
      <c r="F78" t="inlineStr">
        <is>
          <t>Bergvik skog väst AB</t>
        </is>
      </c>
      <c r="G78" t="n">
        <v>0.3</v>
      </c>
      <c r="H78" t="n">
        <v>0</v>
      </c>
      <c r="I78" t="n">
        <v>0</v>
      </c>
      <c r="J78" t="n">
        <v>0</v>
      </c>
      <c r="K78" t="n">
        <v>0</v>
      </c>
      <c r="L78" t="n">
        <v>0</v>
      </c>
      <c r="M78" t="n">
        <v>0</v>
      </c>
      <c r="N78" t="n">
        <v>0</v>
      </c>
      <c r="O78" t="n">
        <v>0</v>
      </c>
      <c r="P78" t="n">
        <v>0</v>
      </c>
      <c r="Q78" t="n">
        <v>0</v>
      </c>
      <c r="R78" s="2" t="inlineStr"/>
    </row>
    <row r="79" ht="15" customHeight="1">
      <c r="A79" t="inlineStr">
        <is>
          <t>A 41847-2025</t>
        </is>
      </c>
      <c r="B79" s="1" t="n">
        <v>45902.75265046296</v>
      </c>
      <c r="C79" s="1" t="n">
        <v>46094</v>
      </c>
      <c r="D79" t="inlineStr">
        <is>
          <t>UPPSALA LÄN</t>
        </is>
      </c>
      <c r="E79" t="inlineStr">
        <is>
          <t>ÄLVKARLEBY</t>
        </is>
      </c>
      <c r="F79" t="inlineStr">
        <is>
          <t>Bergvik skog väst AB</t>
        </is>
      </c>
      <c r="G79" t="n">
        <v>3.6</v>
      </c>
      <c r="H79" t="n">
        <v>0</v>
      </c>
      <c r="I79" t="n">
        <v>0</v>
      </c>
      <c r="J79" t="n">
        <v>0</v>
      </c>
      <c r="K79" t="n">
        <v>0</v>
      </c>
      <c r="L79" t="n">
        <v>0</v>
      </c>
      <c r="M79" t="n">
        <v>0</v>
      </c>
      <c r="N79" t="n">
        <v>0</v>
      </c>
      <c r="O79" t="n">
        <v>0</v>
      </c>
      <c r="P79" t="n">
        <v>0</v>
      </c>
      <c r="Q79" t="n">
        <v>0</v>
      </c>
      <c r="R79" s="2" t="inlineStr"/>
    </row>
    <row r="80" ht="15" customHeight="1">
      <c r="A80" t="inlineStr">
        <is>
          <t>A 14004-2025</t>
        </is>
      </c>
      <c r="B80" s="1" t="n">
        <v>45740.2997337963</v>
      </c>
      <c r="C80" s="1" t="n">
        <v>46094</v>
      </c>
      <c r="D80" t="inlineStr">
        <is>
          <t>UPPSALA LÄN</t>
        </is>
      </c>
      <c r="E80" t="inlineStr">
        <is>
          <t>ÄLVKARLEBY</t>
        </is>
      </c>
      <c r="F80" t="inlineStr">
        <is>
          <t>Bergvik skog öst AB</t>
        </is>
      </c>
      <c r="G80" t="n">
        <v>10.1</v>
      </c>
      <c r="H80" t="n">
        <v>0</v>
      </c>
      <c r="I80" t="n">
        <v>0</v>
      </c>
      <c r="J80" t="n">
        <v>0</v>
      </c>
      <c r="K80" t="n">
        <v>0</v>
      </c>
      <c r="L80" t="n">
        <v>0</v>
      </c>
      <c r="M80" t="n">
        <v>0</v>
      </c>
      <c r="N80" t="n">
        <v>0</v>
      </c>
      <c r="O80" t="n">
        <v>0</v>
      </c>
      <c r="P80" t="n">
        <v>0</v>
      </c>
      <c r="Q80" t="n">
        <v>0</v>
      </c>
      <c r="R80" s="2" t="inlineStr"/>
    </row>
    <row r="81" ht="15" customHeight="1">
      <c r="A81" t="inlineStr">
        <is>
          <t>A 43577-2025</t>
        </is>
      </c>
      <c r="B81" s="1" t="n">
        <v>45911.64219907407</v>
      </c>
      <c r="C81" s="1" t="n">
        <v>46094</v>
      </c>
      <c r="D81" t="inlineStr">
        <is>
          <t>UPPSALA LÄN</t>
        </is>
      </c>
      <c r="E81" t="inlineStr">
        <is>
          <t>ÄLVKARLEBY</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36216-2022</t>
        </is>
      </c>
      <c r="B82" s="1" t="n">
        <v>44803</v>
      </c>
      <c r="C82" s="1" t="n">
        <v>46094</v>
      </c>
      <c r="D82" t="inlineStr">
        <is>
          <t>UPPSALA LÄN</t>
        </is>
      </c>
      <c r="E82" t="inlineStr">
        <is>
          <t>ÄLVKARLEBY</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43662-2025</t>
        </is>
      </c>
      <c r="B83" s="1" t="n">
        <v>45912.34446759259</v>
      </c>
      <c r="C83" s="1" t="n">
        <v>46094</v>
      </c>
      <c r="D83" t="inlineStr">
        <is>
          <t>UPPSALA LÄN</t>
        </is>
      </c>
      <c r="E83" t="inlineStr">
        <is>
          <t>ÄLVKARLEBY</t>
        </is>
      </c>
      <c r="F83" t="inlineStr">
        <is>
          <t>Kyrkan</t>
        </is>
      </c>
      <c r="G83" t="n">
        <v>4.5</v>
      </c>
      <c r="H83" t="n">
        <v>0</v>
      </c>
      <c r="I83" t="n">
        <v>0</v>
      </c>
      <c r="J83" t="n">
        <v>0</v>
      </c>
      <c r="K83" t="n">
        <v>0</v>
      </c>
      <c r="L83" t="n">
        <v>0</v>
      </c>
      <c r="M83" t="n">
        <v>0</v>
      </c>
      <c r="N83" t="n">
        <v>0</v>
      </c>
      <c r="O83" t="n">
        <v>0</v>
      </c>
      <c r="P83" t="n">
        <v>0</v>
      </c>
      <c r="Q83" t="n">
        <v>0</v>
      </c>
      <c r="R83" s="2" t="inlineStr"/>
    </row>
    <row r="84" ht="15" customHeight="1">
      <c r="A84" t="inlineStr">
        <is>
          <t>A 45033-2025</t>
        </is>
      </c>
      <c r="B84" s="1" t="n">
        <v>45918.70299768518</v>
      </c>
      <c r="C84" s="1" t="n">
        <v>46094</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45512-2025</t>
        </is>
      </c>
      <c r="B85" s="1" t="n">
        <v>45922.58106481482</v>
      </c>
      <c r="C85" s="1" t="n">
        <v>46094</v>
      </c>
      <c r="D85" t="inlineStr">
        <is>
          <t>UPPSALA LÄN</t>
        </is>
      </c>
      <c r="E85" t="inlineStr">
        <is>
          <t>ÄLVKARLEBY</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46335-2025</t>
        </is>
      </c>
      <c r="B86" s="1" t="n">
        <v>45925.46199074074</v>
      </c>
      <c r="C86" s="1" t="n">
        <v>46094</v>
      </c>
      <c r="D86" t="inlineStr">
        <is>
          <t>UPPSALA LÄN</t>
        </is>
      </c>
      <c r="E86" t="inlineStr">
        <is>
          <t>ÄLVKARLEBY</t>
        </is>
      </c>
      <c r="G86" t="n">
        <v>1.3</v>
      </c>
      <c r="H86" t="n">
        <v>0</v>
      </c>
      <c r="I86" t="n">
        <v>0</v>
      </c>
      <c r="J86" t="n">
        <v>0</v>
      </c>
      <c r="K86" t="n">
        <v>0</v>
      </c>
      <c r="L86" t="n">
        <v>0</v>
      </c>
      <c r="M86" t="n">
        <v>0</v>
      </c>
      <c r="N86" t="n">
        <v>0</v>
      </c>
      <c r="O86" t="n">
        <v>0</v>
      </c>
      <c r="P86" t="n">
        <v>0</v>
      </c>
      <c r="Q86" t="n">
        <v>0</v>
      </c>
      <c r="R86" s="2" t="inlineStr"/>
    </row>
    <row r="87" ht="15" customHeight="1">
      <c r="A87" t="inlineStr">
        <is>
          <t>A 46510-2025</t>
        </is>
      </c>
      <c r="B87" s="1" t="n">
        <v>45925.92368055556</v>
      </c>
      <c r="C87" s="1" t="n">
        <v>46094</v>
      </c>
      <c r="D87" t="inlineStr">
        <is>
          <t>UPPSALA LÄN</t>
        </is>
      </c>
      <c r="E87" t="inlineStr">
        <is>
          <t>ÄLVKARLEBY</t>
        </is>
      </c>
      <c r="G87" t="n">
        <v>2.3</v>
      </c>
      <c r="H87" t="n">
        <v>0</v>
      </c>
      <c r="I87" t="n">
        <v>0</v>
      </c>
      <c r="J87" t="n">
        <v>0</v>
      </c>
      <c r="K87" t="n">
        <v>0</v>
      </c>
      <c r="L87" t="n">
        <v>0</v>
      </c>
      <c r="M87" t="n">
        <v>0</v>
      </c>
      <c r="N87" t="n">
        <v>0</v>
      </c>
      <c r="O87" t="n">
        <v>0</v>
      </c>
      <c r="P87" t="n">
        <v>0</v>
      </c>
      <c r="Q87" t="n">
        <v>0</v>
      </c>
      <c r="R87" s="2" t="inlineStr"/>
    </row>
    <row r="88" ht="15" customHeight="1">
      <c r="A88" t="inlineStr">
        <is>
          <t>A 48460-2025</t>
        </is>
      </c>
      <c r="B88" s="1" t="n">
        <v>45935.94372685185</v>
      </c>
      <c r="C88" s="1" t="n">
        <v>46094</v>
      </c>
      <c r="D88" t="inlineStr">
        <is>
          <t>UPPSALA LÄN</t>
        </is>
      </c>
      <c r="E88" t="inlineStr">
        <is>
          <t>ÄLVKARLEBY</t>
        </is>
      </c>
      <c r="F88" t="inlineStr">
        <is>
          <t>Bergvik skog väst AB</t>
        </is>
      </c>
      <c r="G88" t="n">
        <v>1.2</v>
      </c>
      <c r="H88" t="n">
        <v>0</v>
      </c>
      <c r="I88" t="n">
        <v>0</v>
      </c>
      <c r="J88" t="n">
        <v>0</v>
      </c>
      <c r="K88" t="n">
        <v>0</v>
      </c>
      <c r="L88" t="n">
        <v>0</v>
      </c>
      <c r="M88" t="n">
        <v>0</v>
      </c>
      <c r="N88" t="n">
        <v>0</v>
      </c>
      <c r="O88" t="n">
        <v>0</v>
      </c>
      <c r="P88" t="n">
        <v>0</v>
      </c>
      <c r="Q88" t="n">
        <v>0</v>
      </c>
      <c r="R88" s="2" t="inlineStr"/>
    </row>
    <row r="89" ht="15" customHeight="1">
      <c r="A89" t="inlineStr">
        <is>
          <t>A 50138-2025</t>
        </is>
      </c>
      <c r="B89" s="1" t="n">
        <v>45943.5653125</v>
      </c>
      <c r="C89" s="1" t="n">
        <v>46094</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50113-2025</t>
        </is>
      </c>
      <c r="B90" s="1" t="n">
        <v>45943.54452546296</v>
      </c>
      <c r="C90" s="1" t="n">
        <v>46094</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50398-2025</t>
        </is>
      </c>
      <c r="B91" s="1" t="n">
        <v>45944.62854166667</v>
      </c>
      <c r="C91" s="1" t="n">
        <v>46094</v>
      </c>
      <c r="D91" t="inlineStr">
        <is>
          <t>UPPSALA LÄN</t>
        </is>
      </c>
      <c r="E91" t="inlineStr">
        <is>
          <t>ÄLVKARLEBY</t>
        </is>
      </c>
      <c r="F91" t="inlineStr">
        <is>
          <t>Bergvik skog väst AB</t>
        </is>
      </c>
      <c r="G91" t="n">
        <v>4.4</v>
      </c>
      <c r="H91" t="n">
        <v>0</v>
      </c>
      <c r="I91" t="n">
        <v>0</v>
      </c>
      <c r="J91" t="n">
        <v>0</v>
      </c>
      <c r="K91" t="n">
        <v>0</v>
      </c>
      <c r="L91" t="n">
        <v>0</v>
      </c>
      <c r="M91" t="n">
        <v>0</v>
      </c>
      <c r="N91" t="n">
        <v>0</v>
      </c>
      <c r="O91" t="n">
        <v>0</v>
      </c>
      <c r="P91" t="n">
        <v>0</v>
      </c>
      <c r="Q91" t="n">
        <v>0</v>
      </c>
      <c r="R91" s="2" t="inlineStr"/>
    </row>
    <row r="92" ht="15" customHeight="1">
      <c r="A92" t="inlineStr">
        <is>
          <t>A 50371-2025</t>
        </is>
      </c>
      <c r="B92" s="1" t="n">
        <v>45944.58696759259</v>
      </c>
      <c r="C92" s="1" t="n">
        <v>46094</v>
      </c>
      <c r="D92" t="inlineStr">
        <is>
          <t>UPPSALA LÄN</t>
        </is>
      </c>
      <c r="E92" t="inlineStr">
        <is>
          <t>ÄLVKARLEBY</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51237-2025</t>
        </is>
      </c>
      <c r="B93" s="1" t="n">
        <v>45947.69307870371</v>
      </c>
      <c r="C93" s="1" t="n">
        <v>46094</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50869-2025</t>
        </is>
      </c>
      <c r="B94" s="1" t="n">
        <v>45946.60259259259</v>
      </c>
      <c r="C94" s="1" t="n">
        <v>46094</v>
      </c>
      <c r="D94" t="inlineStr">
        <is>
          <t>UPPSALA LÄN</t>
        </is>
      </c>
      <c r="E94" t="inlineStr">
        <is>
          <t>ÄLVKARLEBY</t>
        </is>
      </c>
      <c r="F94" t="inlineStr">
        <is>
          <t>Bergvik skog väst AB</t>
        </is>
      </c>
      <c r="G94" t="n">
        <v>11.4</v>
      </c>
      <c r="H94" t="n">
        <v>0</v>
      </c>
      <c r="I94" t="n">
        <v>0</v>
      </c>
      <c r="J94" t="n">
        <v>0</v>
      </c>
      <c r="K94" t="n">
        <v>0</v>
      </c>
      <c r="L94" t="n">
        <v>0</v>
      </c>
      <c r="M94" t="n">
        <v>0</v>
      </c>
      <c r="N94" t="n">
        <v>0</v>
      </c>
      <c r="O94" t="n">
        <v>0</v>
      </c>
      <c r="P94" t="n">
        <v>0</v>
      </c>
      <c r="Q94" t="n">
        <v>0</v>
      </c>
      <c r="R94" s="2" t="inlineStr"/>
    </row>
    <row r="95" ht="15" customHeight="1">
      <c r="A95" t="inlineStr">
        <is>
          <t>A 52477-2025</t>
        </is>
      </c>
      <c r="B95" s="1" t="n">
        <v>45954.46980324074</v>
      </c>
      <c r="C95" s="1" t="n">
        <v>46094</v>
      </c>
      <c r="D95" t="inlineStr">
        <is>
          <t>UPPSALA LÄN</t>
        </is>
      </c>
      <c r="E95" t="inlineStr">
        <is>
          <t>ÄLVKARLEBY</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52498-2025</t>
        </is>
      </c>
      <c r="B96" s="1" t="n">
        <v>45954.49314814815</v>
      </c>
      <c r="C96" s="1" t="n">
        <v>46094</v>
      </c>
      <c r="D96" t="inlineStr">
        <is>
          <t>UPPSALA LÄN</t>
        </is>
      </c>
      <c r="E96" t="inlineStr">
        <is>
          <t>ÄLVKARLEBY</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53184-2025</t>
        </is>
      </c>
      <c r="B97" s="1" t="n">
        <v>45958</v>
      </c>
      <c r="C97" s="1" t="n">
        <v>46094</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53173-2025</t>
        </is>
      </c>
      <c r="B98" s="1" t="n">
        <v>45958.51738425926</v>
      </c>
      <c r="C98" s="1" t="n">
        <v>46094</v>
      </c>
      <c r="D98" t="inlineStr">
        <is>
          <t>UPPSALA LÄN</t>
        </is>
      </c>
      <c r="E98" t="inlineStr">
        <is>
          <t>ÄLVKARLEBY</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56861-2025</t>
        </is>
      </c>
      <c r="B99" s="1" t="n">
        <v>45978.50824074074</v>
      </c>
      <c r="C99" s="1" t="n">
        <v>46094</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57734-2025</t>
        </is>
      </c>
      <c r="B100" s="1" t="n">
        <v>45981.51148148148</v>
      </c>
      <c r="C100" s="1" t="n">
        <v>46094</v>
      </c>
      <c r="D100" t="inlineStr">
        <is>
          <t>UPPSALA LÄN</t>
        </is>
      </c>
      <c r="E100" t="inlineStr">
        <is>
          <t>ÄLVKARLEBY</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58168-2025</t>
        </is>
      </c>
      <c r="B101" s="1" t="n">
        <v>45982.72024305556</v>
      </c>
      <c r="C101" s="1" t="n">
        <v>46094</v>
      </c>
      <c r="D101" t="inlineStr">
        <is>
          <t>UPPSALA LÄN</t>
        </is>
      </c>
      <c r="E101" t="inlineStr">
        <is>
          <t>ÄLVKARLEBY</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58497-2025</t>
        </is>
      </c>
      <c r="B102" s="1" t="n">
        <v>45985.67912037037</v>
      </c>
      <c r="C102" s="1" t="n">
        <v>46094</v>
      </c>
      <c r="D102" t="inlineStr">
        <is>
          <t>UPPSALA LÄN</t>
        </is>
      </c>
      <c r="E102" t="inlineStr">
        <is>
          <t>ÄLVKARLEBY</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60083-2025</t>
        </is>
      </c>
      <c r="B103" s="1" t="n">
        <v>45993.69733796296</v>
      </c>
      <c r="C103" s="1" t="n">
        <v>46094</v>
      </c>
      <c r="D103" t="inlineStr">
        <is>
          <t>UPPSALA LÄN</t>
        </is>
      </c>
      <c r="E103" t="inlineStr">
        <is>
          <t>ÄLVKARLEBY</t>
        </is>
      </c>
      <c r="F103" t="inlineStr">
        <is>
          <t>Bergvik skog väst AB</t>
        </is>
      </c>
      <c r="G103" t="n">
        <v>4.7</v>
      </c>
      <c r="H103" t="n">
        <v>0</v>
      </c>
      <c r="I103" t="n">
        <v>0</v>
      </c>
      <c r="J103" t="n">
        <v>0</v>
      </c>
      <c r="K103" t="n">
        <v>0</v>
      </c>
      <c r="L103" t="n">
        <v>0</v>
      </c>
      <c r="M103" t="n">
        <v>0</v>
      </c>
      <c r="N103" t="n">
        <v>0</v>
      </c>
      <c r="O103" t="n">
        <v>0</v>
      </c>
      <c r="P103" t="n">
        <v>0</v>
      </c>
      <c r="Q103" t="n">
        <v>0</v>
      </c>
      <c r="R103" s="2" t="inlineStr"/>
    </row>
    <row r="104" ht="15" customHeight="1">
      <c r="A104" t="inlineStr">
        <is>
          <t>A 60256-2025</t>
        </is>
      </c>
      <c r="B104" s="1" t="n">
        <v>45994.60216435185</v>
      </c>
      <c r="C104" s="1" t="n">
        <v>46094</v>
      </c>
      <c r="D104" t="inlineStr">
        <is>
          <t>UPPSALA LÄN</t>
        </is>
      </c>
      <c r="E104" t="inlineStr">
        <is>
          <t>ÄLVKARLEBY</t>
        </is>
      </c>
      <c r="G104" t="n">
        <v>1</v>
      </c>
      <c r="H104" t="n">
        <v>0</v>
      </c>
      <c r="I104" t="n">
        <v>0</v>
      </c>
      <c r="J104" t="n">
        <v>0</v>
      </c>
      <c r="K104" t="n">
        <v>0</v>
      </c>
      <c r="L104" t="n">
        <v>0</v>
      </c>
      <c r="M104" t="n">
        <v>0</v>
      </c>
      <c r="N104" t="n">
        <v>0</v>
      </c>
      <c r="O104" t="n">
        <v>0</v>
      </c>
      <c r="P104" t="n">
        <v>0</v>
      </c>
      <c r="Q104" t="n">
        <v>0</v>
      </c>
      <c r="R104" s="2" t="inlineStr"/>
    </row>
    <row r="105" ht="15" customHeight="1">
      <c r="A105" t="inlineStr">
        <is>
          <t>A 60842-2025</t>
        </is>
      </c>
      <c r="B105" s="1" t="n">
        <v>45999.48721064815</v>
      </c>
      <c r="C105" s="1" t="n">
        <v>46094</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60829-2025</t>
        </is>
      </c>
      <c r="B106" s="1" t="n">
        <v>45999.46523148148</v>
      </c>
      <c r="C106" s="1" t="n">
        <v>46094</v>
      </c>
      <c r="D106" t="inlineStr">
        <is>
          <t>UPPSALA LÄN</t>
        </is>
      </c>
      <c r="E106" t="inlineStr">
        <is>
          <t>ÄLVKARLEBY</t>
        </is>
      </c>
      <c r="F106" t="inlineStr">
        <is>
          <t>Bergvik skog väst AB</t>
        </is>
      </c>
      <c r="G106" t="n">
        <v>5.5</v>
      </c>
      <c r="H106" t="n">
        <v>0</v>
      </c>
      <c r="I106" t="n">
        <v>0</v>
      </c>
      <c r="J106" t="n">
        <v>0</v>
      </c>
      <c r="K106" t="n">
        <v>0</v>
      </c>
      <c r="L106" t="n">
        <v>0</v>
      </c>
      <c r="M106" t="n">
        <v>0</v>
      </c>
      <c r="N106" t="n">
        <v>0</v>
      </c>
      <c r="O106" t="n">
        <v>0</v>
      </c>
      <c r="P106" t="n">
        <v>0</v>
      </c>
      <c r="Q106" t="n">
        <v>0</v>
      </c>
      <c r="R106" s="2" t="inlineStr"/>
    </row>
    <row r="107" ht="15" customHeight="1">
      <c r="A107" t="inlineStr">
        <is>
          <t>A 61694-2025</t>
        </is>
      </c>
      <c r="B107" s="1" t="n">
        <v>46002.52361111111</v>
      </c>
      <c r="C107" s="1" t="n">
        <v>46094</v>
      </c>
      <c r="D107" t="inlineStr">
        <is>
          <t>UPPSALA LÄN</t>
        </is>
      </c>
      <c r="E107" t="inlineStr">
        <is>
          <t>ÄLVKARLEBY</t>
        </is>
      </c>
      <c r="F107" t="inlineStr">
        <is>
          <t>Bergvik skog öst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61685-2025</t>
        </is>
      </c>
      <c r="B108" s="1" t="n">
        <v>46002.503125</v>
      </c>
      <c r="C108" s="1" t="n">
        <v>46094</v>
      </c>
      <c r="D108" t="inlineStr">
        <is>
          <t>UPPSALA LÄN</t>
        </is>
      </c>
      <c r="E108" t="inlineStr">
        <is>
          <t>ÄLVKARLEBY</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61691-2025</t>
        </is>
      </c>
      <c r="B109" s="1" t="n">
        <v>46002.51318287037</v>
      </c>
      <c r="C109" s="1" t="n">
        <v>46094</v>
      </c>
      <c r="D109" t="inlineStr">
        <is>
          <t>UPPSALA LÄN</t>
        </is>
      </c>
      <c r="E109" t="inlineStr">
        <is>
          <t>ÄLVKARLEBY</t>
        </is>
      </c>
      <c r="F109" t="inlineStr">
        <is>
          <t>Bergvik skog öst AB</t>
        </is>
      </c>
      <c r="G109" t="n">
        <v>0.7</v>
      </c>
      <c r="H109" t="n">
        <v>0</v>
      </c>
      <c r="I109" t="n">
        <v>0</v>
      </c>
      <c r="J109" t="n">
        <v>0</v>
      </c>
      <c r="K109" t="n">
        <v>0</v>
      </c>
      <c r="L109" t="n">
        <v>0</v>
      </c>
      <c r="M109" t="n">
        <v>0</v>
      </c>
      <c r="N109" t="n">
        <v>0</v>
      </c>
      <c r="O109" t="n">
        <v>0</v>
      </c>
      <c r="P109" t="n">
        <v>0</v>
      </c>
      <c r="Q109" t="n">
        <v>0</v>
      </c>
      <c r="R109" s="2" t="inlineStr"/>
    </row>
    <row r="110" ht="15" customHeight="1">
      <c r="A110" t="inlineStr">
        <is>
          <t>A 63004-2025</t>
        </is>
      </c>
      <c r="B110" s="1" t="n">
        <v>46009.56873842593</v>
      </c>
      <c r="C110" s="1" t="n">
        <v>46094</v>
      </c>
      <c r="D110" t="inlineStr">
        <is>
          <t>UPPSALA LÄN</t>
        </is>
      </c>
      <c r="E110" t="inlineStr">
        <is>
          <t>ÄLVKARLEBY</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62938-2025</t>
        </is>
      </c>
      <c r="B111" s="1" t="n">
        <v>46009.42092592592</v>
      </c>
      <c r="C111" s="1" t="n">
        <v>46094</v>
      </c>
      <c r="D111" t="inlineStr">
        <is>
          <t>UPPSALA LÄN</t>
        </is>
      </c>
      <c r="E111" t="inlineStr">
        <is>
          <t>ÄLVKARLEBY</t>
        </is>
      </c>
      <c r="F111" t="inlineStr">
        <is>
          <t>Bergvik skog väst AB</t>
        </is>
      </c>
      <c r="G111" t="n">
        <v>10.2</v>
      </c>
      <c r="H111" t="n">
        <v>0</v>
      </c>
      <c r="I111" t="n">
        <v>0</v>
      </c>
      <c r="J111" t="n">
        <v>0</v>
      </c>
      <c r="K111" t="n">
        <v>0</v>
      </c>
      <c r="L111" t="n">
        <v>0</v>
      </c>
      <c r="M111" t="n">
        <v>0</v>
      </c>
      <c r="N111" t="n">
        <v>0</v>
      </c>
      <c r="O111" t="n">
        <v>0</v>
      </c>
      <c r="P111" t="n">
        <v>0</v>
      </c>
      <c r="Q111" t="n">
        <v>0</v>
      </c>
      <c r="R111" s="2" t="inlineStr"/>
    </row>
    <row r="112" ht="15" customHeight="1">
      <c r="A112" t="inlineStr">
        <is>
          <t>A 63341-2025</t>
        </is>
      </c>
      <c r="B112" s="1" t="n">
        <v>46010.65505787037</v>
      </c>
      <c r="C112" s="1" t="n">
        <v>46094</v>
      </c>
      <c r="D112" t="inlineStr">
        <is>
          <t>UPPSALA LÄN</t>
        </is>
      </c>
      <c r="E112" t="inlineStr">
        <is>
          <t>ÄLVKARLEBY</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63183-2025</t>
        </is>
      </c>
      <c r="B113" s="1" t="n">
        <v>46010.42908564815</v>
      </c>
      <c r="C113" s="1" t="n">
        <v>46094</v>
      </c>
      <c r="D113" t="inlineStr">
        <is>
          <t>UPPSALA LÄN</t>
        </is>
      </c>
      <c r="E113" t="inlineStr">
        <is>
          <t>ÄLVKARLEBY</t>
        </is>
      </c>
      <c r="F113" t="inlineStr">
        <is>
          <t>Bergvik skog väst AB</t>
        </is>
      </c>
      <c r="G113" t="n">
        <v>1</v>
      </c>
      <c r="H113" t="n">
        <v>0</v>
      </c>
      <c r="I113" t="n">
        <v>0</v>
      </c>
      <c r="J113" t="n">
        <v>0</v>
      </c>
      <c r="K113" t="n">
        <v>0</v>
      </c>
      <c r="L113" t="n">
        <v>0</v>
      </c>
      <c r="M113" t="n">
        <v>0</v>
      </c>
      <c r="N113" t="n">
        <v>0</v>
      </c>
      <c r="O113" t="n">
        <v>0</v>
      </c>
      <c r="P113" t="n">
        <v>0</v>
      </c>
      <c r="Q113" t="n">
        <v>0</v>
      </c>
      <c r="R113" s="2" t="inlineStr"/>
    </row>
    <row r="114" ht="15" customHeight="1">
      <c r="A114" t="inlineStr">
        <is>
          <t>A 63365-2025</t>
        </is>
      </c>
      <c r="B114" s="1" t="n">
        <v>46010.70717592593</v>
      </c>
      <c r="C114" s="1" t="n">
        <v>46094</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61839-2025</t>
        </is>
      </c>
      <c r="B115" s="1" t="n">
        <v>46003.35768518518</v>
      </c>
      <c r="C115" s="1" t="n">
        <v>46094</v>
      </c>
      <c r="D115" t="inlineStr">
        <is>
          <t>UPPSALA LÄN</t>
        </is>
      </c>
      <c r="E115" t="inlineStr">
        <is>
          <t>ÄLVKARLEBY</t>
        </is>
      </c>
      <c r="F115" t="inlineStr">
        <is>
          <t>Bergvik skog väst AB</t>
        </is>
      </c>
      <c r="G115" t="n">
        <v>2.3</v>
      </c>
      <c r="H115" t="n">
        <v>0</v>
      </c>
      <c r="I115" t="n">
        <v>0</v>
      </c>
      <c r="J115" t="n">
        <v>0</v>
      </c>
      <c r="K115" t="n">
        <v>0</v>
      </c>
      <c r="L115" t="n">
        <v>0</v>
      </c>
      <c r="M115" t="n">
        <v>0</v>
      </c>
      <c r="N115" t="n">
        <v>0</v>
      </c>
      <c r="O115" t="n">
        <v>0</v>
      </c>
      <c r="P115" t="n">
        <v>0</v>
      </c>
      <c r="Q115" t="n">
        <v>0</v>
      </c>
      <c r="R115" s="2" t="inlineStr"/>
    </row>
    <row r="116" ht="15" customHeight="1">
      <c r="A116" t="inlineStr">
        <is>
          <t>A 9394-2026</t>
        </is>
      </c>
      <c r="B116" s="1" t="n">
        <v>46071.36576388889</v>
      </c>
      <c r="C116" s="1" t="n">
        <v>46094</v>
      </c>
      <c r="D116" t="inlineStr">
        <is>
          <t>UPPSALA LÄN</t>
        </is>
      </c>
      <c r="E116" t="inlineStr">
        <is>
          <t>ÄLVKARLEBY</t>
        </is>
      </c>
      <c r="F116" t="inlineStr">
        <is>
          <t>Bergvik skog väst AB</t>
        </is>
      </c>
      <c r="G116" t="n">
        <v>2.2</v>
      </c>
      <c r="H116" t="n">
        <v>0</v>
      </c>
      <c r="I116" t="n">
        <v>0</v>
      </c>
      <c r="J116" t="n">
        <v>0</v>
      </c>
      <c r="K116" t="n">
        <v>0</v>
      </c>
      <c r="L116" t="n">
        <v>0</v>
      </c>
      <c r="M116" t="n">
        <v>0</v>
      </c>
      <c r="N116" t="n">
        <v>0</v>
      </c>
      <c r="O116" t="n">
        <v>0</v>
      </c>
      <c r="P116" t="n">
        <v>0</v>
      </c>
      <c r="Q116" t="n">
        <v>0</v>
      </c>
      <c r="R116" s="2" t="inlineStr"/>
    </row>
    <row r="117" ht="15" customHeight="1">
      <c r="A117" t="inlineStr">
        <is>
          <t>A 1673-2026</t>
        </is>
      </c>
      <c r="B117" s="1" t="n">
        <v>46034.56863425926</v>
      </c>
      <c r="C117" s="1" t="n">
        <v>46094</v>
      </c>
      <c r="D117" t="inlineStr">
        <is>
          <t>UPPSALA LÄN</t>
        </is>
      </c>
      <c r="E117" t="inlineStr">
        <is>
          <t>ÄLVKARLEBY</t>
        </is>
      </c>
      <c r="F117" t="inlineStr">
        <is>
          <t>Bergvik skog väst AB</t>
        </is>
      </c>
      <c r="G117" t="n">
        <v>1.9</v>
      </c>
      <c r="H117" t="n">
        <v>0</v>
      </c>
      <c r="I117" t="n">
        <v>0</v>
      </c>
      <c r="J117" t="n">
        <v>0</v>
      </c>
      <c r="K117" t="n">
        <v>0</v>
      </c>
      <c r="L117" t="n">
        <v>0</v>
      </c>
      <c r="M117" t="n">
        <v>0</v>
      </c>
      <c r="N117" t="n">
        <v>0</v>
      </c>
      <c r="O117" t="n">
        <v>0</v>
      </c>
      <c r="P117" t="n">
        <v>0</v>
      </c>
      <c r="Q117" t="n">
        <v>0</v>
      </c>
      <c r="R117" s="2" t="inlineStr"/>
    </row>
    <row r="118" ht="15" customHeight="1">
      <c r="A118" t="inlineStr">
        <is>
          <t>A 11467-2026</t>
        </is>
      </c>
      <c r="B118" s="1" t="n">
        <v>46083.58950231481</v>
      </c>
      <c r="C118" s="1" t="n">
        <v>46094</v>
      </c>
      <c r="D118" t="inlineStr">
        <is>
          <t>UPPSALA LÄN</t>
        </is>
      </c>
      <c r="E118" t="inlineStr">
        <is>
          <t>ÄLVKARLEBY</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11848-2026</t>
        </is>
      </c>
      <c r="B119" s="1" t="n">
        <v>46085.45927083334</v>
      </c>
      <c r="C119" s="1" t="n">
        <v>46094</v>
      </c>
      <c r="D119" t="inlineStr">
        <is>
          <t>UPPSALA LÄN</t>
        </is>
      </c>
      <c r="E119" t="inlineStr">
        <is>
          <t>ÄLVKARLEBY</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4131-2026</t>
        </is>
      </c>
      <c r="B120" s="1" t="n">
        <v>46044.62451388889</v>
      </c>
      <c r="C120" s="1" t="n">
        <v>46094</v>
      </c>
      <c r="D120" t="inlineStr">
        <is>
          <t>UPPSALA LÄN</t>
        </is>
      </c>
      <c r="E120" t="inlineStr">
        <is>
          <t>ÄLVKARLEBY</t>
        </is>
      </c>
      <c r="F120" t="inlineStr">
        <is>
          <t>Bergvik skog öst AB</t>
        </is>
      </c>
      <c r="G120" t="n">
        <v>2.4</v>
      </c>
      <c r="H120" t="n">
        <v>0</v>
      </c>
      <c r="I120" t="n">
        <v>0</v>
      </c>
      <c r="J120" t="n">
        <v>0</v>
      </c>
      <c r="K120" t="n">
        <v>0</v>
      </c>
      <c r="L120" t="n">
        <v>0</v>
      </c>
      <c r="M120" t="n">
        <v>0</v>
      </c>
      <c r="N120" t="n">
        <v>0</v>
      </c>
      <c r="O120" t="n">
        <v>0</v>
      </c>
      <c r="P120" t="n">
        <v>0</v>
      </c>
      <c r="Q120" t="n">
        <v>0</v>
      </c>
      <c r="R120" s="2" t="inlineStr"/>
    </row>
    <row r="121" ht="15" customHeight="1">
      <c r="A121" t="inlineStr">
        <is>
          <t>A 4134-2026</t>
        </is>
      </c>
      <c r="B121" s="1" t="n">
        <v>46044.6280787037</v>
      </c>
      <c r="C121" s="1" t="n">
        <v>46094</v>
      </c>
      <c r="D121" t="inlineStr">
        <is>
          <t>UPPSALA LÄN</t>
        </is>
      </c>
      <c r="E121" t="inlineStr">
        <is>
          <t>ÄLVKARLEBY</t>
        </is>
      </c>
      <c r="F121" t="inlineStr">
        <is>
          <t>Bergvik skog öst AB</t>
        </is>
      </c>
      <c r="G121" t="n">
        <v>5.1</v>
      </c>
      <c r="H121" t="n">
        <v>0</v>
      </c>
      <c r="I121" t="n">
        <v>0</v>
      </c>
      <c r="J121" t="n">
        <v>0</v>
      </c>
      <c r="K121" t="n">
        <v>0</v>
      </c>
      <c r="L121" t="n">
        <v>0</v>
      </c>
      <c r="M121" t="n">
        <v>0</v>
      </c>
      <c r="N121" t="n">
        <v>0</v>
      </c>
      <c r="O121" t="n">
        <v>0</v>
      </c>
      <c r="P121" t="n">
        <v>0</v>
      </c>
      <c r="Q121" t="n">
        <v>0</v>
      </c>
      <c r="R121" s="2" t="inlineStr"/>
    </row>
    <row r="122">
      <c r="A122" t="inlineStr">
        <is>
          <t>A 4133-2026</t>
        </is>
      </c>
      <c r="B122" s="1" t="n">
        <v>46044.626875</v>
      </c>
      <c r="C122" s="1" t="n">
        <v>46094</v>
      </c>
      <c r="D122" t="inlineStr">
        <is>
          <t>UPPSALA LÄN</t>
        </is>
      </c>
      <c r="E122" t="inlineStr">
        <is>
          <t>ÄLVKARLEBY</t>
        </is>
      </c>
      <c r="F122" t="inlineStr">
        <is>
          <t>Bergvik skog öst AB</t>
        </is>
      </c>
      <c r="G122" t="n">
        <v>4.1</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2026-03-13T11:16:07Z</dcterms:created>
  <dcterms:modified xmlns:dcterms="http://purl.org/dc/terms/" xmlns:xsi="http://www.w3.org/2001/XMLSchema-instance" xsi:type="dcterms:W3CDTF">2026-03-13T11:16:07Z</dcterms:modified>
</cp:coreProperties>
</file>