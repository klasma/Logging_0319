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46273</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46273</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46273</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46273</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46273</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46273</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46273</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46273</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46273</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46273</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46273</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46273</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46273</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46273</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46273</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46273</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46273</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46273</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46273</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46273</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46273</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46273</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46273</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19300-2024</t>
        </is>
      </c>
      <c r="B30" t="inlineStr">
        <is>
          <t>avverkningsanmälan</t>
        </is>
      </c>
      <c r="C30" t="inlineStr">
        <is>
          <t>Föryngringsavverkning</t>
        </is>
      </c>
      <c r="D30" s="1" t="n">
        <v>45428</v>
      </c>
      <c r="E30" s="1" t="n">
        <v>46273</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7286-2023</t>
        </is>
      </c>
      <c r="B31" t="inlineStr">
        <is>
          <t>avverkningsanmälan</t>
        </is>
      </c>
      <c r="C31" t="inlineStr">
        <is>
          <t>Avverkning för annat ändamål</t>
        </is>
      </c>
      <c r="D31" s="1" t="n">
        <v>44970</v>
      </c>
      <c r="E31" s="1" t="n">
        <v>46273</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10455-2022</t>
        </is>
      </c>
      <c r="B32" t="inlineStr">
        <is>
          <t>avverkningsanmälan</t>
        </is>
      </c>
      <c r="C32" t="inlineStr">
        <is>
          <t>Föryngringsavverkning</t>
        </is>
      </c>
      <c r="D32" s="1" t="n">
        <v>44623</v>
      </c>
      <c r="E32" s="1" t="n">
        <v>46273</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51238-2025</t>
        </is>
      </c>
      <c r="B33" t="inlineStr">
        <is>
          <t>avverkningsanmälan</t>
        </is>
      </c>
      <c r="C33" t="inlineStr">
        <is>
          <t>Föryngringsavverkning</t>
        </is>
      </c>
      <c r="D33" s="1" t="n">
        <v>45947</v>
      </c>
      <c r="E33" s="1" t="n">
        <v>46273</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70017-2021</t>
        </is>
      </c>
      <c r="B34" t="inlineStr">
        <is>
          <t>avverkningsanmälan</t>
        </is>
      </c>
      <c r="C34" t="inlineStr">
        <is>
          <t>Föryngringsavverkning</t>
        </is>
      </c>
      <c r="D34" s="1" t="n">
        <v>44533</v>
      </c>
      <c r="E34" s="1" t="n">
        <v>46273</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57734-2025</t>
        </is>
      </c>
      <c r="B35" t="inlineStr">
        <is>
          <t>avverkningsanmälan</t>
        </is>
      </c>
      <c r="C35" t="inlineStr">
        <is>
          <t>Föryngringsavverkning</t>
        </is>
      </c>
      <c r="D35" s="1" t="n">
        <v>45981</v>
      </c>
      <c r="E35" s="1" t="n">
        <v>46273</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46273</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46273</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46273</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19304-2024</t>
        </is>
      </c>
      <c r="B39" t="inlineStr">
        <is>
          <t>avverkningsanmälan</t>
        </is>
      </c>
      <c r="C39" t="inlineStr">
        <is>
          <t>Föryngringsavverkning</t>
        </is>
      </c>
      <c r="D39" s="1" t="n">
        <v>45428</v>
      </c>
      <c r="E39" s="1" t="n">
        <v>46273</v>
      </c>
      <c r="F39" t="inlineStr">
        <is>
          <t>UPPSALA LÄN</t>
        </is>
      </c>
      <c r="G39" t="inlineStr">
        <is>
          <t>ÄLVKARLEBY</t>
        </is>
      </c>
      <c r="I39" t="n">
        <v>0.2</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HYPERLINK("https://klasma.github.io/Logging_0319/artfynd/A 19304-2024 artfynd.xlsx", "A 19304-2024")</f>
        <v/>
      </c>
      <c r="X39">
        <f>HYPERLINK("https://klasma.github.io/Logging_0319/kartor/A 19304-2024 karta.png", "A 19304-2024")</f>
        <v/>
      </c>
      <c r="Y39">
        <f>HYPERLINK("https://klasma.github.io/Logging_0319/kartor_geotiff/A 19304-2024 georefererad karta.tif", "A 19304-2024")</f>
        <v/>
      </c>
      <c r="AA39">
        <f>HYPERLINK("https://klasma.github.io/Logging_0319/klagomål/A 19304-2024 FSC-klagomål.docx", "A 19304-2024")</f>
        <v/>
      </c>
      <c r="AB39">
        <f>HYPERLINK("https://klasma.github.io/Logging_0319/klagomålsmail/A 19304-2024 FSC-klagomål mail.docx", "A 19304-2024")</f>
        <v/>
      </c>
      <c r="AC39">
        <f>HYPERLINK("https://klasma.github.io/Logging_0319/tillsyn/A 19304-2024 tillsynsbegäran.docx", "A 19304-2024")</f>
        <v/>
      </c>
      <c r="AD39">
        <f>HYPERLINK("https://klasma.github.io/Logging_0319/tillsynsmail/A 19304-2024 tillsynsbegäran mail.docx", "A 19304-2024")</f>
        <v/>
      </c>
    </row>
    <row r="40" ht="15" customHeight="1">
      <c r="A40" t="inlineStr">
        <is>
          <t>A 1673-2026</t>
        </is>
      </c>
      <c r="B40" t="inlineStr">
        <is>
          <t>avverkningsanmälan</t>
        </is>
      </c>
      <c r="C40" t="inlineStr">
        <is>
          <t>Föryngringsavverkning</t>
        </is>
      </c>
      <c r="D40" s="1" t="n">
        <v>46034</v>
      </c>
      <c r="E40" s="1" t="n">
        <v>46273</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46273</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43285-2023</t>
        </is>
      </c>
      <c r="B42" t="inlineStr">
        <is>
          <t>avverkningsanmälan</t>
        </is>
      </c>
      <c r="C42" t="inlineStr">
        <is>
          <t>Föryngringsavverkning</t>
        </is>
      </c>
      <c r="D42" s="1" t="n">
        <v>45183</v>
      </c>
      <c r="E42" s="1" t="n">
        <v>46273</v>
      </c>
      <c r="F42" t="inlineStr">
        <is>
          <t>UPPSALA LÄN</t>
        </is>
      </c>
      <c r="G42" t="inlineStr">
        <is>
          <t>ÄLVKARLEBY</t>
        </is>
      </c>
      <c r="H42" t="inlineStr">
        <is>
          <t>Bergvik skog väst AB</t>
        </is>
      </c>
      <c r="I42" t="n">
        <v>1.3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HYPERLINK("https://klasma.github.io/Logging_0319/artfynd/A 43285-2023 artfynd.xlsx", "A 43285-2023")</f>
        <v/>
      </c>
      <c r="X42">
        <f>HYPERLINK("https://klasma.github.io/Logging_0319/kartor/A 43285-2023 karta.png", "A 43285-2023")</f>
        <v/>
      </c>
      <c r="Y42">
        <f>HYPERLINK("https://klasma.github.io/Logging_0319/kartor_geotiff/A 43285-2023 georefererad karta.tif", "A 43285-2023")</f>
        <v/>
      </c>
      <c r="AA42">
        <f>HYPERLINK("https://klasma.github.io/Logging_0319/klagomål/A 43285-2023 FSC-klagomål.docx", "A 43285-2023")</f>
        <v/>
      </c>
      <c r="AB42">
        <f>HYPERLINK("https://klasma.github.io/Logging_0319/klagomålsmail/A 43285-2023 FSC-klagomål mail.docx", "A 43285-2023")</f>
        <v/>
      </c>
      <c r="AC42">
        <f>HYPERLINK("https://klasma.github.io/Logging_0319/tillsyn/A 43285-2023 tillsynsbegäran.docx", "A 43285-2023")</f>
        <v/>
      </c>
      <c r="AD42">
        <f>HYPERLINK("https://klasma.github.io/Logging_0319/tillsynsmail/A 43285-2023 tillsynsbegäran mail.docx", "A 43285-2023")</f>
        <v/>
      </c>
    </row>
    <row r="43" ht="15" customHeight="1">
      <c r="A43" t="inlineStr">
        <is>
          <t>A 3950-2025</t>
        </is>
      </c>
      <c r="B43" t="inlineStr">
        <is>
          <t>avverkningsanmälan</t>
        </is>
      </c>
      <c r="C43" t="inlineStr">
        <is>
          <t>Avverkning för annat ändamål</t>
        </is>
      </c>
      <c r="D43" s="1" t="n">
        <v>45684</v>
      </c>
      <c r="E43" s="1" t="n">
        <v>46273</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30233-2026</t>
        </is>
      </c>
      <c r="B44" t="inlineStr">
        <is>
          <t>avverkningsanmälan</t>
        </is>
      </c>
      <c r="C44" t="inlineStr">
        <is>
          <t>Föryngringsavverkning</t>
        </is>
      </c>
      <c r="D44" s="1" t="n">
        <v>46206</v>
      </c>
      <c r="E44" s="1" t="n">
        <v>46273</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46273</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14127-2026</t>
        </is>
      </c>
      <c r="B46" t="inlineStr">
        <is>
          <t>avverkningsanmälan</t>
        </is>
      </c>
      <c r="C46" t="inlineStr">
        <is>
          <t>Föryngringsavverkning</t>
        </is>
      </c>
      <c r="D46" s="1" t="n">
        <v>46099</v>
      </c>
      <c r="E46" s="1" t="n">
        <v>46273</v>
      </c>
      <c r="F46" t="inlineStr">
        <is>
          <t>UPPSALA LÄN</t>
        </is>
      </c>
      <c r="G46" t="inlineStr">
        <is>
          <t>ÄLVKARLEBY</t>
        </is>
      </c>
      <c r="I46" t="n">
        <v>1.7</v>
      </c>
      <c r="J46" t="n">
        <v>0</v>
      </c>
      <c r="K46" t="n">
        <v>0</v>
      </c>
      <c r="L46" t="n">
        <v>0</v>
      </c>
      <c r="M46" t="n">
        <v>1</v>
      </c>
      <c r="N46" t="n">
        <v>0</v>
      </c>
      <c r="O46" t="n">
        <v>0</v>
      </c>
      <c r="P46" t="n">
        <v>0</v>
      </c>
      <c r="Q46" t="n">
        <v>1</v>
      </c>
      <c r="R46" t="n">
        <v>1</v>
      </c>
      <c r="S46" t="n">
        <v>1</v>
      </c>
      <c r="T46" t="n">
        <v>1</v>
      </c>
      <c r="U46" t="n">
        <v>0</v>
      </c>
      <c r="V46" s="2" t="inlineStr">
        <is>
          <t>Grangråticka</t>
        </is>
      </c>
      <c r="W46">
        <f>HYPERLINK("https://klasma.github.io/Logging_0319/artfynd/A 14127-2026 artfynd.xlsx", "A 14127-2026")</f>
        <v/>
      </c>
      <c r="X46">
        <f>HYPERLINK("https://klasma.github.io/Logging_0319/kartor/A 14127-2026 karta.png", "A 14127-2026")</f>
        <v/>
      </c>
      <c r="Y46">
        <f>HYPERLINK("https://klasma.github.io/Logging_0319/kartor_geotiff/A 14127-2026 georefererad karta.tif", "A 14127-2026")</f>
        <v/>
      </c>
      <c r="AA46">
        <f>HYPERLINK("https://klasma.github.io/Logging_0319/klagomål/A 14127-2026 FSC-klagomål.docx", "A 14127-2026")</f>
        <v/>
      </c>
      <c r="AB46">
        <f>HYPERLINK("https://klasma.github.io/Logging_0319/klagomålsmail/A 14127-2026 FSC-klagomål mail.docx", "A 14127-2026")</f>
        <v/>
      </c>
      <c r="AC46">
        <f>HYPERLINK("https://klasma.github.io/Logging_0319/tillsyn/A 14127-2026 tillsynsbegäran.docx", "A 14127-2026")</f>
        <v/>
      </c>
      <c r="AD46">
        <f>HYPERLINK("https://klasma.github.io/Logging_0319/tillsynsmail/A 14127-2026 tillsynsbegäran mail.docx", "A 14127-2026")</f>
        <v/>
      </c>
    </row>
    <row r="47" ht="15" customHeight="1">
      <c r="A47" t="inlineStr">
        <is>
          <t>A 36217-2022</t>
        </is>
      </c>
      <c r="B47" t="inlineStr">
        <is>
          <t>avverkningsanmälan</t>
        </is>
      </c>
      <c r="C47" t="inlineStr">
        <is>
          <t>Avverkning för annat ändamål</t>
        </is>
      </c>
      <c r="D47" s="1" t="n">
        <v>44803</v>
      </c>
      <c r="E47" s="1" t="n">
        <v>46273</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46273</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46273</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46273</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46273</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45372-2024</t>
        </is>
      </c>
      <c r="B52" t="inlineStr">
        <is>
          <t>avverkningsanmälan</t>
        </is>
      </c>
      <c r="C52" t="inlineStr">
        <is>
          <t>Föryngringsavverkning</t>
        </is>
      </c>
      <c r="D52" s="1" t="n">
        <v>45576</v>
      </c>
      <c r="E52" s="1" t="n">
        <v>46273</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16990-2022</t>
        </is>
      </c>
      <c r="B53" t="inlineStr">
        <is>
          <t>avverkningsanmälan</t>
        </is>
      </c>
      <c r="C53" t="inlineStr">
        <is>
          <t>Föryngringsavverkning</t>
        </is>
      </c>
      <c r="D53" s="1" t="n">
        <v>44676</v>
      </c>
      <c r="E53" s="1" t="n">
        <v>46273</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26815-2022</t>
        </is>
      </c>
      <c r="B54" t="inlineStr">
        <is>
          <t>avverkningsanmälan</t>
        </is>
      </c>
      <c r="C54" t="inlineStr">
        <is>
          <t>Föryngringsavverkning</t>
        </is>
      </c>
      <c r="D54" s="1" t="n">
        <v>44740</v>
      </c>
      <c r="E54" s="1" t="n">
        <v>46273</v>
      </c>
      <c r="F54" t="inlineStr">
        <is>
          <t>UPPSALA LÄN</t>
        </is>
      </c>
      <c r="G54" t="inlineStr">
        <is>
          <t>ÄLVKARLEBY</t>
        </is>
      </c>
      <c r="I54" t="n">
        <v>5.8</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46273</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28670-2025</t>
        </is>
      </c>
      <c r="B56" t="inlineStr">
        <is>
          <t>avverkningsanmälan</t>
        </is>
      </c>
      <c r="C56" t="inlineStr">
        <is>
          <t>Föryngringsavverkning</t>
        </is>
      </c>
      <c r="D56" s="1" t="n">
        <v>45819</v>
      </c>
      <c r="E56" s="1" t="n">
        <v>46273</v>
      </c>
      <c r="F56" t="inlineStr">
        <is>
          <t>UPPSALA LÄN</t>
        </is>
      </c>
      <c r="G56" t="inlineStr">
        <is>
          <t>ÄLVKARLEBY</t>
        </is>
      </c>
      <c r="H56" t="inlineStr">
        <is>
          <t>Bergvik skog väst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46273</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46273</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46273</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46273</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46273</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46273</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46273</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46273</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46273</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46273</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60256-2025</t>
        </is>
      </c>
      <c r="B67" t="inlineStr">
        <is>
          <t>avverkningsanmälan</t>
        </is>
      </c>
      <c r="C67" t="inlineStr">
        <is>
          <t>Föryngringsavverkning</t>
        </is>
      </c>
      <c r="D67" s="1" t="n">
        <v>45994</v>
      </c>
      <c r="E67" s="1" t="n">
        <v>46273</v>
      </c>
      <c r="F67" t="inlineStr">
        <is>
          <t>UPPSALA LÄN</t>
        </is>
      </c>
      <c r="G67" t="inlineStr">
        <is>
          <t>ÄLVKARLEBY</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41272-2023</t>
        </is>
      </c>
      <c r="B68" t="inlineStr">
        <is>
          <t>avverkningsanmälan</t>
        </is>
      </c>
      <c r="C68" t="inlineStr">
        <is>
          <t>Föryngringsavverkning</t>
        </is>
      </c>
      <c r="D68" s="1" t="n">
        <v>45174</v>
      </c>
      <c r="E68" s="1" t="n">
        <v>46273</v>
      </c>
      <c r="F68" t="inlineStr">
        <is>
          <t>UPPSALA LÄN</t>
        </is>
      </c>
      <c r="G68" t="inlineStr">
        <is>
          <t>ÄLVKARLEBY</t>
        </is>
      </c>
      <c r="H68" t="inlineStr">
        <is>
          <t>Bergvik skog väst AB</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46273</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46273</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46273</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2183-2024</t>
        </is>
      </c>
      <c r="B72" t="inlineStr">
        <is>
          <t>avverkningsanmälan</t>
        </is>
      </c>
      <c r="C72" t="inlineStr">
        <is>
          <t>Föryngringsavverkning</t>
        </is>
      </c>
      <c r="D72" s="1" t="n">
        <v>45309</v>
      </c>
      <c r="E72" s="1" t="n">
        <v>46273</v>
      </c>
      <c r="F72" t="inlineStr">
        <is>
          <t>UPPSALA LÄN</t>
        </is>
      </c>
      <c r="G72" t="inlineStr">
        <is>
          <t>ÄLVKARLEBY</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46273</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46273</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61839-2025</t>
        </is>
      </c>
      <c r="B75" t="inlineStr">
        <is>
          <t>avverkningsanmälan</t>
        </is>
      </c>
      <c r="C75" t="inlineStr">
        <is>
          <t>Föryngringsavverkning</t>
        </is>
      </c>
      <c r="D75" s="1" t="n">
        <v>46003</v>
      </c>
      <c r="E75" s="1" t="n">
        <v>46273</v>
      </c>
      <c r="F75" t="inlineStr">
        <is>
          <t>UPPSALA LÄN</t>
        </is>
      </c>
      <c r="G75" t="inlineStr">
        <is>
          <t>ÄLVKARLEBY</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4134-2026</t>
        </is>
      </c>
      <c r="B76" t="inlineStr">
        <is>
          <t>avverkningsanmälan</t>
        </is>
      </c>
      <c r="C76" t="inlineStr">
        <is>
          <t>Föryngringsavverkning</t>
        </is>
      </c>
      <c r="D76" s="1" t="n">
        <v>46044</v>
      </c>
      <c r="E76" s="1" t="n">
        <v>46273</v>
      </c>
      <c r="F76" t="inlineStr">
        <is>
          <t>UPPSALA LÄN</t>
        </is>
      </c>
      <c r="G76" t="inlineStr">
        <is>
          <t>ÄLVKARLEBY</t>
        </is>
      </c>
      <c r="H76" t="inlineStr">
        <is>
          <t>Bergvik skog öst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33485-2026</t>
        </is>
      </c>
      <c r="B77" t="inlineStr">
        <is>
          <t>avverkningsanmälan</t>
        </is>
      </c>
      <c r="C77" t="inlineStr">
        <is>
          <t>Föryngringsavverkning</t>
        </is>
      </c>
      <c r="D77" s="1" t="n">
        <v>46247</v>
      </c>
      <c r="E77" s="1" t="n">
        <v>46273</v>
      </c>
      <c r="F77" t="inlineStr">
        <is>
          <t>UPPSALA LÄN</t>
        </is>
      </c>
      <c r="G77" t="inlineStr">
        <is>
          <t>ÄLVKARLEBY</t>
        </is>
      </c>
      <c r="H77" t="inlineStr">
        <is>
          <t>Bergvik skog öst AB</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9394-2026</t>
        </is>
      </c>
      <c r="B78" t="inlineStr">
        <is>
          <t>avverkningsanmälan</t>
        </is>
      </c>
      <c r="C78" t="inlineStr">
        <is>
          <t>Föryngringsavverkning</t>
        </is>
      </c>
      <c r="D78" s="1" t="n">
        <v>46071</v>
      </c>
      <c r="E78" s="1" t="n">
        <v>46273</v>
      </c>
      <c r="F78" t="inlineStr">
        <is>
          <t>UPPSALA LÄN</t>
        </is>
      </c>
      <c r="G78" t="inlineStr">
        <is>
          <t>ÄLVKARLEBY</t>
        </is>
      </c>
      <c r="H78" t="inlineStr">
        <is>
          <t>Bergvik skog väst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30238-2026</t>
        </is>
      </c>
      <c r="B79" t="inlineStr">
        <is>
          <t>avverkningsanmälan</t>
        </is>
      </c>
      <c r="C79" t="inlineStr">
        <is>
          <t>Föryngringsavverkning</t>
        </is>
      </c>
      <c r="D79" s="1" t="n">
        <v>46206</v>
      </c>
      <c r="E79" s="1" t="n">
        <v>46273</v>
      </c>
      <c r="F79" t="inlineStr">
        <is>
          <t>UPPSALA LÄN</t>
        </is>
      </c>
      <c r="G79" t="inlineStr">
        <is>
          <t>ÄLVKARLEBY</t>
        </is>
      </c>
      <c r="H79" t="inlineStr">
        <is>
          <t>Bergvik skog öst AB</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30234-2026</t>
        </is>
      </c>
      <c r="B80" t="inlineStr">
        <is>
          <t>avverkningsanmälan</t>
        </is>
      </c>
      <c r="C80" t="inlineStr">
        <is>
          <t>Föryngringsavverkning</t>
        </is>
      </c>
      <c r="D80" s="1" t="n">
        <v>46206</v>
      </c>
      <c r="E80" s="1" t="n">
        <v>46273</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11467-2026</t>
        </is>
      </c>
      <c r="B81" t="inlineStr">
        <is>
          <t>avverkningsanmälan</t>
        </is>
      </c>
      <c r="C81" t="inlineStr">
        <is>
          <t>Föryngringsavverkning</t>
        </is>
      </c>
      <c r="D81" s="1" t="n">
        <v>46083</v>
      </c>
      <c r="E81" s="1" t="n">
        <v>46273</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11848-2026</t>
        </is>
      </c>
      <c r="B82" t="inlineStr">
        <is>
          <t>avverkningsanmälan</t>
        </is>
      </c>
      <c r="C82" t="inlineStr">
        <is>
          <t>Föryngringsavverkning</t>
        </is>
      </c>
      <c r="D82" s="1" t="n">
        <v>46085</v>
      </c>
      <c r="E82" s="1" t="n">
        <v>46273</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34575-2026</t>
        </is>
      </c>
      <c r="B83" t="inlineStr">
        <is>
          <t>avverkningsanmälan</t>
        </is>
      </c>
      <c r="C83" t="inlineStr">
        <is>
          <t>Föryngringsavverkning</t>
        </is>
      </c>
      <c r="D83" s="1" t="n">
        <v>46255</v>
      </c>
      <c r="E83" s="1" t="n">
        <v>46273</v>
      </c>
      <c r="F83" t="inlineStr">
        <is>
          <t>UPPSALA LÄN</t>
        </is>
      </c>
      <c r="G83" t="inlineStr">
        <is>
          <t>ÄLVKARLEBY</t>
        </is>
      </c>
      <c r="H83" t="inlineStr">
        <is>
          <t>Bergvik skog öst AB</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14091-2026</t>
        </is>
      </c>
      <c r="B84" t="inlineStr">
        <is>
          <t>avverkningsanmälan</t>
        </is>
      </c>
      <c r="C84" t="inlineStr">
        <is>
          <t>Föryngringsavverkning</t>
        </is>
      </c>
      <c r="D84" s="1" t="n">
        <v>46099</v>
      </c>
      <c r="E84" s="1" t="n">
        <v>46273</v>
      </c>
      <c r="F84" t="inlineStr">
        <is>
          <t>UPPSALA LÄN</t>
        </is>
      </c>
      <c r="G84" t="inlineStr">
        <is>
          <t>ÄLVKARLEBY</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46273</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35356-2026</t>
        </is>
      </c>
      <c r="B86" t="inlineStr">
        <is>
          <t>avverkningsanmälan</t>
        </is>
      </c>
      <c r="C86" t="inlineStr">
        <is>
          <t>Föryngringsavverkning</t>
        </is>
      </c>
      <c r="D86" s="1" t="n">
        <v>46261</v>
      </c>
      <c r="E86" s="1" t="n">
        <v>46273</v>
      </c>
      <c r="F86" t="inlineStr">
        <is>
          <t>UPPSALA LÄN</t>
        </is>
      </c>
      <c r="G86" t="inlineStr">
        <is>
          <t>ÄLVKARLEBY</t>
        </is>
      </c>
      <c r="H86" t="inlineStr">
        <is>
          <t>Bergvik skog öst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46273</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41276-2023</t>
        </is>
      </c>
      <c r="B88" t="inlineStr">
        <is>
          <t>avverkningsanmälan</t>
        </is>
      </c>
      <c r="C88" t="inlineStr">
        <is>
          <t>Föryngringsavverkning</t>
        </is>
      </c>
      <c r="D88" s="1" t="n">
        <v>45174</v>
      </c>
      <c r="E88" s="1" t="n">
        <v>46273</v>
      </c>
      <c r="F88" t="inlineStr">
        <is>
          <t>UPPSALA LÄN</t>
        </is>
      </c>
      <c r="G88" t="inlineStr">
        <is>
          <t>ÄLVKARLEBY</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41929-2024</t>
        </is>
      </c>
      <c r="B89" t="inlineStr">
        <is>
          <t>avverkningsanmälan</t>
        </is>
      </c>
      <c r="C89" t="inlineStr">
        <is>
          <t>Föryngringsavverkning</t>
        </is>
      </c>
      <c r="D89" s="1" t="n">
        <v>45561</v>
      </c>
      <c r="E89" s="1" t="n">
        <v>46273</v>
      </c>
      <c r="F89" t="inlineStr">
        <is>
          <t>UPPSALA LÄN</t>
        </is>
      </c>
      <c r="G89" t="inlineStr">
        <is>
          <t>ÄLVKARLEBY</t>
        </is>
      </c>
      <c r="H89" t="inlineStr">
        <is>
          <t>Bergvik skog väst AB</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14590-2023</t>
        </is>
      </c>
      <c r="B90" t="inlineStr">
        <is>
          <t>avverkningsanmälan</t>
        </is>
      </c>
      <c r="C90" t="inlineStr">
        <is>
          <t>Föryngringsavverkning</t>
        </is>
      </c>
      <c r="D90" s="1" t="n">
        <v>45013</v>
      </c>
      <c r="E90" s="1" t="n">
        <v>46273</v>
      </c>
      <c r="F90" t="inlineStr">
        <is>
          <t>UPPSALA LÄN</t>
        </is>
      </c>
      <c r="G90" t="inlineStr">
        <is>
          <t>ÄLVKARLEBY</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9533-2025</t>
        </is>
      </c>
      <c r="B91" t="inlineStr">
        <is>
          <t>avverkningsanmälan</t>
        </is>
      </c>
      <c r="C91" t="inlineStr">
        <is>
          <t>Föryngringsavverkning</t>
        </is>
      </c>
      <c r="D91" s="1" t="n">
        <v>45715</v>
      </c>
      <c r="E91" s="1" t="n">
        <v>46273</v>
      </c>
      <c r="F91" t="inlineStr">
        <is>
          <t>UPPSALA LÄN</t>
        </is>
      </c>
      <c r="G91" t="inlineStr">
        <is>
          <t>ÄLVKARLEBY</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46273</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46273</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2026-09-08T02:07:18Z</dcterms:created>
  <dcterms:modified xmlns:dcterms="http://purl.org/dc/terms/" xmlns:xsi="http://www.w3.org/2001/XMLSchema-instance" xsi:type="dcterms:W3CDTF">2026-09-08T02:07:18Z</dcterms:modified>
</cp:coreProperties>
</file>