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46286</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46286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46286</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46286</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46286</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46286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46286</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46286</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46286</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46286</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46286</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46286</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46286</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46286</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46286</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46286</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61685-2025</t>
        </is>
      </c>
      <c r="B21" t="inlineStr">
        <is>
          <t>avverkningsanmälan</t>
        </is>
      </c>
      <c r="C21" t="inlineStr">
        <is>
          <t>Föryngringsavverkning</t>
        </is>
      </c>
      <c r="D21" s="1" t="n">
        <v>46002</v>
      </c>
      <c r="E21" s="1" t="n">
        <v>46286</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61693-2025</t>
        </is>
      </c>
      <c r="B22" t="inlineStr">
        <is>
          <t>avverkningsanmälan</t>
        </is>
      </c>
      <c r="C22" t="inlineStr">
        <is>
          <t>Föryngringsavverkning</t>
        </is>
      </c>
      <c r="D22" s="1" t="n">
        <v>46002</v>
      </c>
      <c r="E22" s="1" t="n">
        <v>46286</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21700-2024</t>
        </is>
      </c>
      <c r="B23" t="inlineStr">
        <is>
          <t>avverkningsanmälan</t>
        </is>
      </c>
      <c r="C23" t="inlineStr">
        <is>
          <t>Föryngringsavverkning</t>
        </is>
      </c>
      <c r="D23" s="1" t="n">
        <v>45442</v>
      </c>
      <c r="E23" s="1" t="n">
        <v>46286</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58485-2025</t>
        </is>
      </c>
      <c r="B24" t="inlineStr">
        <is>
          <t>avverkningsanmälan</t>
        </is>
      </c>
      <c r="C24" t="inlineStr">
        <is>
          <t>Föryngringsavverkning</t>
        </is>
      </c>
      <c r="D24" s="1" t="n">
        <v>45985</v>
      </c>
      <c r="E24" s="1" t="n">
        <v>46286</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46286</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46286</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46286</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46286</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46286</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46286</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46286</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7286-2023</t>
        </is>
      </c>
      <c r="B32" t="inlineStr">
        <is>
          <t>avverkningsanmälan</t>
        </is>
      </c>
      <c r="C32" t="inlineStr">
        <is>
          <t>Avverkning för annat ändamål</t>
        </is>
      </c>
      <c r="D32" s="1" t="n">
        <v>44970</v>
      </c>
      <c r="E32" s="1" t="n">
        <v>46286</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51238-2025</t>
        </is>
      </c>
      <c r="B33" t="inlineStr">
        <is>
          <t>avverkningsanmälan</t>
        </is>
      </c>
      <c r="C33" t="inlineStr">
        <is>
          <t>Föryngringsavverkning</t>
        </is>
      </c>
      <c r="D33" s="1" t="n">
        <v>45947</v>
      </c>
      <c r="E33" s="1" t="n">
        <v>46286</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57734-2025</t>
        </is>
      </c>
      <c r="B34" t="inlineStr">
        <is>
          <t>avverkningsanmälan</t>
        </is>
      </c>
      <c r="C34" t="inlineStr">
        <is>
          <t>Föryngringsavverkning</t>
        </is>
      </c>
      <c r="D34" s="1" t="n">
        <v>45981</v>
      </c>
      <c r="E34" s="1" t="n">
        <v>46286</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46286</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46286</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46286</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62938-2025</t>
        </is>
      </c>
      <c r="B38" t="inlineStr">
        <is>
          <t>avverkningsanmälan</t>
        </is>
      </c>
      <c r="C38" t="inlineStr">
        <is>
          <t>Föryngringsavverkning</t>
        </is>
      </c>
      <c r="D38" s="1" t="n">
        <v>46009</v>
      </c>
      <c r="E38" s="1" t="n">
        <v>46286</v>
      </c>
      <c r="F38" t="inlineStr">
        <is>
          <t>UPPSALA LÄN</t>
        </is>
      </c>
      <c r="G38" t="inlineStr">
        <is>
          <t>ÄLVKARLEBY</t>
        </is>
      </c>
      <c r="H38" t="inlineStr">
        <is>
          <t>Bergvik skog väst AB</t>
        </is>
      </c>
      <c r="I38" t="n">
        <v>10.2</v>
      </c>
      <c r="J38" t="n">
        <v>1</v>
      </c>
      <c r="K38" t="n">
        <v>1</v>
      </c>
      <c r="L38" t="n">
        <v>0</v>
      </c>
      <c r="M38" t="n">
        <v>0</v>
      </c>
      <c r="N38" t="n">
        <v>0</v>
      </c>
      <c r="O38" t="n">
        <v>0</v>
      </c>
      <c r="P38" t="n">
        <v>0</v>
      </c>
      <c r="Q38" t="n">
        <v>0</v>
      </c>
      <c r="R38" t="n">
        <v>0</v>
      </c>
      <c r="S38" t="n">
        <v>1</v>
      </c>
      <c r="T38" t="n">
        <v>1</v>
      </c>
      <c r="U38" t="n">
        <v>1</v>
      </c>
      <c r="V38" s="2" t="inlineStr">
        <is>
          <t>Tvåblad</t>
        </is>
      </c>
      <c r="W38">
        <f>HYPERLINK("https://klasma.github.io/Logging_0319/artfynd/A 62938-2025 artfynd.xlsx", "A 62938-2025")</f>
        <v/>
      </c>
      <c r="X38">
        <f>HYPERLINK("https://klasma.github.io/Logging_0319/kartor/A 62938-2025 karta.png", "A 62938-2025")</f>
        <v/>
      </c>
      <c r="Y38">
        <f>HYPERLINK("https://klasma.github.io/Logging_0319/kartor_geotiff/A 62938-2025 georefererad karta.tif", "A 62938-2025")</f>
        <v/>
      </c>
      <c r="AA38">
        <f>HYPERLINK("https://klasma.github.io/Logging_0319/klagomål/A 62938-2025 FSC-klagomål.docx", "A 62938-2025")</f>
        <v/>
      </c>
      <c r="AB38">
        <f>HYPERLINK("https://klasma.github.io/Logging_0319/klagomålsmail/A 62938-2025 FSC-klagomål mail.docx", "A 62938-2025")</f>
        <v/>
      </c>
      <c r="AC38">
        <f>HYPERLINK("https://klasma.github.io/Logging_0319/tillsyn/A 62938-2025 tillsynsbegäran.docx", "A 62938-2025")</f>
        <v/>
      </c>
      <c r="AD38">
        <f>HYPERLINK("https://klasma.github.io/Logging_0319/tillsynsmail/A 62938-2025 tillsynsbegäran mail.docx", "A 62938-2025")</f>
        <v/>
      </c>
    </row>
    <row r="39" ht="15" customHeight="1">
      <c r="A39" t="inlineStr">
        <is>
          <t>A 1673-2026</t>
        </is>
      </c>
      <c r="B39" t="inlineStr">
        <is>
          <t>avverkningsanmälan</t>
        </is>
      </c>
      <c r="C39" t="inlineStr">
        <is>
          <t>Föryngringsavverkning</t>
        </is>
      </c>
      <c r="D39" s="1" t="n">
        <v>46034</v>
      </c>
      <c r="E39" s="1" t="n">
        <v>46286</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46286</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46286</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4131-2026</t>
        </is>
      </c>
      <c r="B42" t="inlineStr">
        <is>
          <t>avverkningsanmälan</t>
        </is>
      </c>
      <c r="C42" t="inlineStr">
        <is>
          <t>Föryngringsavverkning</t>
        </is>
      </c>
      <c r="D42" s="1" t="n">
        <v>46044</v>
      </c>
      <c r="E42" s="1" t="n">
        <v>46286</v>
      </c>
      <c r="F42" t="inlineStr">
        <is>
          <t>UPPSALA LÄN</t>
        </is>
      </c>
      <c r="G42" t="inlineStr">
        <is>
          <t>ÄLVKARLEBY</t>
        </is>
      </c>
      <c r="H42" t="inlineStr">
        <is>
          <t>Bergvik skog öst AB</t>
        </is>
      </c>
      <c r="I42" t="n">
        <v>2.4</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4131-2026 artfynd.xlsx", "A 4131-2026")</f>
        <v/>
      </c>
      <c r="X42">
        <f>HYPERLINK("https://klasma.github.io/Logging_0319/kartor/A 4131-2026 karta.png", "A 4131-2026")</f>
        <v/>
      </c>
      <c r="Y42">
        <f>HYPERLINK("https://klasma.github.io/Logging_0319/kartor_geotiff/A 4131-2026 georefererad karta.tif", "A 4131-2026")</f>
        <v/>
      </c>
      <c r="AA42">
        <f>HYPERLINK("https://klasma.github.io/Logging_0319/klagomål/A 4131-2026 FSC-klagomål.docx", "A 4131-2026")</f>
        <v/>
      </c>
      <c r="AB42">
        <f>HYPERLINK("https://klasma.github.io/Logging_0319/klagomålsmail/A 4131-2026 FSC-klagomål mail.docx", "A 4131-2026")</f>
        <v/>
      </c>
      <c r="AC42">
        <f>HYPERLINK("https://klasma.github.io/Logging_0319/tillsyn/A 4131-2026 tillsynsbegäran.docx", "A 4131-2026")</f>
        <v/>
      </c>
      <c r="AD42">
        <f>HYPERLINK("https://klasma.github.io/Logging_0319/tillsynsmail/A 4131-2026 tillsynsbegäran mail.docx", "A 4131-2026")</f>
        <v/>
      </c>
    </row>
    <row r="43" ht="15" customHeight="1">
      <c r="A43" t="inlineStr">
        <is>
          <t>A 19300-2024</t>
        </is>
      </c>
      <c r="B43" t="inlineStr">
        <is>
          <t>avverkningsanmälan</t>
        </is>
      </c>
      <c r="C43" t="inlineStr">
        <is>
          <t>Föryngringsavverkning</t>
        </is>
      </c>
      <c r="D43" s="1" t="n">
        <v>45428</v>
      </c>
      <c r="E43" s="1" t="n">
        <v>46286</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14127-2026</t>
        </is>
      </c>
      <c r="B44" t="inlineStr">
        <is>
          <t>avverkningsanmälan</t>
        </is>
      </c>
      <c r="C44" t="inlineStr">
        <is>
          <t>Föryngringsavverkning</t>
        </is>
      </c>
      <c r="D44" s="1" t="n">
        <v>46099</v>
      </c>
      <c r="E44" s="1" t="n">
        <v>46286</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30233-2026</t>
        </is>
      </c>
      <c r="B45" t="inlineStr">
        <is>
          <t>avverkningsanmälan</t>
        </is>
      </c>
      <c r="C45" t="inlineStr">
        <is>
          <t>Föryngringsavverkning</t>
        </is>
      </c>
      <c r="D45" s="1" t="n">
        <v>46206</v>
      </c>
      <c r="E45" s="1" t="n">
        <v>46286</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46286</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19304-2024</t>
        </is>
      </c>
      <c r="B47" t="inlineStr">
        <is>
          <t>avverkningsanmälan</t>
        </is>
      </c>
      <c r="C47" t="inlineStr">
        <is>
          <t>Föryngringsavverkning</t>
        </is>
      </c>
      <c r="D47" s="1" t="n">
        <v>45428</v>
      </c>
      <c r="E47" s="1" t="n">
        <v>46286</v>
      </c>
      <c r="F47" t="inlineStr">
        <is>
          <t>UPPSALA LÄN</t>
        </is>
      </c>
      <c r="G47" t="inlineStr">
        <is>
          <t>ÄLVKARLEBY</t>
        </is>
      </c>
      <c r="I47" t="n">
        <v>0.2</v>
      </c>
      <c r="J47" t="n">
        <v>0</v>
      </c>
      <c r="K47" t="n">
        <v>0</v>
      </c>
      <c r="L47" t="n">
        <v>0</v>
      </c>
      <c r="M47" t="n">
        <v>1</v>
      </c>
      <c r="N47" t="n">
        <v>0</v>
      </c>
      <c r="O47" t="n">
        <v>0</v>
      </c>
      <c r="P47" t="n">
        <v>0</v>
      </c>
      <c r="Q47" t="n">
        <v>1</v>
      </c>
      <c r="R47" t="n">
        <v>1</v>
      </c>
      <c r="S47" t="n">
        <v>1</v>
      </c>
      <c r="T47" t="n">
        <v>1</v>
      </c>
      <c r="U47" t="n">
        <v>0</v>
      </c>
      <c r="V47" s="2" t="inlineStr">
        <is>
          <t>Mindre bastardsvärmare</t>
        </is>
      </c>
      <c r="W47">
        <f>HYPERLINK("https://klasma.github.io/Logging_0319/artfynd/A 19304-2024 artfynd.xlsx", "A 19304-2024")</f>
        <v/>
      </c>
      <c r="X47">
        <f>HYPERLINK("https://klasma.github.io/Logging_0319/kartor/A 19304-2024 karta.png", "A 19304-2024")</f>
        <v/>
      </c>
      <c r="Y47">
        <f>HYPERLINK("https://klasma.github.io/Logging_0319/kartor_geotiff/A 19304-2024 georefererad karta.tif", "A 19304-2024")</f>
        <v/>
      </c>
      <c r="AA47">
        <f>HYPERLINK("https://klasma.github.io/Logging_0319/klagomål/A 19304-2024 FSC-klagomål.docx", "A 19304-2024")</f>
        <v/>
      </c>
      <c r="AB47">
        <f>HYPERLINK("https://klasma.github.io/Logging_0319/klagomålsmail/A 19304-2024 FSC-klagomål mail.docx", "A 19304-2024")</f>
        <v/>
      </c>
      <c r="AC47">
        <f>HYPERLINK("https://klasma.github.io/Logging_0319/tillsyn/A 19304-2024 tillsynsbegäran.docx", "A 19304-2024")</f>
        <v/>
      </c>
      <c r="AD47">
        <f>HYPERLINK("https://klasma.github.io/Logging_0319/tillsynsmail/A 19304-2024 tillsynsbegäran mail.docx", "A 19304-2024")</f>
        <v/>
      </c>
    </row>
    <row r="48" ht="15" customHeight="1">
      <c r="A48" t="inlineStr">
        <is>
          <t>A 36217-2022</t>
        </is>
      </c>
      <c r="B48" t="inlineStr">
        <is>
          <t>avverkningsanmälan</t>
        </is>
      </c>
      <c r="C48" t="inlineStr">
        <is>
          <t>Avverkning för annat ändamål</t>
        </is>
      </c>
      <c r="D48" s="1" t="n">
        <v>44803</v>
      </c>
      <c r="E48" s="1" t="n">
        <v>46286</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46286</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46286</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46286</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46286</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9533-2025</t>
        </is>
      </c>
      <c r="B53" t="inlineStr">
        <is>
          <t>avverkningsanmälan</t>
        </is>
      </c>
      <c r="C53" t="inlineStr">
        <is>
          <t>Föryngringsavverkning</t>
        </is>
      </c>
      <c r="D53" s="1" t="n">
        <v>45715</v>
      </c>
      <c r="E53" s="1" t="n">
        <v>46286</v>
      </c>
      <c r="F53" t="inlineStr">
        <is>
          <t>UPPSALA LÄN</t>
        </is>
      </c>
      <c r="G53" t="inlineStr">
        <is>
          <t>ÄLVKARLEBY</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28670-2025</t>
        </is>
      </c>
      <c r="B54" t="inlineStr">
        <is>
          <t>avverkningsanmälan</t>
        </is>
      </c>
      <c r="C54" t="inlineStr">
        <is>
          <t>Föryngringsavverkning</t>
        </is>
      </c>
      <c r="D54" s="1" t="n">
        <v>45819</v>
      </c>
      <c r="E54" s="1" t="n">
        <v>46286</v>
      </c>
      <c r="F54" t="inlineStr">
        <is>
          <t>UPPSALA LÄN</t>
        </is>
      </c>
      <c r="G54" t="inlineStr">
        <is>
          <t>ÄLVKARLEBY</t>
        </is>
      </c>
      <c r="H54" t="inlineStr">
        <is>
          <t>Bergvik skog väst AB</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46286</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14590-2023</t>
        </is>
      </c>
      <c r="B56" t="inlineStr">
        <is>
          <t>avverkningsanmälan</t>
        </is>
      </c>
      <c r="C56" t="inlineStr">
        <is>
          <t>Föryngringsavverkning</t>
        </is>
      </c>
      <c r="D56" s="1" t="n">
        <v>45013</v>
      </c>
      <c r="E56" s="1" t="n">
        <v>46286</v>
      </c>
      <c r="F56" t="inlineStr">
        <is>
          <t>UPPSALA LÄN</t>
        </is>
      </c>
      <c r="G56" t="inlineStr">
        <is>
          <t>ÄLVKARLEBY</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46286</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46286</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46286</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46286</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46286</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46286</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36216-2022</t>
        </is>
      </c>
      <c r="B63" t="inlineStr">
        <is>
          <t>avverkningsanmälan</t>
        </is>
      </c>
      <c r="C63" t="inlineStr">
        <is>
          <t>Avverkning för annat ändamål</t>
        </is>
      </c>
      <c r="D63" s="1" t="n">
        <v>44803</v>
      </c>
      <c r="E63" s="1" t="n">
        <v>46286</v>
      </c>
      <c r="F63" t="inlineStr">
        <is>
          <t>UPPSALA LÄN</t>
        </is>
      </c>
      <c r="G63" t="inlineStr">
        <is>
          <t>ÄLVKARLEBY</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46286</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46286</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56861-2025</t>
        </is>
      </c>
      <c r="B66" t="inlineStr">
        <is>
          <t>avverkningsanmälan</t>
        </is>
      </c>
      <c r="C66" t="inlineStr">
        <is>
          <t>Avverkning för att bevara och utveckla /försöksver</t>
        </is>
      </c>
      <c r="D66" s="1" t="n">
        <v>45978</v>
      </c>
      <c r="E66" s="1" t="n">
        <v>46286</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46286</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16990-2022</t>
        </is>
      </c>
      <c r="B68" t="inlineStr">
        <is>
          <t>avverkningsanmälan</t>
        </is>
      </c>
      <c r="C68" t="inlineStr">
        <is>
          <t>Föryngringsavverkning</t>
        </is>
      </c>
      <c r="D68" s="1" t="n">
        <v>44676</v>
      </c>
      <c r="E68" s="1" t="n">
        <v>46286</v>
      </c>
      <c r="F68" t="inlineStr">
        <is>
          <t>UPPSALA LÄN</t>
        </is>
      </c>
      <c r="G68" t="inlineStr">
        <is>
          <t>ÄLVKARLEBY</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46286</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46286</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46286</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46286</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46286</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61839-2025</t>
        </is>
      </c>
      <c r="B74" t="inlineStr">
        <is>
          <t>avverkningsanmälan</t>
        </is>
      </c>
      <c r="C74" t="inlineStr">
        <is>
          <t>Föryngringsavverkning</t>
        </is>
      </c>
      <c r="D74" s="1" t="n">
        <v>46003</v>
      </c>
      <c r="E74" s="1" t="n">
        <v>46286</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38226-2023</t>
        </is>
      </c>
      <c r="B75" t="inlineStr">
        <is>
          <t>avverkningsanmälan</t>
        </is>
      </c>
      <c r="C75" t="inlineStr">
        <is>
          <t>Föryngringsavverkning</t>
        </is>
      </c>
      <c r="D75" s="1" t="n">
        <v>45161</v>
      </c>
      <c r="E75" s="1" t="n">
        <v>46286</v>
      </c>
      <c r="F75" t="inlineStr">
        <is>
          <t>UPPSALA LÄN</t>
        </is>
      </c>
      <c r="G75" t="inlineStr">
        <is>
          <t>ÄLVKARLEBY</t>
        </is>
      </c>
      <c r="H75" t="inlineStr">
        <is>
          <t>Bergvik skog väst AB</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46286</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45372-2024</t>
        </is>
      </c>
      <c r="B77" t="inlineStr">
        <is>
          <t>avverkningsanmälan</t>
        </is>
      </c>
      <c r="C77" t="inlineStr">
        <is>
          <t>Föryngringsavverkning</t>
        </is>
      </c>
      <c r="D77" s="1" t="n">
        <v>45576</v>
      </c>
      <c r="E77" s="1" t="n">
        <v>46286</v>
      </c>
      <c r="F77" t="inlineStr">
        <is>
          <t>UPPSALA LÄN</t>
        </is>
      </c>
      <c r="G77" t="inlineStr">
        <is>
          <t>ÄLVKARLEBY</t>
        </is>
      </c>
      <c r="H77" t="inlineStr">
        <is>
          <t>Bergvik skog väst AB</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41929-2024</t>
        </is>
      </c>
      <c r="B78" t="inlineStr">
        <is>
          <t>avverkningsanmälan</t>
        </is>
      </c>
      <c r="C78" t="inlineStr">
        <is>
          <t>Föryngringsavverkning</t>
        </is>
      </c>
      <c r="D78" s="1" t="n">
        <v>45561</v>
      </c>
      <c r="E78" s="1" t="n">
        <v>46286</v>
      </c>
      <c r="F78" t="inlineStr">
        <is>
          <t>UPPSALA LÄN</t>
        </is>
      </c>
      <c r="G78" t="inlineStr">
        <is>
          <t>ÄLVKARLEBY</t>
        </is>
      </c>
      <c r="H78" t="inlineStr">
        <is>
          <t>Bergvik skog väst AB</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9394-2026</t>
        </is>
      </c>
      <c r="B79" t="inlineStr">
        <is>
          <t>avverkningsanmälan</t>
        </is>
      </c>
      <c r="C79" t="inlineStr">
        <is>
          <t>Föryngringsavverkning</t>
        </is>
      </c>
      <c r="D79" s="1" t="n">
        <v>46071</v>
      </c>
      <c r="E79" s="1" t="n">
        <v>46286</v>
      </c>
      <c r="F79" t="inlineStr">
        <is>
          <t>UPPSALA LÄN</t>
        </is>
      </c>
      <c r="G79" t="inlineStr">
        <is>
          <t>ÄLVKARLEBY</t>
        </is>
      </c>
      <c r="H79" t="inlineStr">
        <is>
          <t>Bergvik skog väst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11467-2026</t>
        </is>
      </c>
      <c r="B80" t="inlineStr">
        <is>
          <t>avverkningsanmälan</t>
        </is>
      </c>
      <c r="C80" t="inlineStr">
        <is>
          <t>Föryngringsavverkning</t>
        </is>
      </c>
      <c r="D80" s="1" t="n">
        <v>46083</v>
      </c>
      <c r="E80" s="1" t="n">
        <v>46286</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11848-2026</t>
        </is>
      </c>
      <c r="B81" t="inlineStr">
        <is>
          <t>avverkningsanmälan</t>
        </is>
      </c>
      <c r="C81" t="inlineStr">
        <is>
          <t>Föryngringsavverkning</t>
        </is>
      </c>
      <c r="D81" s="1" t="n">
        <v>46085</v>
      </c>
      <c r="E81" s="1" t="n">
        <v>46286</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14091-2026</t>
        </is>
      </c>
      <c r="B82" t="inlineStr">
        <is>
          <t>avverkningsanmälan</t>
        </is>
      </c>
      <c r="C82" t="inlineStr">
        <is>
          <t>Föryngringsavverkning</t>
        </is>
      </c>
      <c r="D82" s="1" t="n">
        <v>46099</v>
      </c>
      <c r="E82" s="1" t="n">
        <v>46286</v>
      </c>
      <c r="F82" t="inlineStr">
        <is>
          <t>UPPSALA LÄN</t>
        </is>
      </c>
      <c r="G82" t="inlineStr">
        <is>
          <t>ÄLVKARLEBY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26815-2022</t>
        </is>
      </c>
      <c r="B83" t="inlineStr">
        <is>
          <t>avverkningsanmälan</t>
        </is>
      </c>
      <c r="C83" t="inlineStr">
        <is>
          <t>Föryngringsavverkning</t>
        </is>
      </c>
      <c r="D83" s="1" t="n">
        <v>44740</v>
      </c>
      <c r="E83" s="1" t="n">
        <v>46286</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17851-2026</t>
        </is>
      </c>
      <c r="B84" t="inlineStr">
        <is>
          <t>avverkningsanmälan</t>
        </is>
      </c>
      <c r="C84" t="inlineStr">
        <is>
          <t>Föryngringsavverkning</t>
        </is>
      </c>
      <c r="D84" s="1" t="n">
        <v>46122</v>
      </c>
      <c r="E84" s="1" t="n">
        <v>46286</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33485-2026</t>
        </is>
      </c>
      <c r="B85" t="inlineStr">
        <is>
          <t>avverkningsanmälan</t>
        </is>
      </c>
      <c r="C85" t="inlineStr">
        <is>
          <t>Föryngringsavverkning</t>
        </is>
      </c>
      <c r="D85" s="1" t="n">
        <v>46247</v>
      </c>
      <c r="E85" s="1" t="n">
        <v>46286</v>
      </c>
      <c r="F85" t="inlineStr">
        <is>
          <t>UPPSALA LÄN</t>
        </is>
      </c>
      <c r="G85" t="inlineStr">
        <is>
          <t>ÄLVKARLEBY</t>
        </is>
      </c>
      <c r="H85" t="inlineStr">
        <is>
          <t>Bergvik skog öst AB</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41272-2023</t>
        </is>
      </c>
      <c r="B86" t="inlineStr">
        <is>
          <t>avverkningsanmälan</t>
        </is>
      </c>
      <c r="C86" t="inlineStr">
        <is>
          <t>Föryngringsavverkning</t>
        </is>
      </c>
      <c r="D86" s="1" t="n">
        <v>45174</v>
      </c>
      <c r="E86" s="1" t="n">
        <v>46286</v>
      </c>
      <c r="F86" t="inlineStr">
        <is>
          <t>UPPSALA LÄN</t>
        </is>
      </c>
      <c r="G86" t="inlineStr">
        <is>
          <t>ÄLVKARLEBY</t>
        </is>
      </c>
      <c r="H86" t="inlineStr">
        <is>
          <t>Bergvik skog väst AB</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30238-2026</t>
        </is>
      </c>
      <c r="B87" t="inlineStr">
        <is>
          <t>avverkningsanmälan</t>
        </is>
      </c>
      <c r="C87" t="inlineStr">
        <is>
          <t>Föryngringsavverkning</t>
        </is>
      </c>
      <c r="D87" s="1" t="n">
        <v>46206</v>
      </c>
      <c r="E87" s="1" t="n">
        <v>46286</v>
      </c>
      <c r="F87" t="inlineStr">
        <is>
          <t>UPPSALA LÄN</t>
        </is>
      </c>
      <c r="G87" t="inlineStr">
        <is>
          <t>ÄLVKARLEBY</t>
        </is>
      </c>
      <c r="H87" t="inlineStr">
        <is>
          <t>Bergvik skog öst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46286</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46286</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46286</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46286</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38636-2026</t>
        </is>
      </c>
      <c r="B92" t="inlineStr">
        <is>
          <t>avverkningsanmälan</t>
        </is>
      </c>
      <c r="C92" t="inlineStr">
        <is>
          <t>Föryngringsavverkning</t>
        </is>
      </c>
      <c r="D92" s="1" t="n">
        <v>46283</v>
      </c>
      <c r="E92" s="1" t="n">
        <v>46286</v>
      </c>
      <c r="F92" t="inlineStr">
        <is>
          <t>UPPSALA LÄN</t>
        </is>
      </c>
      <c r="G92" t="inlineStr">
        <is>
          <t>ÄLVKARLEBY</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38617-2026</t>
        </is>
      </c>
      <c r="B93" t="inlineStr">
        <is>
          <t>avverkningsanmälan</t>
        </is>
      </c>
      <c r="C93" t="inlineStr">
        <is>
          <t>Föryngringsavverkning</t>
        </is>
      </c>
      <c r="D93" s="1" t="n">
        <v>46283</v>
      </c>
      <c r="E93" s="1" t="n">
        <v>46286</v>
      </c>
      <c r="F93" t="inlineStr">
        <is>
          <t>UPPSALA LÄN</t>
        </is>
      </c>
      <c r="G93" t="inlineStr">
        <is>
          <t>ÄLVKARLEBY</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25330-2025</t>
        </is>
      </c>
      <c r="B94" t="inlineStr">
        <is>
          <t>avverkningsanmälan</t>
        </is>
      </c>
      <c r="C94" t="inlineStr">
        <is>
          <t>Föryngringsavverkning</t>
        </is>
      </c>
      <c r="D94" s="1" t="n">
        <v>45800</v>
      </c>
      <c r="E94" s="1" t="n">
        <v>46286</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row r="95">
      <c r="A95" t="inlineStr">
        <is>
          <t>A 32187-2025</t>
        </is>
      </c>
      <c r="B95" t="inlineStr">
        <is>
          <t>avverkningsanmälan</t>
        </is>
      </c>
      <c r="C95" t="inlineStr">
        <is>
          <t>Föryngringsavverkning</t>
        </is>
      </c>
      <c r="D95" s="1" t="n">
        <v>45835</v>
      </c>
      <c r="E95" s="1" t="n">
        <v>46286</v>
      </c>
      <c r="F95" t="inlineStr">
        <is>
          <t>UPPSALA LÄN</t>
        </is>
      </c>
      <c r="G95" t="inlineStr">
        <is>
          <t>ÄLVKARLEBY</t>
        </is>
      </c>
      <c r="H95" t="inlineStr">
        <is>
          <t>Bergvik skog väst AB</t>
        </is>
      </c>
      <c r="I95" t="n">
        <v>1.5</v>
      </c>
      <c r="J95" t="n">
        <v>0</v>
      </c>
      <c r="K95" t="n">
        <v>0</v>
      </c>
      <c r="L95" t="n">
        <v>0</v>
      </c>
      <c r="M95" t="n">
        <v>0</v>
      </c>
      <c r="N95" t="n">
        <v>0</v>
      </c>
      <c r="O95" t="n">
        <v>0</v>
      </c>
      <c r="P95" t="n">
        <v>0</v>
      </c>
      <c r="Q95" t="n">
        <v>0</v>
      </c>
      <c r="R95" t="n">
        <v>0</v>
      </c>
      <c r="S95" t="n">
        <v>0</v>
      </c>
      <c r="T95" t="n">
        <v>0</v>
      </c>
      <c r="U95" t="n">
        <v>0</v>
      </c>
      <c r="V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2026-09-21T02:05:23Z</dcterms:created>
  <dcterms:modified xmlns:dcterms="http://purl.org/dc/terms/" xmlns:xsi="http://www.w3.org/2001/XMLSchema-instance" xsi:type="dcterms:W3CDTF">2026-09-21T02:05:23Z</dcterms:modified>
</cp:coreProperties>
</file>