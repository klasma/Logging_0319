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45878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45878</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45878</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45878</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45878</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3949-2025</t>
        </is>
      </c>
      <c r="B7" s="1" t="n">
        <v>45684</v>
      </c>
      <c r="C7" s="1" t="n">
        <v>45878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45878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3952-2025</t>
        </is>
      </c>
      <c r="B9" s="1" t="n">
        <v>45684</v>
      </c>
      <c r="C9" s="1" t="n">
        <v>45878</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45878</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45878</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55547-2024</t>
        </is>
      </c>
      <c r="B12" s="1" t="n">
        <v>45622.5105787037</v>
      </c>
      <c r="C12" s="1" t="n">
        <v>45878</v>
      </c>
      <c r="D12" t="inlineStr">
        <is>
          <t>UPPSALA LÄN</t>
        </is>
      </c>
      <c r="E12" t="inlineStr">
        <is>
          <t>ÄLVKARLEBY</t>
        </is>
      </c>
      <c r="F12" t="inlineStr">
        <is>
          <t>Bergvik skog väst AB</t>
        </is>
      </c>
      <c r="G12" t="n">
        <v>0.9</v>
      </c>
      <c r="H12" t="n">
        <v>2</v>
      </c>
      <c r="I12" t="n">
        <v>1</v>
      </c>
      <c r="J12" t="n">
        <v>0</v>
      </c>
      <c r="K12" t="n">
        <v>1</v>
      </c>
      <c r="L12" t="n">
        <v>0</v>
      </c>
      <c r="M12" t="n">
        <v>0</v>
      </c>
      <c r="N12" t="n">
        <v>0</v>
      </c>
      <c r="O12" t="n">
        <v>1</v>
      </c>
      <c r="P12" t="n">
        <v>1</v>
      </c>
      <c r="Q12" t="n">
        <v>3</v>
      </c>
      <c r="R12" s="2" t="inlineStr">
        <is>
          <t>Knärot
Vedticka
Sparvuggla</t>
        </is>
      </c>
      <c r="S12">
        <f>HYPERLINK("https://klasma.github.io/Logging_0319/artfynd/A 55547-2024 artfynd.xlsx", "A 55547-2024")</f>
        <v/>
      </c>
      <c r="T12">
        <f>HYPERLINK("https://klasma.github.io/Logging_0319/kartor/A 55547-2024 karta.png", "A 55547-2024")</f>
        <v/>
      </c>
      <c r="U12">
        <f>HYPERLINK("https://klasma.github.io/Logging_0319/knärot/A 55547-2024 karta knärot.png", "A 55547-2024")</f>
        <v/>
      </c>
      <c r="V12">
        <f>HYPERLINK("https://klasma.github.io/Logging_0319/klagomål/A 55547-2024 FSC-klagomål.docx", "A 55547-2024")</f>
        <v/>
      </c>
      <c r="W12">
        <f>HYPERLINK("https://klasma.github.io/Logging_0319/klagomålsmail/A 55547-2024 FSC-klagomål mail.docx", "A 55547-2024")</f>
        <v/>
      </c>
      <c r="X12">
        <f>HYPERLINK("https://klasma.github.io/Logging_0319/tillsyn/A 55547-2024 tillsynsbegäran.docx", "A 55547-2024")</f>
        <v/>
      </c>
      <c r="Y12">
        <f>HYPERLINK("https://klasma.github.io/Logging_0319/tillsynsmail/A 55547-2024 tillsynsbegäran mail.docx", "A 55547-2024")</f>
        <v/>
      </c>
      <c r="Z12">
        <f>HYPERLINK("https://klasma.github.io/Logging_0319/fåglar/A 55547-2024 prioriterade fågelarter.docx", "A 55547-2024")</f>
        <v/>
      </c>
    </row>
    <row r="13" ht="15" customHeight="1">
      <c r="A13" t="inlineStr">
        <is>
          <t>A 70017-2021</t>
        </is>
      </c>
      <c r="B13" s="1" t="n">
        <v>44533</v>
      </c>
      <c r="C13" s="1" t="n">
        <v>45878</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55554-2024</t>
        </is>
      </c>
      <c r="B14" s="1" t="n">
        <v>45622</v>
      </c>
      <c r="C14" s="1" t="n">
        <v>45878</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45878</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45878</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21007-2025</t>
        </is>
      </c>
      <c r="B17" s="1" t="n">
        <v>45777</v>
      </c>
      <c r="C17" s="1" t="n">
        <v>45878</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45878</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45878</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10455-2022</t>
        </is>
      </c>
      <c r="B20" s="1" t="n">
        <v>44623</v>
      </c>
      <c r="C20" s="1" t="n">
        <v>45878</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66277-2020</t>
        </is>
      </c>
      <c r="B21" s="1" t="n">
        <v>44176</v>
      </c>
      <c r="C21" s="1" t="n">
        <v>45878</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45878</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12427-2025</t>
        </is>
      </c>
      <c r="B23" s="1" t="n">
        <v>45730.45799768518</v>
      </c>
      <c r="C23" s="1" t="n">
        <v>45878</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9521-2025</t>
        </is>
      </c>
      <c r="B24" s="1" t="n">
        <v>45715.56259259259</v>
      </c>
      <c r="C24" s="1" t="n">
        <v>45878</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21700-2024</t>
        </is>
      </c>
      <c r="B25" s="1" t="n">
        <v>45442</v>
      </c>
      <c r="C25" s="1" t="n">
        <v>45878</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50416-2020</t>
        </is>
      </c>
      <c r="B26" s="1" t="n">
        <v>44110</v>
      </c>
      <c r="C26" s="1" t="n">
        <v>45878</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45878</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45878</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45878</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45878</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45878</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45878</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45878</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45878</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45878</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9533-2025</t>
        </is>
      </c>
      <c r="B36" s="1" t="n">
        <v>45715.57082175926</v>
      </c>
      <c r="C36" s="1" t="n">
        <v>45878</v>
      </c>
      <c r="D36" t="inlineStr">
        <is>
          <t>UPPSALA LÄN</t>
        </is>
      </c>
      <c r="E36" t="inlineStr">
        <is>
          <t>ÄLVKARLEBY</t>
        </is>
      </c>
      <c r="G36" t="n">
        <v>2.1</v>
      </c>
      <c r="H36" t="n">
        <v>0</v>
      </c>
      <c r="I36" t="n">
        <v>0</v>
      </c>
      <c r="J36" t="n">
        <v>0</v>
      </c>
      <c r="K36" t="n">
        <v>0</v>
      </c>
      <c r="L36" t="n">
        <v>0</v>
      </c>
      <c r="M36" t="n">
        <v>0</v>
      </c>
      <c r="N36" t="n">
        <v>0</v>
      </c>
      <c r="O36" t="n">
        <v>0</v>
      </c>
      <c r="P36" t="n">
        <v>0</v>
      </c>
      <c r="Q36" t="n">
        <v>0</v>
      </c>
      <c r="R36" s="2" t="inlineStr"/>
    </row>
    <row r="37" ht="15" customHeight="1">
      <c r="A37" t="inlineStr">
        <is>
          <t>A 19697-2025</t>
        </is>
      </c>
      <c r="B37" s="1" t="n">
        <v>45771</v>
      </c>
      <c r="C37" s="1" t="n">
        <v>45878</v>
      </c>
      <c r="D37" t="inlineStr">
        <is>
          <t>UPPSALA LÄN</t>
        </is>
      </c>
      <c r="E37" t="inlineStr">
        <is>
          <t>ÄLVKARLEBY</t>
        </is>
      </c>
      <c r="F37" t="inlineStr">
        <is>
          <t>Bergvik skog väst AB</t>
        </is>
      </c>
      <c r="G37" t="n">
        <v>3.3</v>
      </c>
      <c r="H37" t="n">
        <v>0</v>
      </c>
      <c r="I37" t="n">
        <v>0</v>
      </c>
      <c r="J37" t="n">
        <v>0</v>
      </c>
      <c r="K37" t="n">
        <v>0</v>
      </c>
      <c r="L37" t="n">
        <v>0</v>
      </c>
      <c r="M37" t="n">
        <v>0</v>
      </c>
      <c r="N37" t="n">
        <v>0</v>
      </c>
      <c r="O37" t="n">
        <v>0</v>
      </c>
      <c r="P37" t="n">
        <v>0</v>
      </c>
      <c r="Q37" t="n">
        <v>0</v>
      </c>
      <c r="R37" s="2" t="inlineStr"/>
    </row>
    <row r="38" ht="15" customHeight="1">
      <c r="A38" t="inlineStr">
        <is>
          <t>A 21012-2025</t>
        </is>
      </c>
      <c r="B38" s="1" t="n">
        <v>45777</v>
      </c>
      <c r="C38" s="1" t="n">
        <v>45878</v>
      </c>
      <c r="D38" t="inlineStr">
        <is>
          <t>UPPSALA LÄN</t>
        </is>
      </c>
      <c r="E38" t="inlineStr">
        <is>
          <t>ÄLVKARLEBY</t>
        </is>
      </c>
      <c r="F38" t="inlineStr">
        <is>
          <t>Bergvik skog väst AB</t>
        </is>
      </c>
      <c r="G38" t="n">
        <v>1.8</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45878</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22223-2025</t>
        </is>
      </c>
      <c r="B40" s="1" t="n">
        <v>45785</v>
      </c>
      <c r="C40" s="1" t="n">
        <v>45878</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41272-2023</t>
        </is>
      </c>
      <c r="B41" s="1" t="n">
        <v>45174</v>
      </c>
      <c r="C41" s="1" t="n">
        <v>45878</v>
      </c>
      <c r="D41" t="inlineStr">
        <is>
          <t>UPPSALA LÄN</t>
        </is>
      </c>
      <c r="E41" t="inlineStr">
        <is>
          <t>ÄLVKARLEBY</t>
        </is>
      </c>
      <c r="F41" t="inlineStr">
        <is>
          <t>Bergvik skog väst AB</t>
        </is>
      </c>
      <c r="G41" t="n">
        <v>0.9</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45878</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45878</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16990-2022</t>
        </is>
      </c>
      <c r="B44" s="1" t="n">
        <v>44676.6122337963</v>
      </c>
      <c r="C44" s="1" t="n">
        <v>45878</v>
      </c>
      <c r="D44" t="inlineStr">
        <is>
          <t>UPPSALA LÄN</t>
        </is>
      </c>
      <c r="E44" t="inlineStr">
        <is>
          <t>ÄLVKARLEBY</t>
        </is>
      </c>
      <c r="F44" t="inlineStr">
        <is>
          <t>Bergvik skog väst AB</t>
        </is>
      </c>
      <c r="G44" t="n">
        <v>2.6</v>
      </c>
      <c r="H44" t="n">
        <v>0</v>
      </c>
      <c r="I44" t="n">
        <v>0</v>
      </c>
      <c r="J44" t="n">
        <v>0</v>
      </c>
      <c r="K44" t="n">
        <v>0</v>
      </c>
      <c r="L44" t="n">
        <v>0</v>
      </c>
      <c r="M44" t="n">
        <v>0</v>
      </c>
      <c r="N44" t="n">
        <v>0</v>
      </c>
      <c r="O44" t="n">
        <v>0</v>
      </c>
      <c r="P44" t="n">
        <v>0</v>
      </c>
      <c r="Q44" t="n">
        <v>0</v>
      </c>
      <c r="R44" s="2" t="inlineStr"/>
    </row>
    <row r="45" ht="15" customHeight="1">
      <c r="A45" t="inlineStr">
        <is>
          <t>A 19304-2024</t>
        </is>
      </c>
      <c r="B45" s="1" t="n">
        <v>45428</v>
      </c>
      <c r="C45" s="1" t="n">
        <v>45878</v>
      </c>
      <c r="D45" t="inlineStr">
        <is>
          <t>UPPSALA LÄN</t>
        </is>
      </c>
      <c r="E45" t="inlineStr">
        <is>
          <t>ÄLVKARLEBY</t>
        </is>
      </c>
      <c r="G45" t="n">
        <v>0.2</v>
      </c>
      <c r="H45" t="n">
        <v>0</v>
      </c>
      <c r="I45" t="n">
        <v>0</v>
      </c>
      <c r="J45" t="n">
        <v>0</v>
      </c>
      <c r="K45" t="n">
        <v>0</v>
      </c>
      <c r="L45" t="n">
        <v>0</v>
      </c>
      <c r="M45" t="n">
        <v>0</v>
      </c>
      <c r="N45" t="n">
        <v>0</v>
      </c>
      <c r="O45" t="n">
        <v>0</v>
      </c>
      <c r="P45" t="n">
        <v>0</v>
      </c>
      <c r="Q45" t="n">
        <v>0</v>
      </c>
      <c r="R45" s="2" t="inlineStr"/>
    </row>
    <row r="46" ht="15" customHeight="1">
      <c r="A46" t="inlineStr">
        <is>
          <t>A 32186-2025</t>
        </is>
      </c>
      <c r="B46" s="1" t="n">
        <v>45835.5667824074</v>
      </c>
      <c r="C46" s="1" t="n">
        <v>45878</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56864-2024</t>
        </is>
      </c>
      <c r="B47" s="1" t="n">
        <v>45628.55212962963</v>
      </c>
      <c r="C47" s="1" t="n">
        <v>45878</v>
      </c>
      <c r="D47" t="inlineStr">
        <is>
          <t>UPPSALA LÄN</t>
        </is>
      </c>
      <c r="E47" t="inlineStr">
        <is>
          <t>ÄLVKARLEBY</t>
        </is>
      </c>
      <c r="F47" t="inlineStr">
        <is>
          <t>Bergvik skog väst AB</t>
        </is>
      </c>
      <c r="G47" t="n">
        <v>11.3</v>
      </c>
      <c r="H47" t="n">
        <v>0</v>
      </c>
      <c r="I47" t="n">
        <v>0</v>
      </c>
      <c r="J47" t="n">
        <v>0</v>
      </c>
      <c r="K47" t="n">
        <v>0</v>
      </c>
      <c r="L47" t="n">
        <v>0</v>
      </c>
      <c r="M47" t="n">
        <v>0</v>
      </c>
      <c r="N47" t="n">
        <v>0</v>
      </c>
      <c r="O47" t="n">
        <v>0</v>
      </c>
      <c r="P47" t="n">
        <v>0</v>
      </c>
      <c r="Q47" t="n">
        <v>0</v>
      </c>
      <c r="R47" s="2" t="inlineStr"/>
    </row>
    <row r="48" ht="15" customHeight="1">
      <c r="A48" t="inlineStr">
        <is>
          <t>A 32187-2025</t>
        </is>
      </c>
      <c r="B48" s="1" t="n">
        <v>45835.56949074074</v>
      </c>
      <c r="C48" s="1" t="n">
        <v>45878</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32203-2025</t>
        </is>
      </c>
      <c r="B49" s="1" t="n">
        <v>45835.57951388889</v>
      </c>
      <c r="C49" s="1" t="n">
        <v>45878</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32212-2025</t>
        </is>
      </c>
      <c r="B50" s="1" t="n">
        <v>45835.58509259259</v>
      </c>
      <c r="C50" s="1" t="n">
        <v>45878</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45878</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24593-2025</t>
        </is>
      </c>
      <c r="B52" s="1" t="n">
        <v>45798</v>
      </c>
      <c r="C52" s="1" t="n">
        <v>45878</v>
      </c>
      <c r="D52" t="inlineStr">
        <is>
          <t>UPPSALA LÄN</t>
        </is>
      </c>
      <c r="E52" t="inlineStr">
        <is>
          <t>ÄLVKARLEBY</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45878</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24592-2025</t>
        </is>
      </c>
      <c r="B54" s="1" t="n">
        <v>45798.54337962963</v>
      </c>
      <c r="C54" s="1" t="n">
        <v>45878</v>
      </c>
      <c r="D54" t="inlineStr">
        <is>
          <t>UPPSALA LÄN</t>
        </is>
      </c>
      <c r="E54" t="inlineStr">
        <is>
          <t>ÄLVKARLEBY</t>
        </is>
      </c>
      <c r="F54" t="inlineStr">
        <is>
          <t>Bergvik skog väst AB</t>
        </is>
      </c>
      <c r="G54" t="n">
        <v>2.5</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45878</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25264-2025</t>
        </is>
      </c>
      <c r="B56" s="1" t="n">
        <v>45800.5334375</v>
      </c>
      <c r="C56" s="1" t="n">
        <v>45878</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11553-2021</t>
        </is>
      </c>
      <c r="B57" s="1" t="n">
        <v>44264.48725694444</v>
      </c>
      <c r="C57" s="1" t="n">
        <v>45878</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45878</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3950-2025</t>
        </is>
      </c>
      <c r="B59" s="1" t="n">
        <v>45684</v>
      </c>
      <c r="C59" s="1" t="n">
        <v>45878</v>
      </c>
      <c r="D59" t="inlineStr">
        <is>
          <t>UPPSALA LÄN</t>
        </is>
      </c>
      <c r="E59" t="inlineStr">
        <is>
          <t>ÄLVKARLEBY</t>
        </is>
      </c>
      <c r="G59" t="n">
        <v>3.1</v>
      </c>
      <c r="H59" t="n">
        <v>0</v>
      </c>
      <c r="I59" t="n">
        <v>0</v>
      </c>
      <c r="J59" t="n">
        <v>0</v>
      </c>
      <c r="K59" t="n">
        <v>0</v>
      </c>
      <c r="L59" t="n">
        <v>0</v>
      </c>
      <c r="M59" t="n">
        <v>0</v>
      </c>
      <c r="N59" t="n">
        <v>0</v>
      </c>
      <c r="O59" t="n">
        <v>0</v>
      </c>
      <c r="P59" t="n">
        <v>0</v>
      </c>
      <c r="Q59" t="n">
        <v>0</v>
      </c>
      <c r="R59" s="2" t="inlineStr"/>
    </row>
    <row r="60" ht="15" customHeight="1">
      <c r="A60" t="inlineStr">
        <is>
          <t>A 26664-2025</t>
        </is>
      </c>
      <c r="B60" s="1" t="n">
        <v>45810</v>
      </c>
      <c r="C60" s="1" t="n">
        <v>45878</v>
      </c>
      <c r="D60" t="inlineStr">
        <is>
          <t>UPPSALA LÄN</t>
        </is>
      </c>
      <c r="E60" t="inlineStr">
        <is>
          <t>ÄLVKARLEBY</t>
        </is>
      </c>
      <c r="F60" t="inlineStr">
        <is>
          <t>Bergvik skog väst AB</t>
        </is>
      </c>
      <c r="G60" t="n">
        <v>1.7</v>
      </c>
      <c r="H60" t="n">
        <v>0</v>
      </c>
      <c r="I60" t="n">
        <v>0</v>
      </c>
      <c r="J60" t="n">
        <v>0</v>
      </c>
      <c r="K60" t="n">
        <v>0</v>
      </c>
      <c r="L60" t="n">
        <v>0</v>
      </c>
      <c r="M60" t="n">
        <v>0</v>
      </c>
      <c r="N60" t="n">
        <v>0</v>
      </c>
      <c r="O60" t="n">
        <v>0</v>
      </c>
      <c r="P60" t="n">
        <v>0</v>
      </c>
      <c r="Q60" t="n">
        <v>0</v>
      </c>
      <c r="R60" s="2" t="inlineStr"/>
    </row>
    <row r="61" ht="15" customHeight="1">
      <c r="A61" t="inlineStr">
        <is>
          <t>A 15739-2025</t>
        </is>
      </c>
      <c r="B61" s="1" t="n">
        <v>45748.54612268518</v>
      </c>
      <c r="C61" s="1" t="n">
        <v>45878</v>
      </c>
      <c r="D61" t="inlineStr">
        <is>
          <t>UPPSALA LÄN</t>
        </is>
      </c>
      <c r="E61" t="inlineStr">
        <is>
          <t>ÄLVKARLEBY</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26670-2025</t>
        </is>
      </c>
      <c r="B62" s="1" t="n">
        <v>45810.41489583333</v>
      </c>
      <c r="C62" s="1" t="n">
        <v>45878</v>
      </c>
      <c r="D62" t="inlineStr">
        <is>
          <t>UPPSALA LÄN</t>
        </is>
      </c>
      <c r="E62" t="inlineStr">
        <is>
          <t>ÄLVKARLEBY</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26668-2025</t>
        </is>
      </c>
      <c r="B63" s="1" t="n">
        <v>45810.41017361111</v>
      </c>
      <c r="C63" s="1" t="n">
        <v>45878</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8030-2025</t>
        </is>
      </c>
      <c r="B64" s="1" t="n">
        <v>45707.59064814815</v>
      </c>
      <c r="C64" s="1" t="n">
        <v>45878</v>
      </c>
      <c r="D64" t="inlineStr">
        <is>
          <t>UPPSALA LÄN</t>
        </is>
      </c>
      <c r="E64" t="inlineStr">
        <is>
          <t>ÄLVKARLEBY</t>
        </is>
      </c>
      <c r="F64" t="inlineStr">
        <is>
          <t>Bergvik skog väst AB</t>
        </is>
      </c>
      <c r="G64" t="n">
        <v>3.6</v>
      </c>
      <c r="H64" t="n">
        <v>0</v>
      </c>
      <c r="I64" t="n">
        <v>0</v>
      </c>
      <c r="J64" t="n">
        <v>0</v>
      </c>
      <c r="K64" t="n">
        <v>0</v>
      </c>
      <c r="L64" t="n">
        <v>0</v>
      </c>
      <c r="M64" t="n">
        <v>0</v>
      </c>
      <c r="N64" t="n">
        <v>0</v>
      </c>
      <c r="O64" t="n">
        <v>0</v>
      </c>
      <c r="P64" t="n">
        <v>0</v>
      </c>
      <c r="Q64" t="n">
        <v>0</v>
      </c>
      <c r="R64" s="2" t="inlineStr"/>
    </row>
    <row r="65" ht="15" customHeight="1">
      <c r="A65" t="inlineStr">
        <is>
          <t>A 27330-2025</t>
        </is>
      </c>
      <c r="B65" s="1" t="n">
        <v>45812.60934027778</v>
      </c>
      <c r="C65" s="1" t="n">
        <v>45878</v>
      </c>
      <c r="D65" t="inlineStr">
        <is>
          <t>UPPSALA LÄN</t>
        </is>
      </c>
      <c r="E65" t="inlineStr">
        <is>
          <t>ÄLVKARLEBY</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45878</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14004-2025</t>
        </is>
      </c>
      <c r="B67" s="1" t="n">
        <v>45740.2997337963</v>
      </c>
      <c r="C67" s="1" t="n">
        <v>45878</v>
      </c>
      <c r="D67" t="inlineStr">
        <is>
          <t>UPPSALA LÄN</t>
        </is>
      </c>
      <c r="E67" t="inlineStr">
        <is>
          <t>ÄLVKARLEBY</t>
        </is>
      </c>
      <c r="F67" t="inlineStr">
        <is>
          <t>Bergvik skog öst AB</t>
        </is>
      </c>
      <c r="G67" t="n">
        <v>10.1</v>
      </c>
      <c r="H67" t="n">
        <v>0</v>
      </c>
      <c r="I67" t="n">
        <v>0</v>
      </c>
      <c r="J67" t="n">
        <v>0</v>
      </c>
      <c r="K67" t="n">
        <v>0</v>
      </c>
      <c r="L67" t="n">
        <v>0</v>
      </c>
      <c r="M67" t="n">
        <v>0</v>
      </c>
      <c r="N67" t="n">
        <v>0</v>
      </c>
      <c r="O67" t="n">
        <v>0</v>
      </c>
      <c r="P67" t="n">
        <v>0</v>
      </c>
      <c r="Q67" t="n">
        <v>0</v>
      </c>
      <c r="R67" s="2" t="inlineStr"/>
    </row>
    <row r="68" ht="15" customHeight="1">
      <c r="A68" t="inlineStr">
        <is>
          <t>A 27743-2025</t>
        </is>
      </c>
      <c r="B68" s="1" t="n">
        <v>45815.53981481482</v>
      </c>
      <c r="C68" s="1" t="n">
        <v>45878</v>
      </c>
      <c r="D68" t="inlineStr">
        <is>
          <t>UPPSALA LÄN</t>
        </is>
      </c>
      <c r="E68" t="inlineStr">
        <is>
          <t>ÄLVKARLEBY</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27742-2025</t>
        </is>
      </c>
      <c r="B69" s="1" t="n">
        <v>45815.53724537037</v>
      </c>
      <c r="C69" s="1" t="n">
        <v>45878</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45878</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19703-2025</t>
        </is>
      </c>
      <c r="B71" s="1" t="n">
        <v>45771</v>
      </c>
      <c r="C71" s="1" t="n">
        <v>45878</v>
      </c>
      <c r="D71" t="inlineStr">
        <is>
          <t>UPPSALA LÄN</t>
        </is>
      </c>
      <c r="E71" t="inlineStr">
        <is>
          <t>ÄLVKARLEBY</t>
        </is>
      </c>
      <c r="F71" t="inlineStr">
        <is>
          <t>Bergvik skog väst AB</t>
        </is>
      </c>
      <c r="G71" t="n">
        <v>3.8</v>
      </c>
      <c r="H71" t="n">
        <v>0</v>
      </c>
      <c r="I71" t="n">
        <v>0</v>
      </c>
      <c r="J71" t="n">
        <v>0</v>
      </c>
      <c r="K71" t="n">
        <v>0</v>
      </c>
      <c r="L71" t="n">
        <v>0</v>
      </c>
      <c r="M71" t="n">
        <v>0</v>
      </c>
      <c r="N71" t="n">
        <v>0</v>
      </c>
      <c r="O71" t="n">
        <v>0</v>
      </c>
      <c r="P71" t="n">
        <v>0</v>
      </c>
      <c r="Q71" t="n">
        <v>0</v>
      </c>
      <c r="R71" s="2" t="inlineStr"/>
    </row>
    <row r="72" ht="15" customHeight="1">
      <c r="A72" t="inlineStr">
        <is>
          <t>A 28670-2025</t>
        </is>
      </c>
      <c r="B72" s="1" t="n">
        <v>45819.67130787037</v>
      </c>
      <c r="C72" s="1" t="n">
        <v>45878</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8031-2025</t>
        </is>
      </c>
      <c r="B73" s="1" t="n">
        <v>45707.59112268518</v>
      </c>
      <c r="C73" s="1" t="n">
        <v>45878</v>
      </c>
      <c r="D73" t="inlineStr">
        <is>
          <t>UPPSALA LÄN</t>
        </is>
      </c>
      <c r="E73" t="inlineStr">
        <is>
          <t>ÄLVKARLEBY</t>
        </is>
      </c>
      <c r="F73" t="inlineStr">
        <is>
          <t>Bergvik skog väst AB</t>
        </is>
      </c>
      <c r="G73" t="n">
        <v>4</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45878</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28668-2025</t>
        </is>
      </c>
      <c r="B75" s="1" t="n">
        <v>45819.66650462963</v>
      </c>
      <c r="C75" s="1" t="n">
        <v>45878</v>
      </c>
      <c r="D75" t="inlineStr">
        <is>
          <t>UPPSALA LÄN</t>
        </is>
      </c>
      <c r="E75" t="inlineStr">
        <is>
          <t>ÄLVKARLEBY</t>
        </is>
      </c>
      <c r="F75" t="inlineStr">
        <is>
          <t>Bergvik skog väst AB</t>
        </is>
      </c>
      <c r="G75" t="n">
        <v>8.300000000000001</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45878</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46113-2023</t>
        </is>
      </c>
      <c r="B77" s="1" t="n">
        <v>45196.54938657407</v>
      </c>
      <c r="C77" s="1" t="n">
        <v>45878</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50409-2020</t>
        </is>
      </c>
      <c r="B78" s="1" t="n">
        <v>44110</v>
      </c>
      <c r="C78" s="1" t="n">
        <v>45878</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45878</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45878</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30944-2025</t>
        </is>
      </c>
      <c r="B81" s="1" t="n">
        <v>45832.41182870371</v>
      </c>
      <c r="C81" s="1" t="n">
        <v>45878</v>
      </c>
      <c r="D81" t="inlineStr">
        <is>
          <t>UPPSALA LÄN</t>
        </is>
      </c>
      <c r="E81" t="inlineStr">
        <is>
          <t>ÄLVKARLEBY</t>
        </is>
      </c>
      <c r="F81" t="inlineStr">
        <is>
          <t>Bergvik skog öst AB</t>
        </is>
      </c>
      <c r="G81" t="n">
        <v>3.4</v>
      </c>
      <c r="H81" t="n">
        <v>0</v>
      </c>
      <c r="I81" t="n">
        <v>0</v>
      </c>
      <c r="J81" t="n">
        <v>0</v>
      </c>
      <c r="K81" t="n">
        <v>0</v>
      </c>
      <c r="L81" t="n">
        <v>0</v>
      </c>
      <c r="M81" t="n">
        <v>0</v>
      </c>
      <c r="N81" t="n">
        <v>0</v>
      </c>
      <c r="O81" t="n">
        <v>0</v>
      </c>
      <c r="P81" t="n">
        <v>0</v>
      </c>
      <c r="Q81" t="n">
        <v>0</v>
      </c>
      <c r="R81" s="2" t="inlineStr"/>
    </row>
    <row r="82" ht="15" customHeight="1">
      <c r="A82" t="inlineStr">
        <is>
          <t>A 30936-2025</t>
        </is>
      </c>
      <c r="B82" s="1" t="n">
        <v>45832.40586805555</v>
      </c>
      <c r="C82" s="1" t="n">
        <v>45878</v>
      </c>
      <c r="D82" t="inlineStr">
        <is>
          <t>UPPSALA LÄN</t>
        </is>
      </c>
      <c r="E82" t="inlineStr">
        <is>
          <t>ÄLVKARLEBY</t>
        </is>
      </c>
      <c r="F82" t="inlineStr">
        <is>
          <t>Bergvik skog öst AB</t>
        </is>
      </c>
      <c r="G82" t="n">
        <v>7.2</v>
      </c>
      <c r="H82" t="n">
        <v>0</v>
      </c>
      <c r="I82" t="n">
        <v>0</v>
      </c>
      <c r="J82" t="n">
        <v>0</v>
      </c>
      <c r="K82" t="n">
        <v>0</v>
      </c>
      <c r="L82" t="n">
        <v>0</v>
      </c>
      <c r="M82" t="n">
        <v>0</v>
      </c>
      <c r="N82" t="n">
        <v>0</v>
      </c>
      <c r="O82" t="n">
        <v>0</v>
      </c>
      <c r="P82" t="n">
        <v>0</v>
      </c>
      <c r="Q82" t="n">
        <v>0</v>
      </c>
      <c r="R82" s="2" t="inlineStr"/>
    </row>
    <row r="83" ht="15" customHeight="1">
      <c r="A83" t="inlineStr">
        <is>
          <t>A 41979-2024</t>
        </is>
      </c>
      <c r="B83" s="1" t="n">
        <v>45561</v>
      </c>
      <c r="C83" s="1" t="n">
        <v>45878</v>
      </c>
      <c r="D83" t="inlineStr">
        <is>
          <t>UPPSALA LÄN</t>
        </is>
      </c>
      <c r="E83" t="inlineStr">
        <is>
          <t>ÄLVKARLEBY</t>
        </is>
      </c>
      <c r="F83" t="inlineStr">
        <is>
          <t>Bergvik skog väst AB</t>
        </is>
      </c>
      <c r="G83" t="n">
        <v>2.8</v>
      </c>
      <c r="H83" t="n">
        <v>0</v>
      </c>
      <c r="I83" t="n">
        <v>0</v>
      </c>
      <c r="J83" t="n">
        <v>0</v>
      </c>
      <c r="K83" t="n">
        <v>0</v>
      </c>
      <c r="L83" t="n">
        <v>0</v>
      </c>
      <c r="M83" t="n">
        <v>0</v>
      </c>
      <c r="N83" t="n">
        <v>0</v>
      </c>
      <c r="O83" t="n">
        <v>0</v>
      </c>
      <c r="P83" t="n">
        <v>0</v>
      </c>
      <c r="Q83" t="n">
        <v>0</v>
      </c>
      <c r="R83" s="2" t="inlineStr"/>
    </row>
    <row r="84" ht="15" customHeight="1">
      <c r="A84" t="inlineStr">
        <is>
          <t>A 39791-2021</t>
        </is>
      </c>
      <c r="B84" s="1" t="n">
        <v>44417</v>
      </c>
      <c r="C84" s="1" t="n">
        <v>45878</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45878</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41929-2024</t>
        </is>
      </c>
      <c r="B86" s="1" t="n">
        <v>45561</v>
      </c>
      <c r="C86" s="1" t="n">
        <v>45878</v>
      </c>
      <c r="D86" t="inlineStr">
        <is>
          <t>UPPSALA LÄN</t>
        </is>
      </c>
      <c r="E86" t="inlineStr">
        <is>
          <t>ÄLVKARLEBY</t>
        </is>
      </c>
      <c r="F86" t="inlineStr">
        <is>
          <t>Bergvik skog väst AB</t>
        </is>
      </c>
      <c r="G86" t="n">
        <v>4.9</v>
      </c>
      <c r="H86" t="n">
        <v>0</v>
      </c>
      <c r="I86" t="n">
        <v>0</v>
      </c>
      <c r="J86" t="n">
        <v>0</v>
      </c>
      <c r="K86" t="n">
        <v>0</v>
      </c>
      <c r="L86" t="n">
        <v>0</v>
      </c>
      <c r="M86" t="n">
        <v>0</v>
      </c>
      <c r="N86" t="n">
        <v>0</v>
      </c>
      <c r="O86" t="n">
        <v>0</v>
      </c>
      <c r="P86" t="n">
        <v>0</v>
      </c>
      <c r="Q86" t="n">
        <v>0</v>
      </c>
      <c r="R86" s="2" t="inlineStr"/>
    </row>
    <row r="87">
      <c r="A87" t="inlineStr">
        <is>
          <t>A 18451-2025</t>
        </is>
      </c>
      <c r="B87" s="1" t="n">
        <v>45762</v>
      </c>
      <c r="C87" s="1" t="n">
        <v>45878</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2025-08-09T18:53:51Z</dcterms:created>
  <dcterms:modified xmlns:dcterms="http://purl.org/dc/terms/" xmlns:xsi="http://www.w3.org/2001/XMLSchema-instance" xsi:type="dcterms:W3CDTF">2025-08-09T18:53:51Z</dcterms:modified>
</cp:coreProperties>
</file>