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s="2" t="inlineStr">
        <is>
          <t>Bitter taggsvamp
Bredbrämad bastardsvärmare
Frygisk spindling
Grangråticka
Kopparspindling
Mindre bastardsvärmare
Sexfläckig bastardsvärmare
Tvillingspindling
Rosenticka
Skarp dropptaggsvamp
Tjockfotad fingersvamp
Nattviol</t>
        </is>
      </c>
      <c r="V5">
        <f>HYPERLINK("https://klasma.github.io/Logging_0319/artfynd/A 27330-2025 artfynd.xlsx", "A 27330-2025")</f>
        <v/>
      </c>
      <c r="W5">
        <f>HYPERLINK("https://klasma.github.io/Logging_0319/kartor/A 27330-2025 karta.png", "A 27330-2025")</f>
        <v/>
      </c>
      <c r="Y5">
        <f>HYPERLINK("https://klasma.github.io/Logging_0319/klagomål/A 27330-2025 FSC-klagomål.docx", "A 27330-2025")</f>
        <v/>
      </c>
      <c r="Z5">
        <f>HYPERLINK("https://klasma.github.io/Logging_0319/klagomålsmail/A 27330-2025 FSC-klagomål mail.docx", "A 27330-2025")</f>
        <v/>
      </c>
      <c r="AA5">
        <f>HYPERLINK("https://klasma.github.io/Logging_0319/tillsyn/A 27330-2025 tillsynsbegäran.docx", "A 27330-2025")</f>
        <v/>
      </c>
      <c r="AB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s="2" t="inlineStr">
        <is>
          <t>Läderdoftande fingersvamp
Svart taggsvamp
Ullticka
Vårärt
Guldlockmossa
Mindre märgborre
Mörk husmossa
Platt fjädermossa
Skogsknipprot
Stubbspretmossa
Tibast
Blåsippa</t>
        </is>
      </c>
      <c r="V6">
        <f>HYPERLINK("https://klasma.github.io/Logging_0319/artfynd/A 51149-2025 artfynd.xlsx", "A 51149-2025")</f>
        <v/>
      </c>
      <c r="W6">
        <f>HYPERLINK("https://klasma.github.io/Logging_0319/kartor/A 51149-2025 karta.png", "A 51149-2025")</f>
        <v/>
      </c>
      <c r="Y6">
        <f>HYPERLINK("https://klasma.github.io/Logging_0319/klagomål/A 51149-2025 FSC-klagomål.docx", "A 51149-2025")</f>
        <v/>
      </c>
      <c r="Z6">
        <f>HYPERLINK("https://klasma.github.io/Logging_0319/klagomålsmail/A 51149-2025 FSC-klagomål mail.docx", "A 51149-2025")</f>
        <v/>
      </c>
      <c r="AA6">
        <f>HYPERLINK("https://klasma.github.io/Logging_0319/tillsyn/A 51149-2025 tillsynsbegäran.docx", "A 51149-2025")</f>
        <v/>
      </c>
      <c r="AB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46222</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46222</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46222</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46222</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46222</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HYPERLINK("https://klasma.github.io/Logging_0319/knärot/A 62278-2025 karta knärot.png", "A 62278-2025")</f>
        <v/>
      </c>
      <c r="Y18">
        <f>HYPERLINK("https://klasma.github.io/Logging_0319/klagomål/A 62278-2025 FSC-klagomål.docx", "A 62278-2025")</f>
        <v/>
      </c>
      <c r="Z18">
        <f>HYPERLINK("https://klasma.github.io/Logging_0319/klagomålsmail/A 62278-2025 FSC-klagomål mail.docx", "A 62278-2025")</f>
        <v/>
      </c>
      <c r="AA18">
        <f>HYPERLINK("https://klasma.github.io/Logging_0319/tillsyn/A 62278-2025 tillsynsbegäran.docx", "A 62278-2025")</f>
        <v/>
      </c>
      <c r="AB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46222</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46222</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s="2" t="inlineStr">
        <is>
          <t>Töcknig trymal
Skuggorangelav
Scharlakansvårskål agg.</t>
        </is>
      </c>
      <c r="V20">
        <f>HYPERLINK("https://klasma.github.io/Logging_0319/artfynd/A 21700-2024 artfynd.xlsx", "A 21700-2024")</f>
        <v/>
      </c>
      <c r="W20">
        <f>HYPERLINK("https://klasma.github.io/Logging_0319/kartor/A 21700-2024 karta.png", "A 21700-2024")</f>
        <v/>
      </c>
      <c r="Y20">
        <f>HYPERLINK("https://klasma.github.io/Logging_0319/klagomål/A 21700-2024 FSC-klagomål.docx", "A 21700-2024")</f>
        <v/>
      </c>
      <c r="Z20">
        <f>HYPERLINK("https://klasma.github.io/Logging_0319/klagomålsmail/A 21700-2024 FSC-klagomål mail.docx", "A 21700-2024")</f>
        <v/>
      </c>
      <c r="AA20">
        <f>HYPERLINK("https://klasma.github.io/Logging_0319/tillsyn/A 21700-2024 tillsynsbegäran.docx", "A 21700-2024")</f>
        <v/>
      </c>
      <c r="AB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46222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46222</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s="2" t="inlineStr">
        <is>
          <t>Klasefibbla
Tvåblad
Kärrknipprot</t>
        </is>
      </c>
      <c r="V22">
        <f>HYPERLINK("https://klasma.github.io/Logging_0319/artfynd/A 61685-2025 artfynd.xlsx", "A 61685-2025")</f>
        <v/>
      </c>
      <c r="W22">
        <f>HYPERLINK("https://klasma.github.io/Logging_0319/kartor/A 61685-2025 karta.png", "A 61685-2025")</f>
        <v/>
      </c>
      <c r="Y22">
        <f>HYPERLINK("https://klasma.github.io/Logging_0319/klagomål/A 61685-2025 FSC-klagomål.docx", "A 61685-2025")</f>
        <v/>
      </c>
      <c r="Z22">
        <f>HYPERLINK("https://klasma.github.io/Logging_0319/klagomålsmail/A 61685-2025 FSC-klagomål mail.docx", "A 61685-2025")</f>
        <v/>
      </c>
      <c r="AA22">
        <f>HYPERLINK("https://klasma.github.io/Logging_0319/tillsyn/A 61685-2025 tillsynsbegäran.docx", "A 61685-2025")</f>
        <v/>
      </c>
      <c r="AB22">
        <f>HYPERLINK("https://klasma.github.io/Logging_0319/tillsynsmail/A 61685-2025 tillsynsbegäran mail.docx", "A 61685-2025")</f>
        <v/>
      </c>
    </row>
    <row r="23" ht="15" customHeight="1">
      <c r="A23" t="inlineStr">
        <is>
          <t>A 15739-2025</t>
        </is>
      </c>
      <c r="B23" t="inlineStr">
        <is>
          <t>avverkningsanmälan</t>
        </is>
      </c>
      <c r="C23" t="inlineStr">
        <is>
          <t>Föryngringsavverkning</t>
        </is>
      </c>
      <c r="D23" s="1" t="n">
        <v>45748</v>
      </c>
      <c r="E23" s="1" t="n">
        <v>46222</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s="2" t="inlineStr">
        <is>
          <t>Brunklöver
Slåtterfibbla</t>
        </is>
      </c>
      <c r="V23">
        <f>HYPERLINK("https://klasma.github.io/Logging_0319/artfynd/A 15739-2025 artfynd.xlsx", "A 15739-2025")</f>
        <v/>
      </c>
      <c r="W23">
        <f>HYPERLINK("https://klasma.github.io/Logging_0319/kartor/A 15739-2025 karta.png", "A 15739-2025")</f>
        <v/>
      </c>
      <c r="Y23">
        <f>HYPERLINK("https://klasma.github.io/Logging_0319/klagomål/A 15739-2025 FSC-klagomål.docx", "A 15739-2025")</f>
        <v/>
      </c>
      <c r="Z23">
        <f>HYPERLINK("https://klasma.github.io/Logging_0319/klagomålsmail/A 15739-2025 FSC-klagomål mail.docx", "A 15739-2025")</f>
        <v/>
      </c>
      <c r="AA23">
        <f>HYPERLINK("https://klasma.github.io/Logging_0319/tillsyn/A 15739-2025 tillsynsbegäran.docx", "A 15739-2025")</f>
        <v/>
      </c>
      <c r="AB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46222</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46222</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46222</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s="2" t="inlineStr">
        <is>
          <t>Knärot
Myskmadra</t>
        </is>
      </c>
      <c r="V26">
        <f>HYPERLINK("https://klasma.github.io/Logging_0319/artfynd/A 58485-2025 artfynd.xlsx", "A 58485-2025")</f>
        <v/>
      </c>
      <c r="W26">
        <f>HYPERLINK("https://klasma.github.io/Logging_0319/kartor/A 58485-2025 karta.png", "A 58485-2025")</f>
        <v/>
      </c>
      <c r="X26">
        <f>HYPERLINK("https://klasma.github.io/Logging_0319/knärot/A 58485-2025 karta knärot.png", "A 58485-2025")</f>
        <v/>
      </c>
      <c r="Y26">
        <f>HYPERLINK("https://klasma.github.io/Logging_0319/klagomål/A 58485-2025 FSC-klagomål.docx", "A 58485-2025")</f>
        <v/>
      </c>
      <c r="Z26">
        <f>HYPERLINK("https://klasma.github.io/Logging_0319/klagomålsmail/A 58485-2025 FSC-klagomål mail.docx", "A 58485-2025")</f>
        <v/>
      </c>
      <c r="AA26">
        <f>HYPERLINK("https://klasma.github.io/Logging_0319/tillsyn/A 58485-2025 tillsynsbegäran.docx", "A 58485-2025")</f>
        <v/>
      </c>
      <c r="AB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46222</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46222</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s="2" t="inlineStr">
        <is>
          <t>Gölgroda</t>
        </is>
      </c>
      <c r="V28">
        <f>HYPERLINK("https://klasma.github.io/Logging_0319/artfynd/A 19303-2024 artfynd.xlsx", "A 19303-2024")</f>
        <v/>
      </c>
      <c r="W28">
        <f>HYPERLINK("https://klasma.github.io/Logging_0319/kartor/A 19303-2024 karta.png", "A 19303-2024")</f>
        <v/>
      </c>
      <c r="Y28">
        <f>HYPERLINK("https://klasma.github.io/Logging_0319/klagomål/A 19303-2024 FSC-klagomål.docx", "A 19303-2024")</f>
        <v/>
      </c>
      <c r="Z28">
        <f>HYPERLINK("https://klasma.github.io/Logging_0319/klagomålsmail/A 19303-2024 FSC-klagomål mail.docx", "A 19303-2024")</f>
        <v/>
      </c>
      <c r="AA28">
        <f>HYPERLINK("https://klasma.github.io/Logging_0319/tillsyn/A 19303-2024 tillsynsbegäran.docx", "A 19303-2024")</f>
        <v/>
      </c>
      <c r="AB28">
        <f>HYPERLINK("https://klasma.github.io/Logging_0319/tillsynsmail/A 19303-2024 tillsynsbegäran mail.docx", "A 19303-2024")</f>
        <v/>
      </c>
    </row>
    <row r="29" ht="15" customHeight="1">
      <c r="A29" t="inlineStr">
        <is>
          <t>A 4131-2026</t>
        </is>
      </c>
      <c r="B29" t="inlineStr">
        <is>
          <t>avverkningsanmälan</t>
        </is>
      </c>
      <c r="C29" t="inlineStr">
        <is>
          <t>Föryngringsavverkning</t>
        </is>
      </c>
      <c r="D29" s="1" t="n">
        <v>46044</v>
      </c>
      <c r="E29" s="1" t="n">
        <v>46222</v>
      </c>
      <c r="F29" t="inlineStr">
        <is>
          <t>UPPSALA LÄN</t>
        </is>
      </c>
      <c r="G29" t="inlineStr">
        <is>
          <t>ÄLVKARLEBY</t>
        </is>
      </c>
      <c r="H29" t="inlineStr">
        <is>
          <t>Bergvik skog öst AB</t>
        </is>
      </c>
      <c r="I29" t="n">
        <v>2.4</v>
      </c>
      <c r="J29" t="n">
        <v>1</v>
      </c>
      <c r="K29" t="n">
        <v>1</v>
      </c>
      <c r="L29" t="n">
        <v>0</v>
      </c>
      <c r="M29" t="n">
        <v>0</v>
      </c>
      <c r="N29" t="n">
        <v>0</v>
      </c>
      <c r="O29" t="n">
        <v>0</v>
      </c>
      <c r="P29" t="n">
        <v>0</v>
      </c>
      <c r="Q29" t="n">
        <v>0</v>
      </c>
      <c r="R29" t="n">
        <v>0</v>
      </c>
      <c r="S29" t="n">
        <v>1</v>
      </c>
      <c r="T29" t="n">
        <v>1</v>
      </c>
      <c r="U29" s="2" t="inlineStr">
        <is>
          <t>Nästrot</t>
        </is>
      </c>
      <c r="V29">
        <f>HYPERLINK("https://klasma.github.io/Logging_0319/artfynd/A 4131-2026 artfynd.xlsx", "A 4131-2026")</f>
        <v/>
      </c>
      <c r="W29">
        <f>HYPERLINK("https://klasma.github.io/Logging_0319/kartor/A 4131-2026 karta.png", "A 4131-2026")</f>
        <v/>
      </c>
      <c r="Y29">
        <f>HYPERLINK("https://klasma.github.io/Logging_0319/klagomål/A 4131-2026 FSC-klagomål.docx", "A 4131-2026")</f>
        <v/>
      </c>
      <c r="Z29">
        <f>HYPERLINK("https://klasma.github.io/Logging_0319/klagomålsmail/A 4131-2026 FSC-klagomål mail.docx", "A 4131-2026")</f>
        <v/>
      </c>
      <c r="AA29">
        <f>HYPERLINK("https://klasma.github.io/Logging_0319/tillsyn/A 4131-2026 tillsynsbegäran.docx", "A 4131-2026")</f>
        <v/>
      </c>
      <c r="AB29">
        <f>HYPERLINK("https://klasma.github.io/Logging_0319/tillsynsmail/A 4131-2026 tillsynsbegäran mail.docx", "A 4131-2026")</f>
        <v/>
      </c>
    </row>
    <row r="30" ht="15" customHeight="1">
      <c r="A30" t="inlineStr">
        <is>
          <t>A 19300-2024</t>
        </is>
      </c>
      <c r="B30" t="inlineStr">
        <is>
          <t>avverkningsanmälan</t>
        </is>
      </c>
      <c r="C30" t="inlineStr">
        <is>
          <t>Föryngringsavverkning</t>
        </is>
      </c>
      <c r="D30" s="1" t="n">
        <v>45428</v>
      </c>
      <c r="E30" s="1" t="n">
        <v>46222</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s="2" t="inlineStr">
        <is>
          <t>Kricka</t>
        </is>
      </c>
      <c r="V30">
        <f>HYPERLINK("https://klasma.github.io/Logging_0319/artfynd/A 19300-2024 artfynd.xlsx", "A 19300-2024")</f>
        <v/>
      </c>
      <c r="W30">
        <f>HYPERLINK("https://klasma.github.io/Logging_0319/kartor/A 19300-2024 karta.png", "A 19300-2024")</f>
        <v/>
      </c>
      <c r="Y30">
        <f>HYPERLINK("https://klasma.github.io/Logging_0319/klagomål/A 19300-2024 FSC-klagomål.docx", "A 19300-2024")</f>
        <v/>
      </c>
      <c r="Z30">
        <f>HYPERLINK("https://klasma.github.io/Logging_0319/klagomålsmail/A 19300-2024 FSC-klagomål mail.docx", "A 19300-2024")</f>
        <v/>
      </c>
      <c r="AA30">
        <f>HYPERLINK("https://klasma.github.io/Logging_0319/tillsyn/A 19300-2024 tillsynsbegäran.docx", "A 19300-2024")</f>
        <v/>
      </c>
      <c r="AB30">
        <f>HYPERLINK("https://klasma.github.io/Logging_0319/tillsynsmail/A 19300-2024 tillsynsbegäran mail.docx", "A 19300-2024")</f>
        <v/>
      </c>
      <c r="AC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46222</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s="2" t="inlineStr">
        <is>
          <t>Lopplummer (aggregat)</t>
        </is>
      </c>
      <c r="V31">
        <f>HYPERLINK("https://klasma.github.io/Logging_0319/artfynd/A 51238-2025 artfynd.xlsx", "A 51238-2025")</f>
        <v/>
      </c>
      <c r="W31">
        <f>HYPERLINK("https://klasma.github.io/Logging_0319/kartor/A 51238-2025 karta.png", "A 51238-2025")</f>
        <v/>
      </c>
      <c r="Y31">
        <f>HYPERLINK("https://klasma.github.io/Logging_0319/klagomål/A 51238-2025 FSC-klagomål.docx", "A 51238-2025")</f>
        <v/>
      </c>
      <c r="Z31">
        <f>HYPERLINK("https://klasma.github.io/Logging_0319/klagomålsmail/A 51238-2025 FSC-klagomål mail.docx", "A 51238-2025")</f>
        <v/>
      </c>
      <c r="AA31">
        <f>HYPERLINK("https://klasma.github.io/Logging_0319/tillsyn/A 51238-2025 tillsynsbegäran.docx", "A 51238-2025")</f>
        <v/>
      </c>
      <c r="AB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46222</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s="2" t="inlineStr">
        <is>
          <t>Grönpyrola</t>
        </is>
      </c>
      <c r="V32">
        <f>HYPERLINK("https://klasma.github.io/Logging_0319/artfynd/A 7286-2023 artfynd.xlsx", "A 7286-2023")</f>
        <v/>
      </c>
      <c r="W32">
        <f>HYPERLINK("https://klasma.github.io/Logging_0319/kartor/A 7286-2023 karta.png", "A 7286-2023")</f>
        <v/>
      </c>
      <c r="Y32">
        <f>HYPERLINK("https://klasma.github.io/Logging_0319/klagomål/A 7286-2023 FSC-klagomål.docx", "A 7286-2023")</f>
        <v/>
      </c>
      <c r="Z32">
        <f>HYPERLINK("https://klasma.github.io/Logging_0319/klagomålsmail/A 7286-2023 FSC-klagomål mail.docx", "A 7286-2023")</f>
        <v/>
      </c>
      <c r="AA32">
        <f>HYPERLINK("https://klasma.github.io/Logging_0319/tillsyn/A 7286-2023 tillsynsbegäran.docx", "A 7286-2023")</f>
        <v/>
      </c>
      <c r="AB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46222</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s="2" t="inlineStr">
        <is>
          <t>Gölgroda</t>
        </is>
      </c>
      <c r="V33">
        <f>HYPERLINK("https://klasma.github.io/Logging_0319/artfynd/A 57734-2025 artfynd.xlsx", "A 57734-2025")</f>
        <v/>
      </c>
      <c r="W33">
        <f>HYPERLINK("https://klasma.github.io/Logging_0319/kartor/A 57734-2025 karta.png", "A 57734-2025")</f>
        <v/>
      </c>
      <c r="Y33">
        <f>HYPERLINK("https://klasma.github.io/Logging_0319/klagomål/A 57734-2025 FSC-klagomål.docx", "A 57734-2025")</f>
        <v/>
      </c>
      <c r="Z33">
        <f>HYPERLINK("https://klasma.github.io/Logging_0319/klagomålsmail/A 57734-2025 FSC-klagomål mail.docx", "A 57734-2025")</f>
        <v/>
      </c>
      <c r="AA33">
        <f>HYPERLINK("https://klasma.github.io/Logging_0319/tillsyn/A 57734-2025 tillsynsbegäran.docx", "A 57734-2025")</f>
        <v/>
      </c>
      <c r="AB33">
        <f>HYPERLINK("https://klasma.github.io/Logging_0319/tillsynsmail/A 57734-2025 tillsynsbegäran mail.docx", "A 57734-2025")</f>
        <v/>
      </c>
    </row>
    <row r="34" ht="15" customHeight="1">
      <c r="A34" t="inlineStr">
        <is>
          <t>A 10455-2022</t>
        </is>
      </c>
      <c r="B34" t="inlineStr">
        <is>
          <t>avverkningsanmälan</t>
        </is>
      </c>
      <c r="C34" t="inlineStr">
        <is>
          <t>Föryngringsavverkning</t>
        </is>
      </c>
      <c r="D34" s="1" t="n">
        <v>44623</v>
      </c>
      <c r="E34" s="1" t="n">
        <v>46222</v>
      </c>
      <c r="F34" t="inlineStr">
        <is>
          <t>UPPSALA LÄN</t>
        </is>
      </c>
      <c r="G34" t="inlineStr">
        <is>
          <t>ÄLVKARLEBY</t>
        </is>
      </c>
      <c r="H34" t="inlineStr">
        <is>
          <t>Bergvik skog öst AB</t>
        </is>
      </c>
      <c r="I34" t="n">
        <v>1.1</v>
      </c>
      <c r="J34" t="n">
        <v>0</v>
      </c>
      <c r="K34" t="n">
        <v>0</v>
      </c>
      <c r="L34" t="n">
        <v>1</v>
      </c>
      <c r="M34" t="n">
        <v>0</v>
      </c>
      <c r="N34" t="n">
        <v>0</v>
      </c>
      <c r="O34" t="n">
        <v>0</v>
      </c>
      <c r="P34" t="n">
        <v>0</v>
      </c>
      <c r="Q34" t="n">
        <v>1</v>
      </c>
      <c r="R34" t="n">
        <v>0</v>
      </c>
      <c r="S34" t="n">
        <v>1</v>
      </c>
      <c r="T34" t="n">
        <v>4</v>
      </c>
      <c r="U34" s="2" t="inlineStr">
        <is>
          <t>Sandviol</t>
        </is>
      </c>
      <c r="V34">
        <f>HYPERLINK("https://klasma.github.io/Logging_0319/artfynd/A 10455-2022 artfynd.xlsx", "A 10455-2022")</f>
        <v/>
      </c>
      <c r="W34">
        <f>HYPERLINK("https://klasma.github.io/Logging_0319/kartor/A 10455-2022 karta.png", "A 10455-2022")</f>
        <v/>
      </c>
      <c r="Y34">
        <f>HYPERLINK("https://klasma.github.io/Logging_0319/klagomål/A 10455-2022 FSC-klagomål.docx", "A 10455-2022")</f>
        <v/>
      </c>
      <c r="Z34">
        <f>HYPERLINK("https://klasma.github.io/Logging_0319/klagomålsmail/A 10455-2022 FSC-klagomål mail.docx", "A 10455-2022")</f>
        <v/>
      </c>
      <c r="AA34">
        <f>HYPERLINK("https://klasma.github.io/Logging_0319/tillsyn/A 10455-2022 tillsynsbegäran.docx", "A 10455-2022")</f>
        <v/>
      </c>
      <c r="AB34">
        <f>HYPERLINK("https://klasma.github.io/Logging_0319/tillsynsmail/A 10455-2022 tillsynsbegäran mail.docx", "A 10455-2022")</f>
        <v/>
      </c>
    </row>
    <row r="35" ht="15" customHeight="1">
      <c r="A35" t="inlineStr">
        <is>
          <t>A 59993-2025</t>
        </is>
      </c>
      <c r="B35" t="inlineStr">
        <is>
          <t>avverkningsanmälan</t>
        </is>
      </c>
      <c r="C35" t="inlineStr">
        <is>
          <t>Avverkning för att bevara och utveckla /försöksver</t>
        </is>
      </c>
      <c r="D35" s="1" t="n">
        <v>45993</v>
      </c>
      <c r="E35" s="1" t="n">
        <v>46222</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s="2" t="inlineStr">
        <is>
          <t>Skogsknipprot</t>
        </is>
      </c>
      <c r="V35">
        <f>HYPERLINK("https://klasma.github.io/Logging_0319/artfynd/A 59993-2025 artfynd.xlsx", "A 59993-2025")</f>
        <v/>
      </c>
      <c r="W35">
        <f>HYPERLINK("https://klasma.github.io/Logging_0319/kartor/A 59993-2025 karta.png", "A 59993-2025")</f>
        <v/>
      </c>
      <c r="Y35">
        <f>HYPERLINK("https://klasma.github.io/Logging_0319/klagomål/A 59993-2025 FSC-klagomål.docx", "A 59993-2025")</f>
        <v/>
      </c>
      <c r="Z35">
        <f>HYPERLINK("https://klasma.github.io/Logging_0319/klagomålsmail/A 59993-2025 FSC-klagomål mail.docx", "A 59993-2025")</f>
        <v/>
      </c>
      <c r="AA35">
        <f>HYPERLINK("https://klasma.github.io/Logging_0319/tillsyn/A 59993-2025 tillsynsbegäran.docx", "A 59993-2025")</f>
        <v/>
      </c>
      <c r="AB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46222</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s="2" t="inlineStr">
        <is>
          <t>Sparvuggla</t>
        </is>
      </c>
      <c r="V36">
        <f>HYPERLINK("https://klasma.github.io/Logging_0319/artfynd/A 60829-2025 artfynd.xlsx", "A 60829-2025")</f>
        <v/>
      </c>
      <c r="W36">
        <f>HYPERLINK("https://klasma.github.io/Logging_0319/kartor/A 60829-2025 karta.png", "A 60829-2025")</f>
        <v/>
      </c>
      <c r="Y36">
        <f>HYPERLINK("https://klasma.github.io/Logging_0319/klagomål/A 60829-2025 FSC-klagomål.docx", "A 60829-2025")</f>
        <v/>
      </c>
      <c r="Z36">
        <f>HYPERLINK("https://klasma.github.io/Logging_0319/klagomålsmail/A 60829-2025 FSC-klagomål mail.docx", "A 60829-2025")</f>
        <v/>
      </c>
      <c r="AA36">
        <f>HYPERLINK("https://klasma.github.io/Logging_0319/tillsyn/A 60829-2025 tillsynsbegäran.docx", "A 60829-2025")</f>
        <v/>
      </c>
      <c r="AB36">
        <f>HYPERLINK("https://klasma.github.io/Logging_0319/tillsynsmail/A 60829-2025 tillsynsbegäran mail.docx", "A 60829-2025")</f>
        <v/>
      </c>
      <c r="AC36">
        <f>HYPERLINK("https://klasma.github.io/Logging_0319/fåglar/A 60829-2025 prioriterade fågelarter.docx", "A 60829-2025")</f>
        <v/>
      </c>
    </row>
    <row r="37" ht="15" customHeight="1">
      <c r="A37" t="inlineStr">
        <is>
          <t>A 14127-2026</t>
        </is>
      </c>
      <c r="B37" t="inlineStr">
        <is>
          <t>avverkningsanmälan</t>
        </is>
      </c>
      <c r="C37" t="inlineStr">
        <is>
          <t>Föryngringsavverkning</t>
        </is>
      </c>
      <c r="D37" s="1" t="n">
        <v>46099</v>
      </c>
      <c r="E37" s="1" t="n">
        <v>46222</v>
      </c>
      <c r="F37" t="inlineStr">
        <is>
          <t>UPPSALA LÄN</t>
        </is>
      </c>
      <c r="G37" t="inlineStr">
        <is>
          <t>ÄLVKARLEBY</t>
        </is>
      </c>
      <c r="I37" t="n">
        <v>1.7</v>
      </c>
      <c r="J37" t="n">
        <v>0</v>
      </c>
      <c r="K37" t="n">
        <v>0</v>
      </c>
      <c r="L37" t="n">
        <v>0</v>
      </c>
      <c r="M37" t="n">
        <v>1</v>
      </c>
      <c r="N37" t="n">
        <v>0</v>
      </c>
      <c r="O37" t="n">
        <v>0</v>
      </c>
      <c r="P37" t="n">
        <v>0</v>
      </c>
      <c r="Q37" t="n">
        <v>1</v>
      </c>
      <c r="R37" t="n">
        <v>1</v>
      </c>
      <c r="S37" t="n">
        <v>1</v>
      </c>
      <c r="T37" t="n">
        <v>1</v>
      </c>
      <c r="U37" s="2" t="inlineStr">
        <is>
          <t>Grangråticka</t>
        </is>
      </c>
      <c r="V37">
        <f>HYPERLINK("https://klasma.github.io/Logging_0319/artfynd/A 14127-2026 artfynd.xlsx", "A 14127-2026")</f>
        <v/>
      </c>
      <c r="W37">
        <f>HYPERLINK("https://klasma.github.io/Logging_0319/kartor/A 14127-2026 karta.png", "A 14127-2026")</f>
        <v/>
      </c>
      <c r="Y37">
        <f>HYPERLINK("https://klasma.github.io/Logging_0319/klagomål/A 14127-2026 FSC-klagomål.docx", "A 14127-2026")</f>
        <v/>
      </c>
      <c r="Z37">
        <f>HYPERLINK("https://klasma.github.io/Logging_0319/klagomålsmail/A 14127-2026 FSC-klagomål mail.docx", "A 14127-2026")</f>
        <v/>
      </c>
      <c r="AA37">
        <f>HYPERLINK("https://klasma.github.io/Logging_0319/tillsyn/A 14127-2026 tillsynsbegäran.docx", "A 14127-2026")</f>
        <v/>
      </c>
      <c r="AB37">
        <f>HYPERLINK("https://klasma.github.io/Logging_0319/tillsynsmail/A 14127-2026 tillsynsbegäran mail.docx", "A 14127-2026")</f>
        <v/>
      </c>
    </row>
    <row r="38" ht="15" customHeight="1">
      <c r="A38" t="inlineStr">
        <is>
          <t>A 63004-2025</t>
        </is>
      </c>
      <c r="B38" t="inlineStr">
        <is>
          <t>avverkningsanmälan</t>
        </is>
      </c>
      <c r="C38" t="inlineStr">
        <is>
          <t>Föryngringsavverkning</t>
        </is>
      </c>
      <c r="D38" s="1" t="n">
        <v>46009</v>
      </c>
      <c r="E38" s="1" t="n">
        <v>46222</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s="2" t="inlineStr">
        <is>
          <t>Skogsknipprot</t>
        </is>
      </c>
      <c r="V38">
        <f>HYPERLINK("https://klasma.github.io/Logging_0319/artfynd/A 63004-2025 artfynd.xlsx", "A 63004-2025")</f>
        <v/>
      </c>
      <c r="W38">
        <f>HYPERLINK("https://klasma.github.io/Logging_0319/kartor/A 63004-2025 karta.png", "A 63004-2025")</f>
        <v/>
      </c>
      <c r="Y38">
        <f>HYPERLINK("https://klasma.github.io/Logging_0319/klagomål/A 63004-2025 FSC-klagomål.docx", "A 63004-2025")</f>
        <v/>
      </c>
      <c r="Z38">
        <f>HYPERLINK("https://klasma.github.io/Logging_0319/klagomålsmail/A 63004-2025 FSC-klagomål mail.docx", "A 63004-2025")</f>
        <v/>
      </c>
      <c r="AA38">
        <f>HYPERLINK("https://klasma.github.io/Logging_0319/tillsyn/A 63004-2025 tillsynsbegäran.docx", "A 63004-2025")</f>
        <v/>
      </c>
      <c r="AB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46222</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s="2" t="inlineStr">
        <is>
          <t>Trana</t>
        </is>
      </c>
      <c r="V39">
        <f>HYPERLINK("https://klasma.github.io/Logging_0319/artfynd/A 70017-2021 artfynd.xlsx", "A 70017-2021")</f>
        <v/>
      </c>
      <c r="W39">
        <f>HYPERLINK("https://klasma.github.io/Logging_0319/kartor/A 70017-2021 karta.png", "A 70017-2021")</f>
        <v/>
      </c>
      <c r="Y39">
        <f>HYPERLINK("https://klasma.github.io/Logging_0319/klagomål/A 70017-2021 FSC-klagomål.docx", "A 70017-2021")</f>
        <v/>
      </c>
      <c r="Z39">
        <f>HYPERLINK("https://klasma.github.io/Logging_0319/klagomålsmail/A 70017-2021 FSC-klagomål mail.docx", "A 70017-2021")</f>
        <v/>
      </c>
      <c r="AA39">
        <f>HYPERLINK("https://klasma.github.io/Logging_0319/tillsyn/A 70017-2021 tillsynsbegäran.docx", "A 70017-2021")</f>
        <v/>
      </c>
      <c r="AB39">
        <f>HYPERLINK("https://klasma.github.io/Logging_0319/tillsynsmail/A 70017-2021 tillsynsbegäran mail.docx", "A 70017-2021")</f>
        <v/>
      </c>
      <c r="AC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46222</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s="2" t="inlineStr">
        <is>
          <t>Tibast</t>
        </is>
      </c>
      <c r="V40">
        <f>HYPERLINK("https://klasma.github.io/Logging_0319/artfynd/A 1673-2026 artfynd.xlsx", "A 1673-2026")</f>
        <v/>
      </c>
      <c r="W40">
        <f>HYPERLINK("https://klasma.github.io/Logging_0319/kartor/A 1673-2026 karta.png", "A 1673-2026")</f>
        <v/>
      </c>
      <c r="Y40">
        <f>HYPERLINK("https://klasma.github.io/Logging_0319/klagomål/A 1673-2026 FSC-klagomål.docx", "A 1673-2026")</f>
        <v/>
      </c>
      <c r="Z40">
        <f>HYPERLINK("https://klasma.github.io/Logging_0319/klagomålsmail/A 1673-2026 FSC-klagomål mail.docx", "A 1673-2026")</f>
        <v/>
      </c>
      <c r="AA40">
        <f>HYPERLINK("https://klasma.github.io/Logging_0319/tillsyn/A 1673-2026 tillsynsbegäran.docx", "A 1673-2026")</f>
        <v/>
      </c>
      <c r="AB40">
        <f>HYPERLINK("https://klasma.github.io/Logging_0319/tillsynsmail/A 1673-2026 tillsynsbegäran mail.docx", "A 1673-2026")</f>
        <v/>
      </c>
    </row>
    <row r="41" ht="15" customHeight="1">
      <c r="A41" t="inlineStr">
        <is>
          <t>A 19304-2024</t>
        </is>
      </c>
      <c r="B41" t="inlineStr">
        <is>
          <t>avverkningsanmälan</t>
        </is>
      </c>
      <c r="C41" t="inlineStr">
        <is>
          <t>Föryngringsavverkning</t>
        </is>
      </c>
      <c r="D41" s="1" t="n">
        <v>45428</v>
      </c>
      <c r="E41" s="1" t="n">
        <v>46222</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s="2" t="inlineStr">
        <is>
          <t>Mindre bastardsvärmare</t>
        </is>
      </c>
      <c r="V41">
        <f>HYPERLINK("https://klasma.github.io/Logging_0319/artfynd/A 19304-2024 artfynd.xlsx", "A 19304-2024")</f>
        <v/>
      </c>
      <c r="W41">
        <f>HYPERLINK("https://klasma.github.io/Logging_0319/kartor/A 19304-2024 karta.png", "A 19304-2024")</f>
        <v/>
      </c>
      <c r="Y41">
        <f>HYPERLINK("https://klasma.github.io/Logging_0319/klagomål/A 19304-2024 FSC-klagomål.docx", "A 19304-2024")</f>
        <v/>
      </c>
      <c r="Z41">
        <f>HYPERLINK("https://klasma.github.io/Logging_0319/klagomålsmail/A 19304-2024 FSC-klagomål mail.docx", "A 19304-2024")</f>
        <v/>
      </c>
      <c r="AA41">
        <f>HYPERLINK("https://klasma.github.io/Logging_0319/tillsyn/A 19304-2024 tillsynsbegäran.docx", "A 19304-2024")</f>
        <v/>
      </c>
      <c r="AB41">
        <f>HYPERLINK("https://klasma.github.io/Logging_0319/tillsynsmail/A 19304-2024 tillsynsbegäran mail.docx", "A 19304-2024")</f>
        <v/>
      </c>
    </row>
    <row r="42" ht="15" customHeight="1">
      <c r="A42" t="inlineStr">
        <is>
          <t>A 43285-2023</t>
        </is>
      </c>
      <c r="B42" t="inlineStr">
        <is>
          <t>avverkningsanmälan</t>
        </is>
      </c>
      <c r="C42" t="inlineStr">
        <is>
          <t>Föryngringsavverkning</t>
        </is>
      </c>
      <c r="D42" s="1" t="n">
        <v>45183</v>
      </c>
      <c r="E42" s="1" t="n">
        <v>46222</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s="2" t="inlineStr">
        <is>
          <t>Vanlig groda</t>
        </is>
      </c>
      <c r="V42">
        <f>HYPERLINK("https://klasma.github.io/Logging_0319/artfynd/A 43285-2023 artfynd.xlsx", "A 43285-2023")</f>
        <v/>
      </c>
      <c r="W42">
        <f>HYPERLINK("https://klasma.github.io/Logging_0319/kartor/A 43285-2023 karta.png", "A 43285-2023")</f>
        <v/>
      </c>
      <c r="Y42">
        <f>HYPERLINK("https://klasma.github.io/Logging_0319/klagomål/A 43285-2023 FSC-klagomål.docx", "A 43285-2023")</f>
        <v/>
      </c>
      <c r="Z42">
        <f>HYPERLINK("https://klasma.github.io/Logging_0319/klagomålsmail/A 43285-2023 FSC-klagomål mail.docx", "A 43285-2023")</f>
        <v/>
      </c>
      <c r="AA42">
        <f>HYPERLINK("https://klasma.github.io/Logging_0319/tillsyn/A 43285-2023 tillsynsbegäran.docx", "A 43285-2023")</f>
        <v/>
      </c>
      <c r="AB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46222</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s="2" t="inlineStr">
        <is>
          <t>Månlåsbräken</t>
        </is>
      </c>
      <c r="V43">
        <f>HYPERLINK("https://klasma.github.io/Logging_0319/artfynd/A 3950-2025 artfynd.xlsx", "A 3950-2025")</f>
        <v/>
      </c>
      <c r="W43">
        <f>HYPERLINK("https://klasma.github.io/Logging_0319/kartor/A 3950-2025 karta.png", "A 3950-2025")</f>
        <v/>
      </c>
      <c r="Y43">
        <f>HYPERLINK("https://klasma.github.io/Logging_0319/klagomål/A 3950-2025 FSC-klagomål.docx", "A 3950-2025")</f>
        <v/>
      </c>
      <c r="Z43">
        <f>HYPERLINK("https://klasma.github.io/Logging_0319/klagomålsmail/A 3950-2025 FSC-klagomål mail.docx", "A 3950-2025")</f>
        <v/>
      </c>
      <c r="AA43">
        <f>HYPERLINK("https://klasma.github.io/Logging_0319/tillsyn/A 3950-2025 tillsynsbegäran.docx", "A 3950-2025")</f>
        <v/>
      </c>
      <c r="AB43">
        <f>HYPERLINK("https://klasma.github.io/Logging_0319/tillsynsmail/A 3950-2025 tillsynsbegäran mail.docx", "A 3950-2025")</f>
        <v/>
      </c>
    </row>
    <row r="44" ht="15" customHeight="1">
      <c r="A44" t="inlineStr">
        <is>
          <t>A 30236-2026</t>
        </is>
      </c>
      <c r="B44" t="inlineStr">
        <is>
          <t>avverkningsanmälan</t>
        </is>
      </c>
      <c r="C44" t="inlineStr">
        <is>
          <t>Föryngringsavverkning</t>
        </is>
      </c>
      <c r="D44" s="1" t="n">
        <v>46206</v>
      </c>
      <c r="E44" s="1" t="n">
        <v>46222</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s="2" t="inlineStr">
        <is>
          <t>Nästrot</t>
        </is>
      </c>
      <c r="V44">
        <f>HYPERLINK("https://klasma.github.io/Logging_0319/artfynd/A 30236-2026 artfynd.xlsx", "A 30236-2026")</f>
        <v/>
      </c>
      <c r="W44">
        <f>HYPERLINK("https://klasma.github.io/Logging_0319/kartor/A 30236-2026 karta.png", "A 30236-2026")</f>
        <v/>
      </c>
      <c r="Y44">
        <f>HYPERLINK("https://klasma.github.io/Logging_0319/klagomål/A 30236-2026 FSC-klagomål.docx", "A 30236-2026")</f>
        <v/>
      </c>
      <c r="Z44">
        <f>HYPERLINK("https://klasma.github.io/Logging_0319/klagomålsmail/A 30236-2026 FSC-klagomål mail.docx", "A 30236-2026")</f>
        <v/>
      </c>
      <c r="AA44">
        <f>HYPERLINK("https://klasma.github.io/Logging_0319/tillsyn/A 30236-2026 tillsynsbegäran.docx", "A 30236-2026")</f>
        <v/>
      </c>
      <c r="AB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46222</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s="2" t="inlineStr">
        <is>
          <t>Nästrot</t>
        </is>
      </c>
      <c r="V45">
        <f>HYPERLINK("https://klasma.github.io/Logging_0319/artfynd/A 30233-2026 artfynd.xlsx", "A 30233-2026")</f>
        <v/>
      </c>
      <c r="W45">
        <f>HYPERLINK("https://klasma.github.io/Logging_0319/kartor/A 30233-2026 karta.png", "A 30233-2026")</f>
        <v/>
      </c>
      <c r="Y45">
        <f>HYPERLINK("https://klasma.github.io/Logging_0319/klagomål/A 30233-2026 FSC-klagomål.docx", "A 30233-2026")</f>
        <v/>
      </c>
      <c r="Z45">
        <f>HYPERLINK("https://klasma.github.io/Logging_0319/klagomålsmail/A 30233-2026 FSC-klagomål mail.docx", "A 30233-2026")</f>
        <v/>
      </c>
      <c r="AA45">
        <f>HYPERLINK("https://klasma.github.io/Logging_0319/tillsyn/A 30233-2026 tillsynsbegäran.docx", "A 30233-2026")</f>
        <v/>
      </c>
      <c r="AB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46222</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46222</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36216-2022</t>
        </is>
      </c>
      <c r="B48" t="inlineStr">
        <is>
          <t>avverkningsanmälan</t>
        </is>
      </c>
      <c r="C48" t="inlineStr">
        <is>
          <t>Avverkning för annat ändamål</t>
        </is>
      </c>
      <c r="D48" s="1" t="n">
        <v>44803</v>
      </c>
      <c r="E48" s="1" t="n">
        <v>46222</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s="2" t="inlineStr"/>
    </row>
    <row r="49" ht="15" customHeight="1">
      <c r="A49" t="inlineStr">
        <is>
          <t>A 2184-2024</t>
        </is>
      </c>
      <c r="B49" t="inlineStr">
        <is>
          <t>avverkningsanmälan</t>
        </is>
      </c>
      <c r="C49" t="inlineStr">
        <is>
          <t>Föryngringsavverkning</t>
        </is>
      </c>
      <c r="D49" s="1" t="n">
        <v>45309</v>
      </c>
      <c r="E49" s="1" t="n">
        <v>46222</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s="2" t="inlineStr"/>
    </row>
    <row r="50" ht="15" customHeight="1">
      <c r="A50" t="inlineStr">
        <is>
          <t>A 38226-2023</t>
        </is>
      </c>
      <c r="B50" t="inlineStr">
        <is>
          <t>avverkningsanmälan</t>
        </is>
      </c>
      <c r="C50" t="inlineStr">
        <is>
          <t>Föryngringsavverkning</t>
        </is>
      </c>
      <c r="D50" s="1" t="n">
        <v>45161</v>
      </c>
      <c r="E50" s="1" t="n">
        <v>46222</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s="2" t="inlineStr"/>
    </row>
    <row r="51" ht="15" customHeight="1">
      <c r="A51" t="inlineStr">
        <is>
          <t>A 4134-2026</t>
        </is>
      </c>
      <c r="B51" t="inlineStr">
        <is>
          <t>avverkningsanmälan</t>
        </is>
      </c>
      <c r="C51" t="inlineStr">
        <is>
          <t>Föryngringsavverkning</t>
        </is>
      </c>
      <c r="D51" s="1" t="n">
        <v>46044</v>
      </c>
      <c r="E51" s="1" t="n">
        <v>46222</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s="2" t="inlineStr"/>
    </row>
    <row r="52" ht="15" customHeight="1">
      <c r="A52" t="inlineStr">
        <is>
          <t>A 45372-2024</t>
        </is>
      </c>
      <c r="B52" t="inlineStr">
        <is>
          <t>avverkningsanmälan</t>
        </is>
      </c>
      <c r="C52" t="inlineStr">
        <is>
          <t>Föryngringsavverkning</t>
        </is>
      </c>
      <c r="D52" s="1" t="n">
        <v>45576</v>
      </c>
      <c r="E52" s="1" t="n">
        <v>46222</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s="2" t="inlineStr"/>
    </row>
    <row r="53" ht="15" customHeight="1">
      <c r="A53" t="inlineStr">
        <is>
          <t>A 16990-2022</t>
        </is>
      </c>
      <c r="B53" t="inlineStr">
        <is>
          <t>avverkningsanmälan</t>
        </is>
      </c>
      <c r="C53" t="inlineStr">
        <is>
          <t>Föryngringsavverkning</t>
        </is>
      </c>
      <c r="D53" s="1" t="n">
        <v>44676</v>
      </c>
      <c r="E53" s="1" t="n">
        <v>46222</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s="2" t="inlineStr"/>
    </row>
    <row r="54" ht="15" customHeight="1">
      <c r="A54" t="inlineStr">
        <is>
          <t>A 26664-2025</t>
        </is>
      </c>
      <c r="B54" t="inlineStr">
        <is>
          <t>avverkningsanmälan</t>
        </is>
      </c>
      <c r="C54" t="inlineStr">
        <is>
          <t>Avverkning för att bevara och utveckla /försöksver</t>
        </is>
      </c>
      <c r="D54" s="1" t="n">
        <v>45810</v>
      </c>
      <c r="E54" s="1" t="n">
        <v>46222</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s="2" t="inlineStr"/>
    </row>
    <row r="55" ht="15" customHeight="1">
      <c r="A55" t="inlineStr">
        <is>
          <t>A 32187-2025</t>
        </is>
      </c>
      <c r="B55" t="inlineStr">
        <is>
          <t>avverkningsanmälan</t>
        </is>
      </c>
      <c r="C55" t="inlineStr">
        <is>
          <t>Föryngringsavverkning</t>
        </is>
      </c>
      <c r="D55" s="1" t="n">
        <v>45835</v>
      </c>
      <c r="E55" s="1" t="n">
        <v>46222</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s="2" t="inlineStr"/>
    </row>
    <row r="56" ht="15" customHeight="1">
      <c r="A56" t="inlineStr">
        <is>
          <t>A 45033-2025</t>
        </is>
      </c>
      <c r="B56" t="inlineStr">
        <is>
          <t>avverkningsanmälan</t>
        </is>
      </c>
      <c r="C56" t="inlineStr">
        <is>
          <t>Föryngringsavverkning</t>
        </is>
      </c>
      <c r="D56" s="1" t="n">
        <v>45918</v>
      </c>
      <c r="E56" s="1" t="n">
        <v>46222</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s="2" t="inlineStr"/>
    </row>
    <row r="57" ht="15" customHeight="1">
      <c r="A57" t="inlineStr">
        <is>
          <t>A 46510-2025</t>
        </is>
      </c>
      <c r="B57" t="inlineStr">
        <is>
          <t>avverkningsanmälan</t>
        </is>
      </c>
      <c r="C57" t="inlineStr">
        <is>
          <t>Föryngringsavverkning</t>
        </is>
      </c>
      <c r="D57" s="1" t="n">
        <v>45925</v>
      </c>
      <c r="E57" s="1" t="n">
        <v>46222</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s="2" t="inlineStr"/>
    </row>
    <row r="58" ht="15" customHeight="1">
      <c r="A58" t="inlineStr">
        <is>
          <t>A 50398-2025</t>
        </is>
      </c>
      <c r="B58" t="inlineStr">
        <is>
          <t>avverkningsanmälan</t>
        </is>
      </c>
      <c r="C58" t="inlineStr">
        <is>
          <t>Avverkning för att bevara och utveckla /försöksver</t>
        </is>
      </c>
      <c r="D58" s="1" t="n">
        <v>45944</v>
      </c>
      <c r="E58" s="1" t="n">
        <v>46222</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s="2" t="inlineStr"/>
    </row>
    <row r="59" ht="15" customHeight="1">
      <c r="A59" t="inlineStr">
        <is>
          <t>A 50371-2025</t>
        </is>
      </c>
      <c r="B59" t="inlineStr">
        <is>
          <t>avverkningsanmälan</t>
        </is>
      </c>
      <c r="C59" t="inlineStr">
        <is>
          <t>Föryngringsavverkning</t>
        </is>
      </c>
      <c r="D59" s="1" t="n">
        <v>45944</v>
      </c>
      <c r="E59" s="1" t="n">
        <v>46222</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s="2" t="inlineStr"/>
    </row>
    <row r="60" ht="15" customHeight="1">
      <c r="A60" t="inlineStr">
        <is>
          <t>A 51237-2025</t>
        </is>
      </c>
      <c r="B60" t="inlineStr">
        <is>
          <t>avverkningsanmälan</t>
        </is>
      </c>
      <c r="C60" t="inlineStr">
        <is>
          <t>Föryngringsavverkning</t>
        </is>
      </c>
      <c r="D60" s="1" t="n">
        <v>45947</v>
      </c>
      <c r="E60" s="1" t="n">
        <v>46222</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s="2" t="inlineStr"/>
    </row>
    <row r="61" ht="15" customHeight="1">
      <c r="A61" t="inlineStr">
        <is>
          <t>A 52477-2025</t>
        </is>
      </c>
      <c r="B61" t="inlineStr">
        <is>
          <t>avverkningsanmälan</t>
        </is>
      </c>
      <c r="C61" t="inlineStr">
        <is>
          <t>Föryngringsavverkning</t>
        </is>
      </c>
      <c r="D61" s="1" t="n">
        <v>45954</v>
      </c>
      <c r="E61" s="1" t="n">
        <v>46222</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s="2" t="inlineStr"/>
    </row>
    <row r="62" ht="15" customHeight="1">
      <c r="A62" t="inlineStr">
        <is>
          <t>A 52498-2025</t>
        </is>
      </c>
      <c r="B62" t="inlineStr">
        <is>
          <t>avverkningsanmälan</t>
        </is>
      </c>
      <c r="C62" t="inlineStr">
        <is>
          <t>Föryngringsavverkning</t>
        </is>
      </c>
      <c r="D62" s="1" t="n">
        <v>45954</v>
      </c>
      <c r="E62" s="1" t="n">
        <v>46222</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s="2" t="inlineStr"/>
    </row>
    <row r="63" ht="15" customHeight="1">
      <c r="A63" t="inlineStr">
        <is>
          <t>A 53173-2025</t>
        </is>
      </c>
      <c r="B63" t="inlineStr">
        <is>
          <t>avverkningsanmälan</t>
        </is>
      </c>
      <c r="C63" t="inlineStr">
        <is>
          <t>Föryngringsavverkning</t>
        </is>
      </c>
      <c r="D63" s="1" t="n">
        <v>45958</v>
      </c>
      <c r="E63" s="1" t="n">
        <v>46222</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s="2" t="inlineStr"/>
    </row>
    <row r="64" ht="15" customHeight="1">
      <c r="A64" t="inlineStr">
        <is>
          <t>A 53184-2025</t>
        </is>
      </c>
      <c r="B64" t="inlineStr">
        <is>
          <t>avverkningsanmälan</t>
        </is>
      </c>
      <c r="C64" t="inlineStr">
        <is>
          <t>Föryngringsavverkning</t>
        </is>
      </c>
      <c r="D64" s="1" t="n">
        <v>45958</v>
      </c>
      <c r="E64" s="1" t="n">
        <v>46222</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s="2" t="inlineStr"/>
    </row>
    <row r="65" ht="15" customHeight="1">
      <c r="A65" t="inlineStr">
        <is>
          <t>A 26815-2022</t>
        </is>
      </c>
      <c r="B65" t="inlineStr">
        <is>
          <t>avverkningsanmälan</t>
        </is>
      </c>
      <c r="C65" t="inlineStr">
        <is>
          <t>Föryngringsavverkning</t>
        </is>
      </c>
      <c r="D65" s="1" t="n">
        <v>44740</v>
      </c>
      <c r="E65" s="1" t="n">
        <v>46222</v>
      </c>
      <c r="F65" t="inlineStr">
        <is>
          <t>UPPSALA LÄN</t>
        </is>
      </c>
      <c r="G65" t="inlineStr">
        <is>
          <t>ÄLVKARLEBY</t>
        </is>
      </c>
      <c r="I65" t="n">
        <v>5.8</v>
      </c>
      <c r="J65" t="n">
        <v>0</v>
      </c>
      <c r="K65" t="n">
        <v>0</v>
      </c>
      <c r="L65" t="n">
        <v>0</v>
      </c>
      <c r="M65" t="n">
        <v>0</v>
      </c>
      <c r="N65" t="n">
        <v>0</v>
      </c>
      <c r="O65" t="n">
        <v>0</v>
      </c>
      <c r="P65" t="n">
        <v>0</v>
      </c>
      <c r="Q65" t="n">
        <v>0</v>
      </c>
      <c r="R65" t="n">
        <v>0</v>
      </c>
      <c r="S65" t="n">
        <v>0</v>
      </c>
      <c r="T65" t="n">
        <v>0</v>
      </c>
      <c r="U65" s="2" t="inlineStr"/>
    </row>
    <row r="66" ht="15" customHeight="1">
      <c r="A66" t="inlineStr">
        <is>
          <t>A 9394-2026</t>
        </is>
      </c>
      <c r="B66" t="inlineStr">
        <is>
          <t>avverkningsanmälan</t>
        </is>
      </c>
      <c r="C66" t="inlineStr">
        <is>
          <t>Föryngringsavverkning</t>
        </is>
      </c>
      <c r="D66" s="1" t="n">
        <v>46071</v>
      </c>
      <c r="E66" s="1" t="n">
        <v>46222</v>
      </c>
      <c r="F66" t="inlineStr">
        <is>
          <t>UPPSALA LÄN</t>
        </is>
      </c>
      <c r="G66" t="inlineStr">
        <is>
          <t>ÄLVKARLEBY</t>
        </is>
      </c>
      <c r="H66" t="inlineStr">
        <is>
          <t>Bergvik skog väst AB</t>
        </is>
      </c>
      <c r="I66" t="n">
        <v>2.2</v>
      </c>
      <c r="J66" t="n">
        <v>0</v>
      </c>
      <c r="K66" t="n">
        <v>0</v>
      </c>
      <c r="L66" t="n">
        <v>0</v>
      </c>
      <c r="M66" t="n">
        <v>0</v>
      </c>
      <c r="N66" t="n">
        <v>0</v>
      </c>
      <c r="O66" t="n">
        <v>0</v>
      </c>
      <c r="P66" t="n">
        <v>0</v>
      </c>
      <c r="Q66" t="n">
        <v>0</v>
      </c>
      <c r="R66" t="n">
        <v>0</v>
      </c>
      <c r="S66" t="n">
        <v>0</v>
      </c>
      <c r="T66" t="n">
        <v>0</v>
      </c>
      <c r="U66" s="2" t="inlineStr"/>
    </row>
    <row r="67" ht="15" customHeight="1">
      <c r="A67" t="inlineStr">
        <is>
          <t>A 11467-2026</t>
        </is>
      </c>
      <c r="B67" t="inlineStr">
        <is>
          <t>avverkningsanmälan</t>
        </is>
      </c>
      <c r="C67" t="inlineStr">
        <is>
          <t>Föryngringsavverkning</t>
        </is>
      </c>
      <c r="D67" s="1" t="n">
        <v>46083</v>
      </c>
      <c r="E67" s="1" t="n">
        <v>46222</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s="2" t="inlineStr"/>
    </row>
    <row r="68" ht="15" customHeight="1">
      <c r="A68" t="inlineStr">
        <is>
          <t>A 56861-2025</t>
        </is>
      </c>
      <c r="B68" t="inlineStr">
        <is>
          <t>avverkningsanmälan</t>
        </is>
      </c>
      <c r="C68" t="inlineStr">
        <is>
          <t>Avverkning för att bevara och utveckla /försöksver</t>
        </is>
      </c>
      <c r="D68" s="1" t="n">
        <v>45978</v>
      </c>
      <c r="E68" s="1" t="n">
        <v>46222</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s="2" t="inlineStr"/>
    </row>
    <row r="69" ht="15" customHeight="1">
      <c r="A69" t="inlineStr">
        <is>
          <t>A 58168-2025</t>
        </is>
      </c>
      <c r="B69" t="inlineStr">
        <is>
          <t>avverkningsanmälan</t>
        </is>
      </c>
      <c r="C69" t="inlineStr">
        <is>
          <t>Föryngringsavverkning</t>
        </is>
      </c>
      <c r="D69" s="1" t="n">
        <v>45982</v>
      </c>
      <c r="E69" s="1" t="n">
        <v>46222</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s="2" t="inlineStr"/>
    </row>
    <row r="70" ht="15" customHeight="1">
      <c r="A70" t="inlineStr">
        <is>
          <t>A 11848-2026</t>
        </is>
      </c>
      <c r="B70" t="inlineStr">
        <is>
          <t>avverkningsanmälan</t>
        </is>
      </c>
      <c r="C70" t="inlineStr">
        <is>
          <t>Föryngringsavverkning</t>
        </is>
      </c>
      <c r="D70" s="1" t="n">
        <v>46085</v>
      </c>
      <c r="E70" s="1" t="n">
        <v>46222</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s="2" t="inlineStr"/>
    </row>
    <row r="71" ht="15" customHeight="1">
      <c r="A71" t="inlineStr">
        <is>
          <t>A 58497-2025</t>
        </is>
      </c>
      <c r="B71" t="inlineStr">
        <is>
          <t>avverkningsanmälan</t>
        </is>
      </c>
      <c r="C71" t="inlineStr">
        <is>
          <t>Föryngringsavverkning</t>
        </is>
      </c>
      <c r="D71" s="1" t="n">
        <v>45985</v>
      </c>
      <c r="E71" s="1" t="n">
        <v>46222</v>
      </c>
      <c r="F71" t="inlineStr">
        <is>
          <t>UPPSALA LÄN</t>
        </is>
      </c>
      <c r="G71" t="inlineStr">
        <is>
          <t>ÄLVKARLEBY</t>
        </is>
      </c>
      <c r="H71" t="inlineStr">
        <is>
          <t>Bergvik skog väst AB</t>
        </is>
      </c>
      <c r="I71" t="n">
        <v>4.6</v>
      </c>
      <c r="J71" t="n">
        <v>0</v>
      </c>
      <c r="K71" t="n">
        <v>0</v>
      </c>
      <c r="L71" t="n">
        <v>0</v>
      </c>
      <c r="M71" t="n">
        <v>0</v>
      </c>
      <c r="N71" t="n">
        <v>0</v>
      </c>
      <c r="O71" t="n">
        <v>0</v>
      </c>
      <c r="P71" t="n">
        <v>0</v>
      </c>
      <c r="Q71" t="n">
        <v>0</v>
      </c>
      <c r="R71" t="n">
        <v>0</v>
      </c>
      <c r="S71" t="n">
        <v>0</v>
      </c>
      <c r="T71" t="n">
        <v>0</v>
      </c>
      <c r="U71" s="2" t="inlineStr"/>
    </row>
    <row r="72" ht="15" customHeight="1">
      <c r="A72" t="inlineStr">
        <is>
          <t>A 60256-2025</t>
        </is>
      </c>
      <c r="B72" t="inlineStr">
        <is>
          <t>avverkningsanmälan</t>
        </is>
      </c>
      <c r="C72" t="inlineStr">
        <is>
          <t>Föryngringsavverkning</t>
        </is>
      </c>
      <c r="D72" s="1" t="n">
        <v>45994</v>
      </c>
      <c r="E72" s="1" t="n">
        <v>46222</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s="2" t="inlineStr"/>
    </row>
    <row r="73" ht="15" customHeight="1">
      <c r="A73" t="inlineStr">
        <is>
          <t>A 60842-2025</t>
        </is>
      </c>
      <c r="B73" t="inlineStr">
        <is>
          <t>avverkningsanmälan</t>
        </is>
      </c>
      <c r="C73" t="inlineStr">
        <is>
          <t>Avverkning för att bevara och utveckla /försöksver</t>
        </is>
      </c>
      <c r="D73" s="1" t="n">
        <v>45999</v>
      </c>
      <c r="E73" s="1" t="n">
        <v>46222</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s="2" t="inlineStr"/>
    </row>
    <row r="74" ht="15" customHeight="1">
      <c r="A74" t="inlineStr">
        <is>
          <t>A 14091-2026</t>
        </is>
      </c>
      <c r="B74" t="inlineStr">
        <is>
          <t>avverkningsanmälan</t>
        </is>
      </c>
      <c r="C74" t="inlineStr">
        <is>
          <t>Föryngringsavverkning</t>
        </is>
      </c>
      <c r="D74" s="1" t="n">
        <v>46099</v>
      </c>
      <c r="E74" s="1" t="n">
        <v>46222</v>
      </c>
      <c r="F74" t="inlineStr">
        <is>
          <t>UPPSALA LÄN</t>
        </is>
      </c>
      <c r="G74" t="inlineStr">
        <is>
          <t>ÄLVKARLEBY</t>
        </is>
      </c>
      <c r="I74" t="n">
        <v>0.7</v>
      </c>
      <c r="J74" t="n">
        <v>0</v>
      </c>
      <c r="K74" t="n">
        <v>0</v>
      </c>
      <c r="L74" t="n">
        <v>0</v>
      </c>
      <c r="M74" t="n">
        <v>0</v>
      </c>
      <c r="N74" t="n">
        <v>0</v>
      </c>
      <c r="O74" t="n">
        <v>0</v>
      </c>
      <c r="P74" t="n">
        <v>0</v>
      </c>
      <c r="Q74" t="n">
        <v>0</v>
      </c>
      <c r="R74" t="n">
        <v>0</v>
      </c>
      <c r="S74" t="n">
        <v>0</v>
      </c>
      <c r="T74" t="n">
        <v>0</v>
      </c>
      <c r="U74" s="2" t="inlineStr"/>
    </row>
    <row r="75" ht="15" customHeight="1">
      <c r="A75" t="inlineStr">
        <is>
          <t>A 61694-2025</t>
        </is>
      </c>
      <c r="B75" t="inlineStr">
        <is>
          <t>avverkningsanmälan</t>
        </is>
      </c>
      <c r="C75" t="inlineStr">
        <is>
          <t>Föryngringsavverkning</t>
        </is>
      </c>
      <c r="D75" s="1" t="n">
        <v>46002</v>
      </c>
      <c r="E75" s="1" t="n">
        <v>46222</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s="2" t="inlineStr"/>
    </row>
    <row r="76" ht="15" customHeight="1">
      <c r="A76" t="inlineStr">
        <is>
          <t>A 61691-2025</t>
        </is>
      </c>
      <c r="B76" t="inlineStr">
        <is>
          <t>avverkningsanmälan</t>
        </is>
      </c>
      <c r="C76" t="inlineStr">
        <is>
          <t>Föryngringsavverkning</t>
        </is>
      </c>
      <c r="D76" s="1" t="n">
        <v>46002</v>
      </c>
      <c r="E76" s="1" t="n">
        <v>46222</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s="2" t="inlineStr"/>
    </row>
    <row r="77" ht="15" customHeight="1">
      <c r="A77" t="inlineStr">
        <is>
          <t>A 62938-2025</t>
        </is>
      </c>
      <c r="B77" t="inlineStr">
        <is>
          <t>avverkningsanmälan</t>
        </is>
      </c>
      <c r="C77" t="inlineStr">
        <is>
          <t>Föryngringsavverkning</t>
        </is>
      </c>
      <c r="D77" s="1" t="n">
        <v>46009</v>
      </c>
      <c r="E77" s="1" t="n">
        <v>46222</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s="2" t="inlineStr"/>
    </row>
    <row r="78" ht="15" customHeight="1">
      <c r="A78" t="inlineStr">
        <is>
          <t>A 63365-2025</t>
        </is>
      </c>
      <c r="B78" t="inlineStr">
        <is>
          <t>avverkningsanmälan</t>
        </is>
      </c>
      <c r="C78" t="inlineStr">
        <is>
          <t>Föryngringsavverkning</t>
        </is>
      </c>
      <c r="D78" s="1" t="n">
        <v>46010</v>
      </c>
      <c r="E78" s="1" t="n">
        <v>46222</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s="2" t="inlineStr"/>
    </row>
    <row r="79" ht="15" customHeight="1">
      <c r="A79" t="inlineStr">
        <is>
          <t>A 61839-2025</t>
        </is>
      </c>
      <c r="B79" t="inlineStr">
        <is>
          <t>avverkningsanmälan</t>
        </is>
      </c>
      <c r="C79" t="inlineStr">
        <is>
          <t>Föryngringsavverkning</t>
        </is>
      </c>
      <c r="D79" s="1" t="n">
        <v>46003</v>
      </c>
      <c r="E79" s="1" t="n">
        <v>46222</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s="2" t="inlineStr"/>
    </row>
    <row r="80" ht="15" customHeight="1">
      <c r="A80" t="inlineStr">
        <is>
          <t>A 17851-2026</t>
        </is>
      </c>
      <c r="B80" t="inlineStr">
        <is>
          <t>avverkningsanmälan</t>
        </is>
      </c>
      <c r="C80" t="inlineStr">
        <is>
          <t>Föryngringsavverkning</t>
        </is>
      </c>
      <c r="D80" s="1" t="n">
        <v>46122</v>
      </c>
      <c r="E80" s="1" t="n">
        <v>46222</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s="2" t="inlineStr"/>
    </row>
    <row r="81" ht="15" customHeight="1">
      <c r="A81" t="inlineStr">
        <is>
          <t>A 41272-2023</t>
        </is>
      </c>
      <c r="B81" t="inlineStr">
        <is>
          <t>avverkningsanmälan</t>
        </is>
      </c>
      <c r="C81" t="inlineStr">
        <is>
          <t>Föryngringsavverkning</t>
        </is>
      </c>
      <c r="D81" s="1" t="n">
        <v>45174</v>
      </c>
      <c r="E81" s="1" t="n">
        <v>46222</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s="2" t="inlineStr"/>
    </row>
    <row r="82" ht="15" customHeight="1">
      <c r="A82" t="inlineStr">
        <is>
          <t>A 2183-2024</t>
        </is>
      </c>
      <c r="B82" t="inlineStr">
        <is>
          <t>avverkningsanmälan</t>
        </is>
      </c>
      <c r="C82" t="inlineStr">
        <is>
          <t>Föryngringsavverkning</t>
        </is>
      </c>
      <c r="D82" s="1" t="n">
        <v>45309</v>
      </c>
      <c r="E82" s="1" t="n">
        <v>46222</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s="2" t="inlineStr"/>
    </row>
    <row r="83" ht="15" customHeight="1">
      <c r="A83" t="inlineStr">
        <is>
          <t>A 28670-2025</t>
        </is>
      </c>
      <c r="B83" t="inlineStr">
        <is>
          <t>avverkningsanmälan</t>
        </is>
      </c>
      <c r="C83" t="inlineStr">
        <is>
          <t>Föryngringsavverkning</t>
        </is>
      </c>
      <c r="D83" s="1" t="n">
        <v>45819</v>
      </c>
      <c r="E83" s="1" t="n">
        <v>46222</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s="2" t="inlineStr"/>
    </row>
    <row r="84" ht="15" customHeight="1">
      <c r="A84" t="inlineStr">
        <is>
          <t>A 46113-2023</t>
        </is>
      </c>
      <c r="B84" t="inlineStr">
        <is>
          <t>avverkningsanmälan</t>
        </is>
      </c>
      <c r="C84" t="inlineStr">
        <is>
          <t>Föryngringsavverkning</t>
        </is>
      </c>
      <c r="D84" s="1" t="n">
        <v>45196</v>
      </c>
      <c r="E84" s="1" t="n">
        <v>46222</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41276-2023</t>
        </is>
      </c>
      <c r="B85" t="inlineStr">
        <is>
          <t>avverkningsanmälan</t>
        </is>
      </c>
      <c r="C85" t="inlineStr">
        <is>
          <t>Föryngringsavverkning</t>
        </is>
      </c>
      <c r="D85" s="1" t="n">
        <v>45174</v>
      </c>
      <c r="E85" s="1" t="n">
        <v>46222</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s="2" t="inlineStr"/>
    </row>
    <row r="86" ht="15" customHeight="1">
      <c r="A86" t="inlineStr">
        <is>
          <t>A 41929-2024</t>
        </is>
      </c>
      <c r="B86" t="inlineStr">
        <is>
          <t>avverkningsanmälan</t>
        </is>
      </c>
      <c r="C86" t="inlineStr">
        <is>
          <t>Föryngringsavverkning</t>
        </is>
      </c>
      <c r="D86" s="1" t="n">
        <v>45561</v>
      </c>
      <c r="E86" s="1" t="n">
        <v>46222</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s="2" t="inlineStr"/>
    </row>
    <row r="87" ht="15" customHeight="1">
      <c r="A87" t="inlineStr">
        <is>
          <t>A 30234-2026</t>
        </is>
      </c>
      <c r="B87" t="inlineStr">
        <is>
          <t>avverkningsanmälan</t>
        </is>
      </c>
      <c r="C87" t="inlineStr">
        <is>
          <t>Föryngringsavverkning</t>
        </is>
      </c>
      <c r="D87" s="1" t="n">
        <v>46206</v>
      </c>
      <c r="E87" s="1" t="n">
        <v>46222</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s="2" t="inlineStr"/>
    </row>
    <row r="88" ht="15" customHeight="1">
      <c r="A88" t="inlineStr">
        <is>
          <t>A 30238-2026</t>
        </is>
      </c>
      <c r="B88" t="inlineStr">
        <is>
          <t>avverkningsanmälan</t>
        </is>
      </c>
      <c r="C88" t="inlineStr">
        <is>
          <t>Föryngringsavverkning</t>
        </is>
      </c>
      <c r="D88" s="1" t="n">
        <v>46206</v>
      </c>
      <c r="E88" s="1" t="n">
        <v>46222</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s="2" t="inlineStr"/>
    </row>
    <row r="89" ht="15" customHeight="1">
      <c r="A89" t="inlineStr">
        <is>
          <t>A 14590-2023</t>
        </is>
      </c>
      <c r="B89" t="inlineStr">
        <is>
          <t>avverkningsanmälan</t>
        </is>
      </c>
      <c r="C89" t="inlineStr">
        <is>
          <t>Föryngringsavverkning</t>
        </is>
      </c>
      <c r="D89" s="1" t="n">
        <v>45013</v>
      </c>
      <c r="E89" s="1" t="n">
        <v>46222</v>
      </c>
      <c r="F89" t="inlineStr">
        <is>
          <t>UPPSALA LÄN</t>
        </is>
      </c>
      <c r="G89" t="inlineStr">
        <is>
          <t>ÄLVKARLEBY</t>
        </is>
      </c>
      <c r="I89" t="n">
        <v>1.8</v>
      </c>
      <c r="J89" t="n">
        <v>0</v>
      </c>
      <c r="K89" t="n">
        <v>0</v>
      </c>
      <c r="L89" t="n">
        <v>0</v>
      </c>
      <c r="M89" t="n">
        <v>0</v>
      </c>
      <c r="N89" t="n">
        <v>0</v>
      </c>
      <c r="O89" t="n">
        <v>0</v>
      </c>
      <c r="P89" t="n">
        <v>0</v>
      </c>
      <c r="Q89" t="n">
        <v>0</v>
      </c>
      <c r="R89" t="n">
        <v>0</v>
      </c>
      <c r="S89" t="n">
        <v>0</v>
      </c>
      <c r="T89" t="n">
        <v>0</v>
      </c>
      <c r="U89" s="2" t="inlineStr"/>
    </row>
    <row r="90" ht="15" customHeight="1">
      <c r="A90" t="inlineStr">
        <is>
          <t>A 9533-2025</t>
        </is>
      </c>
      <c r="B90" t="inlineStr">
        <is>
          <t>avverkningsanmälan</t>
        </is>
      </c>
      <c r="C90" t="inlineStr">
        <is>
          <t>Föryngringsavverkning</t>
        </is>
      </c>
      <c r="D90" s="1" t="n">
        <v>45715</v>
      </c>
      <c r="E90" s="1" t="n">
        <v>46222</v>
      </c>
      <c r="F90" t="inlineStr">
        <is>
          <t>UPPSALA LÄN</t>
        </is>
      </c>
      <c r="G90" t="inlineStr">
        <is>
          <t>ÄLVKARLEBY</t>
        </is>
      </c>
      <c r="I90" t="n">
        <v>2.1</v>
      </c>
      <c r="J90" t="n">
        <v>0</v>
      </c>
      <c r="K90" t="n">
        <v>0</v>
      </c>
      <c r="L90" t="n">
        <v>0</v>
      </c>
      <c r="M90" t="n">
        <v>0</v>
      </c>
      <c r="N90" t="n">
        <v>0</v>
      </c>
      <c r="O90" t="n">
        <v>0</v>
      </c>
      <c r="P90" t="n">
        <v>0</v>
      </c>
      <c r="Q90" t="n">
        <v>0</v>
      </c>
      <c r="R90" t="n">
        <v>0</v>
      </c>
      <c r="S90" t="n">
        <v>0</v>
      </c>
      <c r="T90" t="n">
        <v>0</v>
      </c>
      <c r="U90" s="2" t="inlineStr"/>
    </row>
    <row r="91">
      <c r="A91" t="inlineStr">
        <is>
          <t>A 25330-2025</t>
        </is>
      </c>
      <c r="B91" t="inlineStr">
        <is>
          <t>avverkningsanmälan</t>
        </is>
      </c>
      <c r="C91" t="inlineStr">
        <is>
          <t>Föryngringsavverkning</t>
        </is>
      </c>
      <c r="D91" s="1" t="n">
        <v>45800</v>
      </c>
      <c r="E91" s="1" t="n">
        <v>46222</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2026-07-19T01:32:09Z</dcterms:created>
  <dcterms:modified xmlns:dcterms="http://purl.org/dc/terms/" xmlns:xsi="http://www.w3.org/2001/XMLSchema-instance" xsi:type="dcterms:W3CDTF">2026-07-19T01:32:09Z</dcterms:modified>
</cp:coreProperties>
</file>