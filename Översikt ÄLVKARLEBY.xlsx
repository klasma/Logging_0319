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45735</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45735</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45735</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45735</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45735</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45735</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45735</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45735</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45735</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45735</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45735</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45735</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45735</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45735</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45735</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45735</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45735</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45735</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45735</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45735</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45735</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45735</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45735</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45735</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45735</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45735</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45735</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45735</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45735</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45735</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45735</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45735</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45735</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45735</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12427-2025</t>
        </is>
      </c>
      <c r="B45" s="1" t="n">
        <v>45730</v>
      </c>
      <c r="C45" s="1" t="n">
        <v>45735</v>
      </c>
      <c r="D45" t="inlineStr">
        <is>
          <t>UPPSALA LÄN</t>
        </is>
      </c>
      <c r="E45" t="inlineStr">
        <is>
          <t>ÄLVKARLEBY</t>
        </is>
      </c>
      <c r="F45" t="inlineStr">
        <is>
          <t>Bergvik skog öst AB</t>
        </is>
      </c>
      <c r="G45" t="n">
        <v>9.300000000000001</v>
      </c>
      <c r="H45" t="n">
        <v>1</v>
      </c>
      <c r="I45" t="n">
        <v>1</v>
      </c>
      <c r="J45" t="n">
        <v>0</v>
      </c>
      <c r="K45" t="n">
        <v>0</v>
      </c>
      <c r="L45" t="n">
        <v>0</v>
      </c>
      <c r="M45" t="n">
        <v>0</v>
      </c>
      <c r="N45" t="n">
        <v>0</v>
      </c>
      <c r="O45" t="n">
        <v>0</v>
      </c>
      <c r="P45" t="n">
        <v>0</v>
      </c>
      <c r="Q45" t="n">
        <v>1</v>
      </c>
      <c r="R45" s="2" t="inlineStr">
        <is>
          <t>Guckusko</t>
        </is>
      </c>
      <c r="S45">
        <f>HYPERLINK("https://klasma.github.io/Logging_0319/artfynd/A 12427-2025 artfynd.xlsx", "A 12427-2025")</f>
        <v/>
      </c>
      <c r="T45">
        <f>HYPERLINK("https://klasma.github.io/Logging_0319/kartor/A 12427-2025 karta.png", "A 12427-2025")</f>
        <v/>
      </c>
      <c r="V45">
        <f>HYPERLINK("https://klasma.github.io/Logging_0319/klagomål/A 12427-2025 FSC-klagomål.docx", "A 12427-2025")</f>
        <v/>
      </c>
      <c r="W45">
        <f>HYPERLINK("https://klasma.github.io/Logging_0319/klagomålsmail/A 12427-2025 FSC-klagomål mail.docx", "A 12427-2025")</f>
        <v/>
      </c>
      <c r="X45">
        <f>HYPERLINK("https://klasma.github.io/Logging_0319/tillsyn/A 12427-2025 tillsynsbegäran.docx", "A 12427-2025")</f>
        <v/>
      </c>
      <c r="Y45">
        <f>HYPERLINK("https://klasma.github.io/Logging_0319/tillsynsmail/A 12427-2025 tillsynsbegäran mail.docx", "A 12427-2025")</f>
        <v/>
      </c>
    </row>
    <row r="46" ht="15" customHeight="1">
      <c r="A46" t="inlineStr">
        <is>
          <t>A 19969-2019</t>
        </is>
      </c>
      <c r="B46" s="1" t="n">
        <v>43570</v>
      </c>
      <c r="C46" s="1" t="n">
        <v>45735</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24105-2019</t>
        </is>
      </c>
      <c r="B47" s="1" t="n">
        <v>43598</v>
      </c>
      <c r="C47" s="1" t="n">
        <v>45735</v>
      </c>
      <c r="D47" t="inlineStr">
        <is>
          <t>UPPSALA LÄN</t>
        </is>
      </c>
      <c r="E47" t="inlineStr">
        <is>
          <t>ÄLVKARLEBY</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25340-2019</t>
        </is>
      </c>
      <c r="B48" s="1" t="n">
        <v>43606</v>
      </c>
      <c r="C48" s="1" t="n">
        <v>45735</v>
      </c>
      <c r="D48" t="inlineStr">
        <is>
          <t>UPPSALA LÄN</t>
        </is>
      </c>
      <c r="E48" t="inlineStr">
        <is>
          <t>ÄLVKARLEBY</t>
        </is>
      </c>
      <c r="F48" t="inlineStr">
        <is>
          <t>Bergvik skog väst AB</t>
        </is>
      </c>
      <c r="G48" t="n">
        <v>2.9</v>
      </c>
      <c r="H48" t="n">
        <v>0</v>
      </c>
      <c r="I48" t="n">
        <v>0</v>
      </c>
      <c r="J48" t="n">
        <v>0</v>
      </c>
      <c r="K48" t="n">
        <v>0</v>
      </c>
      <c r="L48" t="n">
        <v>0</v>
      </c>
      <c r="M48" t="n">
        <v>0</v>
      </c>
      <c r="N48" t="n">
        <v>0</v>
      </c>
      <c r="O48" t="n">
        <v>0</v>
      </c>
      <c r="P48" t="n">
        <v>0</v>
      </c>
      <c r="Q48" t="n">
        <v>0</v>
      </c>
      <c r="R48" s="2" t="inlineStr"/>
    </row>
    <row r="49" ht="15" customHeight="1">
      <c r="A49" t="inlineStr">
        <is>
          <t>A 44457-2019</t>
        </is>
      </c>
      <c r="B49" s="1" t="n">
        <v>43711</v>
      </c>
      <c r="C49" s="1" t="n">
        <v>45735</v>
      </c>
      <c r="D49" t="inlineStr">
        <is>
          <t>UPPSALA LÄN</t>
        </is>
      </c>
      <c r="E49" t="inlineStr">
        <is>
          <t>ÄLVKARLEBY</t>
        </is>
      </c>
      <c r="F49" t="inlineStr">
        <is>
          <t>Bergvik skog väst AB</t>
        </is>
      </c>
      <c r="G49" t="n">
        <v>8.699999999999999</v>
      </c>
      <c r="H49" t="n">
        <v>0</v>
      </c>
      <c r="I49" t="n">
        <v>0</v>
      </c>
      <c r="J49" t="n">
        <v>0</v>
      </c>
      <c r="K49" t="n">
        <v>0</v>
      </c>
      <c r="L49" t="n">
        <v>0</v>
      </c>
      <c r="M49" t="n">
        <v>0</v>
      </c>
      <c r="N49" t="n">
        <v>0</v>
      </c>
      <c r="O49" t="n">
        <v>0</v>
      </c>
      <c r="P49" t="n">
        <v>0</v>
      </c>
      <c r="Q49" t="n">
        <v>0</v>
      </c>
      <c r="R49" s="2" t="inlineStr"/>
    </row>
    <row r="50" ht="15" customHeight="1">
      <c r="A50" t="inlineStr">
        <is>
          <t>A 48822-2019</t>
        </is>
      </c>
      <c r="B50" s="1" t="n">
        <v>43728</v>
      </c>
      <c r="C50" s="1" t="n">
        <v>45735</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57745-2019</t>
        </is>
      </c>
      <c r="B51" s="1" t="n">
        <v>43768</v>
      </c>
      <c r="C51" s="1" t="n">
        <v>45735</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5511-2020</t>
        </is>
      </c>
      <c r="B52" s="1" t="n">
        <v>43861</v>
      </c>
      <c r="C52" s="1" t="n">
        <v>45735</v>
      </c>
      <c r="D52" t="inlineStr">
        <is>
          <t>UPPSALA LÄN</t>
        </is>
      </c>
      <c r="E52" t="inlineStr">
        <is>
          <t>ÄLVKARLEBY</t>
        </is>
      </c>
      <c r="G52" t="n">
        <v>1.2</v>
      </c>
      <c r="H52" t="n">
        <v>0</v>
      </c>
      <c r="I52" t="n">
        <v>0</v>
      </c>
      <c r="J52" t="n">
        <v>0</v>
      </c>
      <c r="K52" t="n">
        <v>0</v>
      </c>
      <c r="L52" t="n">
        <v>0</v>
      </c>
      <c r="M52" t="n">
        <v>0</v>
      </c>
      <c r="N52" t="n">
        <v>0</v>
      </c>
      <c r="O52" t="n">
        <v>0</v>
      </c>
      <c r="P52" t="n">
        <v>0</v>
      </c>
      <c r="Q52" t="n">
        <v>0</v>
      </c>
      <c r="R52" s="2" t="inlineStr"/>
    </row>
    <row r="53" ht="15" customHeight="1">
      <c r="A53" t="inlineStr">
        <is>
          <t>A 15213-2020</t>
        </is>
      </c>
      <c r="B53" s="1" t="n">
        <v>43913</v>
      </c>
      <c r="C53" s="1" t="n">
        <v>45735</v>
      </c>
      <c r="D53" t="inlineStr">
        <is>
          <t>UPPSALA LÄN</t>
        </is>
      </c>
      <c r="E53" t="inlineStr">
        <is>
          <t>ÄLVKARLEBY</t>
        </is>
      </c>
      <c r="G53" t="n">
        <v>5</v>
      </c>
      <c r="H53" t="n">
        <v>0</v>
      </c>
      <c r="I53" t="n">
        <v>0</v>
      </c>
      <c r="J53" t="n">
        <v>0</v>
      </c>
      <c r="K53" t="n">
        <v>0</v>
      </c>
      <c r="L53" t="n">
        <v>0</v>
      </c>
      <c r="M53" t="n">
        <v>0</v>
      </c>
      <c r="N53" t="n">
        <v>0</v>
      </c>
      <c r="O53" t="n">
        <v>0</v>
      </c>
      <c r="P53" t="n">
        <v>0</v>
      </c>
      <c r="Q53" t="n">
        <v>0</v>
      </c>
      <c r="R53" s="2" t="inlineStr"/>
    </row>
    <row r="54" ht="15" customHeight="1">
      <c r="A54" t="inlineStr">
        <is>
          <t>A 32416-2020</t>
        </is>
      </c>
      <c r="B54" s="1" t="n">
        <v>44018</v>
      </c>
      <c r="C54" s="1" t="n">
        <v>45735</v>
      </c>
      <c r="D54" t="inlineStr">
        <is>
          <t>UPPSALA LÄN</t>
        </is>
      </c>
      <c r="E54" t="inlineStr">
        <is>
          <t>ÄLVKARLEBY</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37193-2020</t>
        </is>
      </c>
      <c r="B55" s="1" t="n">
        <v>44054</v>
      </c>
      <c r="C55" s="1" t="n">
        <v>45735</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40667-2020</t>
        </is>
      </c>
      <c r="B56" s="1" t="n">
        <v>44069</v>
      </c>
      <c r="C56" s="1" t="n">
        <v>45735</v>
      </c>
      <c r="D56" t="inlineStr">
        <is>
          <t>UPPSALA LÄN</t>
        </is>
      </c>
      <c r="E56" t="inlineStr">
        <is>
          <t>ÄLVKARLEBY</t>
        </is>
      </c>
      <c r="F56" t="inlineStr">
        <is>
          <t>Bergvik skog väst AB</t>
        </is>
      </c>
      <c r="G56" t="n">
        <v>20.7</v>
      </c>
      <c r="H56" t="n">
        <v>0</v>
      </c>
      <c r="I56" t="n">
        <v>0</v>
      </c>
      <c r="J56" t="n">
        <v>0</v>
      </c>
      <c r="K56" t="n">
        <v>0</v>
      </c>
      <c r="L56" t="n">
        <v>0</v>
      </c>
      <c r="M56" t="n">
        <v>0</v>
      </c>
      <c r="N56" t="n">
        <v>0</v>
      </c>
      <c r="O56" t="n">
        <v>0</v>
      </c>
      <c r="P56" t="n">
        <v>0</v>
      </c>
      <c r="Q56" t="n">
        <v>0</v>
      </c>
      <c r="R56" s="2" t="inlineStr"/>
    </row>
    <row r="57" ht="15" customHeight="1">
      <c r="A57" t="inlineStr">
        <is>
          <t>A 50413-2020</t>
        </is>
      </c>
      <c r="B57" s="1" t="n">
        <v>44110</v>
      </c>
      <c r="C57" s="1" t="n">
        <v>45735</v>
      </c>
      <c r="D57" t="inlineStr">
        <is>
          <t>UPPSALA LÄN</t>
        </is>
      </c>
      <c r="E57" t="inlineStr">
        <is>
          <t>ÄLVKARLEBY</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50416-2020</t>
        </is>
      </c>
      <c r="B58" s="1" t="n">
        <v>44110</v>
      </c>
      <c r="C58" s="1" t="n">
        <v>45735</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50409-2020</t>
        </is>
      </c>
      <c r="B59" s="1" t="n">
        <v>44110</v>
      </c>
      <c r="C59" s="1" t="n">
        <v>45735</v>
      </c>
      <c r="D59" t="inlineStr">
        <is>
          <t>UPPSALA LÄN</t>
        </is>
      </c>
      <c r="E59" t="inlineStr">
        <is>
          <t>ÄLVKARLEBY</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66278-2020</t>
        </is>
      </c>
      <c r="B60" s="1" t="n">
        <v>44176</v>
      </c>
      <c r="C60" s="1" t="n">
        <v>45735</v>
      </c>
      <c r="D60" t="inlineStr">
        <is>
          <t>UPPSALA LÄN</t>
        </is>
      </c>
      <c r="E60" t="inlineStr">
        <is>
          <t>ÄLVKARLEBY</t>
        </is>
      </c>
      <c r="F60" t="inlineStr">
        <is>
          <t>Bergvik skog väst AB</t>
        </is>
      </c>
      <c r="G60" t="n">
        <v>4.1</v>
      </c>
      <c r="H60" t="n">
        <v>0</v>
      </c>
      <c r="I60" t="n">
        <v>0</v>
      </c>
      <c r="J60" t="n">
        <v>0</v>
      </c>
      <c r="K60" t="n">
        <v>0</v>
      </c>
      <c r="L60" t="n">
        <v>0</v>
      </c>
      <c r="M60" t="n">
        <v>0</v>
      </c>
      <c r="N60" t="n">
        <v>0</v>
      </c>
      <c r="O60" t="n">
        <v>0</v>
      </c>
      <c r="P60" t="n">
        <v>0</v>
      </c>
      <c r="Q60" t="n">
        <v>0</v>
      </c>
      <c r="R60" s="2" t="inlineStr"/>
    </row>
    <row r="61" ht="15" customHeight="1">
      <c r="A61" t="inlineStr">
        <is>
          <t>A 967-2021</t>
        </is>
      </c>
      <c r="B61" s="1" t="n">
        <v>44207</v>
      </c>
      <c r="C61" s="1" t="n">
        <v>45735</v>
      </c>
      <c r="D61" t="inlineStr">
        <is>
          <t>UPPSALA LÄN</t>
        </is>
      </c>
      <c r="E61" t="inlineStr">
        <is>
          <t>ÄLVKARLEBY</t>
        </is>
      </c>
      <c r="G61" t="n">
        <v>0.7</v>
      </c>
      <c r="H61" t="n">
        <v>0</v>
      </c>
      <c r="I61" t="n">
        <v>0</v>
      </c>
      <c r="J61" t="n">
        <v>0</v>
      </c>
      <c r="K61" t="n">
        <v>0</v>
      </c>
      <c r="L61" t="n">
        <v>0</v>
      </c>
      <c r="M61" t="n">
        <v>0</v>
      </c>
      <c r="N61" t="n">
        <v>0</v>
      </c>
      <c r="O61" t="n">
        <v>0</v>
      </c>
      <c r="P61" t="n">
        <v>0</v>
      </c>
      <c r="Q61" t="n">
        <v>0</v>
      </c>
      <c r="R61" s="2" t="inlineStr"/>
    </row>
    <row r="62" ht="15" customHeight="1">
      <c r="A62" t="inlineStr">
        <is>
          <t>A 11553-2021</t>
        </is>
      </c>
      <c r="B62" s="1" t="n">
        <v>44264</v>
      </c>
      <c r="C62" s="1" t="n">
        <v>45735</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13476-2021</t>
        </is>
      </c>
      <c r="B63" s="1" t="n">
        <v>44273</v>
      </c>
      <c r="C63" s="1" t="n">
        <v>45735</v>
      </c>
      <c r="D63" t="inlineStr">
        <is>
          <t>UPPSALA LÄN</t>
        </is>
      </c>
      <c r="E63" t="inlineStr">
        <is>
          <t>ÄLVKARLEBY</t>
        </is>
      </c>
      <c r="F63" t="inlineStr">
        <is>
          <t>Bergvik skog väst AB</t>
        </is>
      </c>
      <c r="G63" t="n">
        <v>12.1</v>
      </c>
      <c r="H63" t="n">
        <v>0</v>
      </c>
      <c r="I63" t="n">
        <v>0</v>
      </c>
      <c r="J63" t="n">
        <v>0</v>
      </c>
      <c r="K63" t="n">
        <v>0</v>
      </c>
      <c r="L63" t="n">
        <v>0</v>
      </c>
      <c r="M63" t="n">
        <v>0</v>
      </c>
      <c r="N63" t="n">
        <v>0</v>
      </c>
      <c r="O63" t="n">
        <v>0</v>
      </c>
      <c r="P63" t="n">
        <v>0</v>
      </c>
      <c r="Q63" t="n">
        <v>0</v>
      </c>
      <c r="R63" s="2" t="inlineStr"/>
    </row>
    <row r="64" ht="15" customHeight="1">
      <c r="A64" t="inlineStr">
        <is>
          <t>A 39791-2021</t>
        </is>
      </c>
      <c r="B64" s="1" t="n">
        <v>44417</v>
      </c>
      <c r="C64" s="1" t="n">
        <v>45735</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47226-2021</t>
        </is>
      </c>
      <c r="B65" s="1" t="n">
        <v>44447</v>
      </c>
      <c r="C65" s="1" t="n">
        <v>45735</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16990-2022</t>
        </is>
      </c>
      <c r="B66" s="1" t="n">
        <v>44676</v>
      </c>
      <c r="C66" s="1" t="n">
        <v>45735</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22916-2022</t>
        </is>
      </c>
      <c r="B67" s="1" t="n">
        <v>44715</v>
      </c>
      <c r="C67" s="1" t="n">
        <v>45735</v>
      </c>
      <c r="D67" t="inlineStr">
        <is>
          <t>UPPSALA LÄN</t>
        </is>
      </c>
      <c r="E67" t="inlineStr">
        <is>
          <t>ÄLVKARLEBY</t>
        </is>
      </c>
      <c r="F67" t="inlineStr">
        <is>
          <t>Bergvik skog väst AB</t>
        </is>
      </c>
      <c r="G67" t="n">
        <v>9.199999999999999</v>
      </c>
      <c r="H67" t="n">
        <v>0</v>
      </c>
      <c r="I67" t="n">
        <v>0</v>
      </c>
      <c r="J67" t="n">
        <v>0</v>
      </c>
      <c r="K67" t="n">
        <v>0</v>
      </c>
      <c r="L67" t="n">
        <v>0</v>
      </c>
      <c r="M67" t="n">
        <v>0</v>
      </c>
      <c r="N67" t="n">
        <v>0</v>
      </c>
      <c r="O67" t="n">
        <v>0</v>
      </c>
      <c r="P67" t="n">
        <v>0</v>
      </c>
      <c r="Q67" t="n">
        <v>0</v>
      </c>
      <c r="R67" s="2" t="inlineStr"/>
    </row>
    <row r="68" ht="15" customHeight="1">
      <c r="A68" t="inlineStr">
        <is>
          <t>A 26815-2022</t>
        </is>
      </c>
      <c r="B68" s="1" t="n">
        <v>44740</v>
      </c>
      <c r="C68" s="1" t="n">
        <v>45735</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29116-2022</t>
        </is>
      </c>
      <c r="B69" s="1" t="n">
        <v>44750</v>
      </c>
      <c r="C69" s="1" t="n">
        <v>45735</v>
      </c>
      <c r="D69" t="inlineStr">
        <is>
          <t>UPPSALA LÄN</t>
        </is>
      </c>
      <c r="E69" t="inlineStr">
        <is>
          <t>ÄLVKARLEBY</t>
        </is>
      </c>
      <c r="F69" t="inlineStr">
        <is>
          <t>Kommuner</t>
        </is>
      </c>
      <c r="G69" t="n">
        <v>1.6</v>
      </c>
      <c r="H69" t="n">
        <v>0</v>
      </c>
      <c r="I69" t="n">
        <v>0</v>
      </c>
      <c r="J69" t="n">
        <v>0</v>
      </c>
      <c r="K69" t="n">
        <v>0</v>
      </c>
      <c r="L69" t="n">
        <v>0</v>
      </c>
      <c r="M69" t="n">
        <v>0</v>
      </c>
      <c r="N69" t="n">
        <v>0</v>
      </c>
      <c r="O69" t="n">
        <v>0</v>
      </c>
      <c r="P69" t="n">
        <v>0</v>
      </c>
      <c r="Q69" t="n">
        <v>0</v>
      </c>
      <c r="R69" s="2" t="inlineStr"/>
    </row>
    <row r="70" ht="15" customHeight="1">
      <c r="A70" t="inlineStr">
        <is>
          <t>A 29168-2022</t>
        </is>
      </c>
      <c r="B70" s="1" t="n">
        <v>44750</v>
      </c>
      <c r="C70" s="1" t="n">
        <v>45735</v>
      </c>
      <c r="D70" t="inlineStr">
        <is>
          <t>UPPSALA LÄN</t>
        </is>
      </c>
      <c r="E70" t="inlineStr">
        <is>
          <t>ÄLVKARLEBY</t>
        </is>
      </c>
      <c r="F70" t="inlineStr">
        <is>
          <t>Kommuner</t>
        </is>
      </c>
      <c r="G70" t="n">
        <v>5.1</v>
      </c>
      <c r="H70" t="n">
        <v>0</v>
      </c>
      <c r="I70" t="n">
        <v>0</v>
      </c>
      <c r="J70" t="n">
        <v>0</v>
      </c>
      <c r="K70" t="n">
        <v>0</v>
      </c>
      <c r="L70" t="n">
        <v>0</v>
      </c>
      <c r="M70" t="n">
        <v>0</v>
      </c>
      <c r="N70" t="n">
        <v>0</v>
      </c>
      <c r="O70" t="n">
        <v>0</v>
      </c>
      <c r="P70" t="n">
        <v>0</v>
      </c>
      <c r="Q70" t="n">
        <v>0</v>
      </c>
      <c r="R70" s="2" t="inlineStr"/>
    </row>
    <row r="71" ht="15" customHeight="1">
      <c r="A71" t="inlineStr">
        <is>
          <t>A 36216-2022</t>
        </is>
      </c>
      <c r="B71" s="1" t="n">
        <v>44803</v>
      </c>
      <c r="C71" s="1" t="n">
        <v>45735</v>
      </c>
      <c r="D71" t="inlineStr">
        <is>
          <t>UPPSALA LÄN</t>
        </is>
      </c>
      <c r="E71" t="inlineStr">
        <is>
          <t>ÄLVKARLEBY</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36217-2022</t>
        </is>
      </c>
      <c r="B72" s="1" t="n">
        <v>44803</v>
      </c>
      <c r="C72" s="1" t="n">
        <v>45735</v>
      </c>
      <c r="D72" t="inlineStr">
        <is>
          <t>UPPSALA LÄN</t>
        </is>
      </c>
      <c r="E72" t="inlineStr">
        <is>
          <t>ÄLVKARLEBY</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36282-2022</t>
        </is>
      </c>
      <c r="B73" s="1" t="n">
        <v>44803</v>
      </c>
      <c r="C73" s="1" t="n">
        <v>45735</v>
      </c>
      <c r="D73" t="inlineStr">
        <is>
          <t>UPPSALA LÄN</t>
        </is>
      </c>
      <c r="E73" t="inlineStr">
        <is>
          <t>ÄLVKARLEBY</t>
        </is>
      </c>
      <c r="G73" t="n">
        <v>0.1</v>
      </c>
      <c r="H73" t="n">
        <v>0</v>
      </c>
      <c r="I73" t="n">
        <v>0</v>
      </c>
      <c r="J73" t="n">
        <v>0</v>
      </c>
      <c r="K73" t="n">
        <v>0</v>
      </c>
      <c r="L73" t="n">
        <v>0</v>
      </c>
      <c r="M73" t="n">
        <v>0</v>
      </c>
      <c r="N73" t="n">
        <v>0</v>
      </c>
      <c r="O73" t="n">
        <v>0</v>
      </c>
      <c r="P73" t="n">
        <v>0</v>
      </c>
      <c r="Q73" t="n">
        <v>0</v>
      </c>
      <c r="R73" s="2" t="inlineStr"/>
    </row>
    <row r="74" ht="15" customHeight="1">
      <c r="A74" t="inlineStr">
        <is>
          <t>A 41757-2022</t>
        </is>
      </c>
      <c r="B74" s="1" t="n">
        <v>44827</v>
      </c>
      <c r="C74" s="1" t="n">
        <v>45735</v>
      </c>
      <c r="D74" t="inlineStr">
        <is>
          <t>UPPSALA LÄN</t>
        </is>
      </c>
      <c r="E74" t="inlineStr">
        <is>
          <t>ÄLVKARLEBY</t>
        </is>
      </c>
      <c r="F74" t="inlineStr">
        <is>
          <t>Bergvik skog väst AB</t>
        </is>
      </c>
      <c r="G74" t="n">
        <v>12.7</v>
      </c>
      <c r="H74" t="n">
        <v>0</v>
      </c>
      <c r="I74" t="n">
        <v>0</v>
      </c>
      <c r="J74" t="n">
        <v>0</v>
      </c>
      <c r="K74" t="n">
        <v>0</v>
      </c>
      <c r="L74" t="n">
        <v>0</v>
      </c>
      <c r="M74" t="n">
        <v>0</v>
      </c>
      <c r="N74" t="n">
        <v>0</v>
      </c>
      <c r="O74" t="n">
        <v>0</v>
      </c>
      <c r="P74" t="n">
        <v>0</v>
      </c>
      <c r="Q74" t="n">
        <v>0</v>
      </c>
      <c r="R74" s="2" t="inlineStr"/>
    </row>
    <row r="75" ht="15" customHeight="1">
      <c r="A75" t="inlineStr">
        <is>
          <t>A 60837-2022</t>
        </is>
      </c>
      <c r="B75" s="1" t="n">
        <v>44914</v>
      </c>
      <c r="C75" s="1" t="n">
        <v>45735</v>
      </c>
      <c r="D75" t="inlineStr">
        <is>
          <t>UPPSALA LÄN</t>
        </is>
      </c>
      <c r="E75" t="inlineStr">
        <is>
          <t>ÄLVKARLEBY</t>
        </is>
      </c>
      <c r="F75" t="inlineStr">
        <is>
          <t>Bergvik skog väst AB</t>
        </is>
      </c>
      <c r="G75" t="n">
        <v>3.1</v>
      </c>
      <c r="H75" t="n">
        <v>0</v>
      </c>
      <c r="I75" t="n">
        <v>0</v>
      </c>
      <c r="J75" t="n">
        <v>0</v>
      </c>
      <c r="K75" t="n">
        <v>0</v>
      </c>
      <c r="L75" t="n">
        <v>0</v>
      </c>
      <c r="M75" t="n">
        <v>0</v>
      </c>
      <c r="N75" t="n">
        <v>0</v>
      </c>
      <c r="O75" t="n">
        <v>0</v>
      </c>
      <c r="P75" t="n">
        <v>0</v>
      </c>
      <c r="Q75" t="n">
        <v>0</v>
      </c>
      <c r="R75" s="2" t="inlineStr"/>
    </row>
    <row r="76" ht="15" customHeight="1">
      <c r="A76" t="inlineStr">
        <is>
          <t>A 6839-2023</t>
        </is>
      </c>
      <c r="B76" s="1" t="n">
        <v>44967</v>
      </c>
      <c r="C76" s="1" t="n">
        <v>45735</v>
      </c>
      <c r="D76" t="inlineStr">
        <is>
          <t>UPPSALA LÄN</t>
        </is>
      </c>
      <c r="E76" t="inlineStr">
        <is>
          <t>ÄLVKARLEBY</t>
        </is>
      </c>
      <c r="F76" t="inlineStr">
        <is>
          <t>Bergvik skog väst AB</t>
        </is>
      </c>
      <c r="G76" t="n">
        <v>2.2</v>
      </c>
      <c r="H76" t="n">
        <v>0</v>
      </c>
      <c r="I76" t="n">
        <v>0</v>
      </c>
      <c r="J76" t="n">
        <v>0</v>
      </c>
      <c r="K76" t="n">
        <v>0</v>
      </c>
      <c r="L76" t="n">
        <v>0</v>
      </c>
      <c r="M76" t="n">
        <v>0</v>
      </c>
      <c r="N76" t="n">
        <v>0</v>
      </c>
      <c r="O76" t="n">
        <v>0</v>
      </c>
      <c r="P76" t="n">
        <v>0</v>
      </c>
      <c r="Q76" t="n">
        <v>0</v>
      </c>
      <c r="R76" s="2" t="inlineStr"/>
    </row>
    <row r="77" ht="15" customHeight="1">
      <c r="A77" t="inlineStr">
        <is>
          <t>A 6834-2023</t>
        </is>
      </c>
      <c r="B77" s="1" t="n">
        <v>44967</v>
      </c>
      <c r="C77" s="1" t="n">
        <v>45735</v>
      </c>
      <c r="D77" t="inlineStr">
        <is>
          <t>UPPSALA LÄN</t>
        </is>
      </c>
      <c r="E77" t="inlineStr">
        <is>
          <t>ÄLVKARLEBY</t>
        </is>
      </c>
      <c r="F77" t="inlineStr">
        <is>
          <t>Bergvik skog väst AB</t>
        </is>
      </c>
      <c r="G77" t="n">
        <v>8.1</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45735</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45735</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45735</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45735</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45735</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45735</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45735</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45735</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45735</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45735</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45735</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45735</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45735</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45735</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45735</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45735</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45735</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45735</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45735</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45735</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45735</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45735</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45735</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45735</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45735</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45735</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45735</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45735</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45735</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45735</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45735</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45735</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45735</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45735</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45735</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45735</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45735</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45735</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45735</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45735</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45735</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45735</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45735</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45735</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45735</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45735</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45735</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45735</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45735</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45735</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45735</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45735</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45735</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45735</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45735</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45735</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45735</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45735</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45735</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45735</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45735</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45735</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45735</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45735</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45735</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45735</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45735</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45735</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45735</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45735</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45735</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45735</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45735</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45735</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45735</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45735</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45735</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45735</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2025-03-19T17:27:18Z</dcterms:created>
  <dcterms:modified xmlns:dcterms="http://purl.org/dc/terms/" xmlns:xsi="http://www.w3.org/2001/XMLSchema-instance" xsi:type="dcterms:W3CDTF">2025-03-19T17:27:18Z</dcterms:modified>
</cp:coreProperties>
</file>