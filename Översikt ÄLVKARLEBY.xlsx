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46307</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46307</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46307</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46307</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46307</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46307</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46307</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46307</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46307</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46307</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46307</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46307</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46307</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46307</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46307</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46307</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46307</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46307</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46307</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21700-2024</t>
        </is>
      </c>
      <c r="B24" t="inlineStr">
        <is>
          <t>avverkningsanmälan</t>
        </is>
      </c>
      <c r="C24" t="inlineStr">
        <is>
          <t>Föryngringsavverkning</t>
        </is>
      </c>
      <c r="D24" s="1" t="n">
        <v>45442</v>
      </c>
      <c r="E24" s="1" t="n">
        <v>46307</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46307</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46307</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46307</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46307</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46307</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46307</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46307</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70017-2021</t>
        </is>
      </c>
      <c r="B32" t="inlineStr">
        <is>
          <t>avverkningsanmälan</t>
        </is>
      </c>
      <c r="C32" t="inlineStr">
        <is>
          <t>Föryngringsavverkning</t>
        </is>
      </c>
      <c r="D32" s="1" t="n">
        <v>44533</v>
      </c>
      <c r="E32" s="1" t="n">
        <v>46307</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19303-2024</t>
        </is>
      </c>
      <c r="B33" t="inlineStr">
        <is>
          <t>avverkningsanmälan</t>
        </is>
      </c>
      <c r="C33" t="inlineStr">
        <is>
          <t>Föryngringsavverkning</t>
        </is>
      </c>
      <c r="D33" s="1" t="n">
        <v>45428</v>
      </c>
      <c r="E33" s="1" t="n">
        <v>46307</v>
      </c>
      <c r="F33" t="inlineStr">
        <is>
          <t>UPPSALA LÄN</t>
        </is>
      </c>
      <c r="G33" t="inlineStr">
        <is>
          <t>ÄLVKARLEBY</t>
        </is>
      </c>
      <c r="I33" t="n">
        <v>0.4</v>
      </c>
      <c r="J33" t="n">
        <v>1</v>
      </c>
      <c r="K33" t="n">
        <v>0</v>
      </c>
      <c r="L33" t="n">
        <v>0</v>
      </c>
      <c r="M33" t="n">
        <v>1</v>
      </c>
      <c r="N33" t="n">
        <v>0</v>
      </c>
      <c r="O33" t="n">
        <v>0</v>
      </c>
      <c r="P33" t="n">
        <v>0</v>
      </c>
      <c r="Q33" t="n">
        <v>1</v>
      </c>
      <c r="R33" t="n">
        <v>1</v>
      </c>
      <c r="S33" t="n">
        <v>1</v>
      </c>
      <c r="T33" t="n">
        <v>1</v>
      </c>
      <c r="U33" t="n">
        <v>1</v>
      </c>
      <c r="V33" s="2" t="inlineStr">
        <is>
          <t>Gölgroda</t>
        </is>
      </c>
      <c r="W33">
        <f>HYPERLINK("https://klasma.github.io/Logging_0319/artfynd/A 19303-2024 artfynd.xlsx", "A 19303-2024")</f>
        <v/>
      </c>
      <c r="X33">
        <f>HYPERLINK("https://klasma.github.io/Logging_0319/kartor/A 19303-2024 karta.png", "A 19303-2024")</f>
        <v/>
      </c>
      <c r="Y33">
        <f>HYPERLINK("https://klasma.github.io/Logging_0319/kartor_geotiff/A 19303-2024 georefererad karta.tif", "A 19303-2024")</f>
        <v/>
      </c>
      <c r="AA33">
        <f>HYPERLINK("https://klasma.github.io/Logging_0319/klagomål/A 19303-2024 FSC-klagomål.docx", "A 19303-2024")</f>
        <v/>
      </c>
      <c r="AB33">
        <f>HYPERLINK("https://klasma.github.io/Logging_0319/klagomålsmail/A 19303-2024 FSC-klagomål mail.docx", "A 19303-2024")</f>
        <v/>
      </c>
      <c r="AC33">
        <f>HYPERLINK("https://klasma.github.io/Logging_0319/tillsyn/A 19303-2024 tillsynsbegäran.docx", "A 19303-2024")</f>
        <v/>
      </c>
      <c r="AD33">
        <f>HYPERLINK("https://klasma.github.io/Logging_0319/tillsynsmail/A 19303-2024 tillsynsbegäran mail.docx", "A 19303-2024")</f>
        <v/>
      </c>
    </row>
    <row r="34" ht="15" customHeight="1">
      <c r="A34" t="inlineStr">
        <is>
          <t>A 19304-2024</t>
        </is>
      </c>
      <c r="B34" t="inlineStr">
        <is>
          <t>avverkningsanmälan</t>
        </is>
      </c>
      <c r="C34" t="inlineStr">
        <is>
          <t>Föryngringsavverkning</t>
        </is>
      </c>
      <c r="D34" s="1" t="n">
        <v>45428</v>
      </c>
      <c r="E34" s="1" t="n">
        <v>46307</v>
      </c>
      <c r="F34" t="inlineStr">
        <is>
          <t>UPPSALA LÄN</t>
        </is>
      </c>
      <c r="G34" t="inlineStr">
        <is>
          <t>ÄLVKARLEBY</t>
        </is>
      </c>
      <c r="I34" t="n">
        <v>0.2</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HYPERLINK("https://klasma.github.io/Logging_0319/artfynd/A 19304-2024 artfynd.xlsx", "A 19304-2024")</f>
        <v/>
      </c>
      <c r="X34">
        <f>HYPERLINK("https://klasma.github.io/Logging_0319/kartor/A 19304-2024 karta.png", "A 19304-2024")</f>
        <v/>
      </c>
      <c r="Y34">
        <f>HYPERLINK("https://klasma.github.io/Logging_0319/kartor_geotiff/A 19304-2024 georefererad karta.tif", "A 19304-2024")</f>
        <v/>
      </c>
      <c r="AA34">
        <f>HYPERLINK("https://klasma.github.io/Logging_0319/klagomål/A 19304-2024 FSC-klagomål.docx", "A 19304-2024")</f>
        <v/>
      </c>
      <c r="AB34">
        <f>HYPERLINK("https://klasma.github.io/Logging_0319/klagomålsmail/A 19304-2024 FSC-klagomål mail.docx", "A 19304-2024")</f>
        <v/>
      </c>
      <c r="AC34">
        <f>HYPERLINK("https://klasma.github.io/Logging_0319/tillsyn/A 19304-2024 tillsynsbegäran.docx", "A 19304-2024")</f>
        <v/>
      </c>
      <c r="AD34">
        <f>HYPERLINK("https://klasma.github.io/Logging_0319/tillsynsmail/A 19304-2024 tillsynsbegäran mail.docx", "A 19304-2024")</f>
        <v/>
      </c>
    </row>
    <row r="35" ht="15" customHeight="1">
      <c r="A35" t="inlineStr">
        <is>
          <t>A 19300-2024</t>
        </is>
      </c>
      <c r="B35" t="inlineStr">
        <is>
          <t>avverkningsanmälan</t>
        </is>
      </c>
      <c r="C35" t="inlineStr">
        <is>
          <t>Föryngringsavverkning</t>
        </is>
      </c>
      <c r="D35" s="1" t="n">
        <v>45428</v>
      </c>
      <c r="E35" s="1" t="n">
        <v>46307</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51238-2025</t>
        </is>
      </c>
      <c r="B36" t="inlineStr">
        <is>
          <t>avverkningsanmälan</t>
        </is>
      </c>
      <c r="C36" t="inlineStr">
        <is>
          <t>Föryngringsavverkning</t>
        </is>
      </c>
      <c r="D36" s="1" t="n">
        <v>45947</v>
      </c>
      <c r="E36" s="1" t="n">
        <v>46307</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43285-2023</t>
        </is>
      </c>
      <c r="B37" t="inlineStr">
        <is>
          <t>avverkningsanmälan</t>
        </is>
      </c>
      <c r="C37" t="inlineStr">
        <is>
          <t>Föryngringsavverkning</t>
        </is>
      </c>
      <c r="D37" s="1" t="n">
        <v>45183</v>
      </c>
      <c r="E37" s="1" t="n">
        <v>46307</v>
      </c>
      <c r="F37" t="inlineStr">
        <is>
          <t>UPPSALA LÄN</t>
        </is>
      </c>
      <c r="G37" t="inlineStr">
        <is>
          <t>ÄLVKARLEBY</t>
        </is>
      </c>
      <c r="H37" t="inlineStr">
        <is>
          <t>Bergvik skog väst AB</t>
        </is>
      </c>
      <c r="I37" t="n">
        <v>1.3</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HYPERLINK("https://klasma.github.io/Logging_0319/artfynd/A 43285-2023 artfynd.xlsx", "A 43285-2023")</f>
        <v/>
      </c>
      <c r="X37">
        <f>HYPERLINK("https://klasma.github.io/Logging_0319/kartor/A 43285-2023 karta.png", "A 43285-2023")</f>
        <v/>
      </c>
      <c r="Y37">
        <f>HYPERLINK("https://klasma.github.io/Logging_0319/kartor_geotiff/A 43285-2023 georefererad karta.tif", "A 43285-2023")</f>
        <v/>
      </c>
      <c r="AA37">
        <f>HYPERLINK("https://klasma.github.io/Logging_0319/klagomål/A 43285-2023 FSC-klagomål.docx", "A 43285-2023")</f>
        <v/>
      </c>
      <c r="AB37">
        <f>HYPERLINK("https://klasma.github.io/Logging_0319/klagomålsmail/A 43285-2023 FSC-klagomål mail.docx", "A 43285-2023")</f>
        <v/>
      </c>
      <c r="AC37">
        <f>HYPERLINK("https://klasma.github.io/Logging_0319/tillsyn/A 43285-2023 tillsynsbegäran.docx", "A 43285-2023")</f>
        <v/>
      </c>
      <c r="AD37">
        <f>HYPERLINK("https://klasma.github.io/Logging_0319/tillsynsmail/A 43285-2023 tillsynsbegäran mail.docx", "A 43285-2023")</f>
        <v/>
      </c>
    </row>
    <row r="38" ht="15" customHeight="1">
      <c r="A38" t="inlineStr">
        <is>
          <t>A 3950-2025</t>
        </is>
      </c>
      <c r="B38" t="inlineStr">
        <is>
          <t>avverkningsanmälan</t>
        </is>
      </c>
      <c r="C38" t="inlineStr">
        <is>
          <t>Avverkning för annat ändamål</t>
        </is>
      </c>
      <c r="D38" s="1" t="n">
        <v>45684</v>
      </c>
      <c r="E38" s="1" t="n">
        <v>46307</v>
      </c>
      <c r="F38" t="inlineStr">
        <is>
          <t>UPPSALA LÄN</t>
        </is>
      </c>
      <c r="G38" t="inlineStr">
        <is>
          <t>ÄLVKARLEBY</t>
        </is>
      </c>
      <c r="I38" t="n">
        <v>3.1</v>
      </c>
      <c r="J38" t="n">
        <v>0</v>
      </c>
      <c r="K38" t="n">
        <v>0</v>
      </c>
      <c r="L38" t="n">
        <v>1</v>
      </c>
      <c r="M38" t="n">
        <v>0</v>
      </c>
      <c r="N38" t="n">
        <v>0</v>
      </c>
      <c r="O38" t="n">
        <v>0</v>
      </c>
      <c r="P38" t="n">
        <v>0</v>
      </c>
      <c r="Q38" t="n">
        <v>1</v>
      </c>
      <c r="R38" t="n">
        <v>0</v>
      </c>
      <c r="S38" t="n">
        <v>1</v>
      </c>
      <c r="T38" t="n">
        <v>4</v>
      </c>
      <c r="U38" t="n">
        <v>0</v>
      </c>
      <c r="V38" s="2" t="inlineStr">
        <is>
          <t>Månlåsbräken</t>
        </is>
      </c>
      <c r="W38">
        <f>HYPERLINK("https://klasma.github.io/Logging_0319/artfynd/A 3950-2025 artfynd.xlsx", "A 3950-2025")</f>
        <v/>
      </c>
      <c r="X38">
        <f>HYPERLINK("https://klasma.github.io/Logging_0319/kartor/A 3950-2025 karta.png", "A 3950-2025")</f>
        <v/>
      </c>
      <c r="Y38">
        <f>HYPERLINK("https://klasma.github.io/Logging_0319/kartor_geotiff/A 3950-2025 georefererad karta.tif", "A 3950-2025")</f>
        <v/>
      </c>
      <c r="AA38">
        <f>HYPERLINK("https://klasma.github.io/Logging_0319/klagomål/A 3950-2025 FSC-klagomål.docx", "A 3950-2025")</f>
        <v/>
      </c>
      <c r="AB38">
        <f>HYPERLINK("https://klasma.github.io/Logging_0319/klagomålsmail/A 3950-2025 FSC-klagomål mail.docx", "A 3950-2025")</f>
        <v/>
      </c>
      <c r="AC38">
        <f>HYPERLINK("https://klasma.github.io/Logging_0319/tillsyn/A 3950-2025 tillsynsbegäran.docx", "A 3950-2025")</f>
        <v/>
      </c>
      <c r="AD38">
        <f>HYPERLINK("https://klasma.github.io/Logging_0319/tillsynsmail/A 3950-2025 tillsynsbegäran mail.docx", "A 3950-2025")</f>
        <v/>
      </c>
    </row>
    <row r="39" ht="15" customHeight="1">
      <c r="A39" t="inlineStr">
        <is>
          <t>A 7286-2023</t>
        </is>
      </c>
      <c r="B39" t="inlineStr">
        <is>
          <t>avverkningsanmälan</t>
        </is>
      </c>
      <c r="C39" t="inlineStr">
        <is>
          <t>Avverkning för annat ändamål</t>
        </is>
      </c>
      <c r="D39" s="1" t="n">
        <v>44970</v>
      </c>
      <c r="E39" s="1" t="n">
        <v>46307</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57734-2025</t>
        </is>
      </c>
      <c r="B40" t="inlineStr">
        <is>
          <t>avverkningsanmälan</t>
        </is>
      </c>
      <c r="C40" t="inlineStr">
        <is>
          <t>Föryngringsavverkning</t>
        </is>
      </c>
      <c r="D40" s="1" t="n">
        <v>45981</v>
      </c>
      <c r="E40" s="1" t="n">
        <v>46307</v>
      </c>
      <c r="F40" t="inlineStr">
        <is>
          <t>UPPSALA LÄN</t>
        </is>
      </c>
      <c r="G40" t="inlineStr">
        <is>
          <t>ÄLVKARLEBY</t>
        </is>
      </c>
      <c r="H40" t="inlineStr">
        <is>
          <t>Bergvik skog väst AB</t>
        </is>
      </c>
      <c r="I40" t="n">
        <v>1.3</v>
      </c>
      <c r="J40" t="n">
        <v>1</v>
      </c>
      <c r="K40" t="n">
        <v>0</v>
      </c>
      <c r="L40" t="n">
        <v>0</v>
      </c>
      <c r="M40" t="n">
        <v>1</v>
      </c>
      <c r="N40" t="n">
        <v>0</v>
      </c>
      <c r="O40" t="n">
        <v>0</v>
      </c>
      <c r="P40" t="n">
        <v>0</v>
      </c>
      <c r="Q40" t="n">
        <v>1</v>
      </c>
      <c r="R40" t="n">
        <v>1</v>
      </c>
      <c r="S40" t="n">
        <v>1</v>
      </c>
      <c r="T40" t="n">
        <v>1</v>
      </c>
      <c r="U40" t="n">
        <v>0</v>
      </c>
      <c r="V40" s="2" t="inlineStr">
        <is>
          <t>Gölgroda</t>
        </is>
      </c>
      <c r="W40">
        <f>HYPERLINK("https://klasma.github.io/Logging_0319/artfynd/A 57734-2025 artfynd.xlsx", "A 57734-2025")</f>
        <v/>
      </c>
      <c r="X40">
        <f>HYPERLINK("https://klasma.github.io/Logging_0319/kartor/A 57734-2025 karta.png", "A 57734-2025")</f>
        <v/>
      </c>
      <c r="Y40">
        <f>HYPERLINK("https://klasma.github.io/Logging_0319/kartor_geotiff/A 57734-2025 georefererad karta.tif", "A 57734-2025")</f>
        <v/>
      </c>
      <c r="AA40">
        <f>HYPERLINK("https://klasma.github.io/Logging_0319/klagomål/A 57734-2025 FSC-klagomål.docx", "A 57734-2025")</f>
        <v/>
      </c>
      <c r="AB40">
        <f>HYPERLINK("https://klasma.github.io/Logging_0319/klagomålsmail/A 57734-2025 FSC-klagomål mail.docx", "A 57734-2025")</f>
        <v/>
      </c>
      <c r="AC40">
        <f>HYPERLINK("https://klasma.github.io/Logging_0319/tillsyn/A 57734-2025 tillsynsbegäran.docx", "A 57734-2025")</f>
        <v/>
      </c>
      <c r="AD40">
        <f>HYPERLINK("https://klasma.github.io/Logging_0319/tillsynsmail/A 57734-2025 tillsynsbegäran mail.docx", "A 57734-2025")</f>
        <v/>
      </c>
    </row>
    <row r="41" ht="15" customHeight="1">
      <c r="A41" t="inlineStr">
        <is>
          <t>A 14127-2026</t>
        </is>
      </c>
      <c r="B41" t="inlineStr">
        <is>
          <t>avverkningsanmälan</t>
        </is>
      </c>
      <c r="C41" t="inlineStr">
        <is>
          <t>Föryngringsavverkning</t>
        </is>
      </c>
      <c r="D41" s="1" t="n">
        <v>46099</v>
      </c>
      <c r="E41" s="1" t="n">
        <v>46307</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10455-2022</t>
        </is>
      </c>
      <c r="B42" t="inlineStr">
        <is>
          <t>avverkningsanmälan</t>
        </is>
      </c>
      <c r="C42" t="inlineStr">
        <is>
          <t>Föryngringsavverkning</t>
        </is>
      </c>
      <c r="D42" s="1" t="n">
        <v>44623</v>
      </c>
      <c r="E42" s="1" t="n">
        <v>46307</v>
      </c>
      <c r="F42" t="inlineStr">
        <is>
          <t>UPPSALA LÄN</t>
        </is>
      </c>
      <c r="G42" t="inlineStr">
        <is>
          <t>ÄLVKARLEBY</t>
        </is>
      </c>
      <c r="H42" t="inlineStr">
        <is>
          <t>Bergvik skog öst AB</t>
        </is>
      </c>
      <c r="I42" t="n">
        <v>1.1</v>
      </c>
      <c r="J42" t="n">
        <v>0</v>
      </c>
      <c r="K42" t="n">
        <v>0</v>
      </c>
      <c r="L42" t="n">
        <v>1</v>
      </c>
      <c r="M42" t="n">
        <v>0</v>
      </c>
      <c r="N42" t="n">
        <v>0</v>
      </c>
      <c r="O42" t="n">
        <v>0</v>
      </c>
      <c r="P42" t="n">
        <v>0</v>
      </c>
      <c r="Q42" t="n">
        <v>1</v>
      </c>
      <c r="R42" t="n">
        <v>0</v>
      </c>
      <c r="S42" t="n">
        <v>1</v>
      </c>
      <c r="T42" t="n">
        <v>4</v>
      </c>
      <c r="U42" t="n">
        <v>1</v>
      </c>
      <c r="V42" s="2" t="inlineStr">
        <is>
          <t>Sandviol</t>
        </is>
      </c>
      <c r="W42">
        <f>HYPERLINK("https://klasma.github.io/Logging_0319/artfynd/A 10455-2022 artfynd.xlsx", "A 10455-2022")</f>
        <v/>
      </c>
      <c r="X42">
        <f>HYPERLINK("https://klasma.github.io/Logging_0319/kartor/A 10455-2022 karta.png", "A 10455-2022")</f>
        <v/>
      </c>
      <c r="Y42">
        <f>HYPERLINK("https://klasma.github.io/Logging_0319/kartor_geotiff/A 10455-2022 georefererad karta.tif", "A 10455-2022")</f>
        <v/>
      </c>
      <c r="AA42">
        <f>HYPERLINK("https://klasma.github.io/Logging_0319/klagomål/A 10455-2022 FSC-klagomål.docx", "A 10455-2022")</f>
        <v/>
      </c>
      <c r="AB42">
        <f>HYPERLINK("https://klasma.github.io/Logging_0319/klagomålsmail/A 10455-2022 FSC-klagomål mail.docx", "A 10455-2022")</f>
        <v/>
      </c>
      <c r="AC42">
        <f>HYPERLINK("https://klasma.github.io/Logging_0319/tillsyn/A 10455-2022 tillsynsbegäran.docx", "A 10455-2022")</f>
        <v/>
      </c>
      <c r="AD42">
        <f>HYPERLINK("https://klasma.github.io/Logging_0319/tillsynsmail/A 10455-2022 tillsynsbegäran mail.docx", "A 10455-2022")</f>
        <v/>
      </c>
    </row>
    <row r="43" ht="15" customHeight="1">
      <c r="A43" t="inlineStr">
        <is>
          <t>A 63004-2025</t>
        </is>
      </c>
      <c r="B43" t="inlineStr">
        <is>
          <t>avverkningsanmälan</t>
        </is>
      </c>
      <c r="C43" t="inlineStr">
        <is>
          <t>Föryngringsavverkning</t>
        </is>
      </c>
      <c r="D43" s="1" t="n">
        <v>46009</v>
      </c>
      <c r="E43" s="1" t="n">
        <v>46307</v>
      </c>
      <c r="F43" t="inlineStr">
        <is>
          <t>UPPSALA LÄN</t>
        </is>
      </c>
      <c r="G43" t="inlineStr">
        <is>
          <t>ÄLVKARLEBY</t>
        </is>
      </c>
      <c r="H43" t="inlineStr">
        <is>
          <t>Bergvik skog väst AB</t>
        </is>
      </c>
      <c r="I43" t="n">
        <v>2.2</v>
      </c>
      <c r="J43" t="n">
        <v>1</v>
      </c>
      <c r="K43" t="n">
        <v>1</v>
      </c>
      <c r="L43" t="n">
        <v>0</v>
      </c>
      <c r="M43" t="n">
        <v>0</v>
      </c>
      <c r="N43" t="n">
        <v>0</v>
      </c>
      <c r="O43" t="n">
        <v>0</v>
      </c>
      <c r="P43" t="n">
        <v>0</v>
      </c>
      <c r="Q43" t="n">
        <v>0</v>
      </c>
      <c r="R43" t="n">
        <v>0</v>
      </c>
      <c r="S43" t="n">
        <v>1</v>
      </c>
      <c r="T43" t="n">
        <v>4</v>
      </c>
      <c r="U43" t="n">
        <v>0</v>
      </c>
      <c r="V43" s="2" t="inlineStr">
        <is>
          <t>Skogsknipprot</t>
        </is>
      </c>
      <c r="W43">
        <f>HYPERLINK("https://klasma.github.io/Logging_0319/artfynd/A 63004-2025 artfynd.xlsx", "A 63004-2025")</f>
        <v/>
      </c>
      <c r="X43">
        <f>HYPERLINK("https://klasma.github.io/Logging_0319/kartor/A 63004-2025 karta.png", "A 63004-2025")</f>
        <v/>
      </c>
      <c r="Y43">
        <f>HYPERLINK("https://klasma.github.io/Logging_0319/kartor_geotiff/A 63004-2025 georefererad karta.tif", "A 63004-2025")</f>
        <v/>
      </c>
      <c r="AA43">
        <f>HYPERLINK("https://klasma.github.io/Logging_0319/klagomål/A 63004-2025 FSC-klagomål.docx", "A 63004-2025")</f>
        <v/>
      </c>
      <c r="AB43">
        <f>HYPERLINK("https://klasma.github.io/Logging_0319/klagomålsmail/A 63004-2025 FSC-klagomål mail.docx", "A 63004-2025")</f>
        <v/>
      </c>
      <c r="AC43">
        <f>HYPERLINK("https://klasma.github.io/Logging_0319/tillsyn/A 63004-2025 tillsynsbegäran.docx", "A 63004-2025")</f>
        <v/>
      </c>
      <c r="AD43">
        <f>HYPERLINK("https://klasma.github.io/Logging_0319/tillsynsmail/A 63004-2025 tillsynsbegäran mail.docx", "A 63004-2025")</f>
        <v/>
      </c>
    </row>
    <row r="44" ht="15" customHeight="1">
      <c r="A44" t="inlineStr">
        <is>
          <t>A 1673-2026</t>
        </is>
      </c>
      <c r="B44" t="inlineStr">
        <is>
          <t>avverkningsanmälan</t>
        </is>
      </c>
      <c r="C44" t="inlineStr">
        <is>
          <t>Föryngringsavverkning</t>
        </is>
      </c>
      <c r="D44" s="1" t="n">
        <v>46034</v>
      </c>
      <c r="E44" s="1" t="n">
        <v>46307</v>
      </c>
      <c r="F44" t="inlineStr">
        <is>
          <t>UPPSALA LÄN</t>
        </is>
      </c>
      <c r="G44" t="inlineStr">
        <is>
          <t>ÄLVKARLEBY</t>
        </is>
      </c>
      <c r="H44" t="inlineStr">
        <is>
          <t>Bergvik skog väst AB</t>
        </is>
      </c>
      <c r="I44" t="n">
        <v>1.9</v>
      </c>
      <c r="J44" t="n">
        <v>0</v>
      </c>
      <c r="K44" t="n">
        <v>1</v>
      </c>
      <c r="L44" t="n">
        <v>0</v>
      </c>
      <c r="M44" t="n">
        <v>0</v>
      </c>
      <c r="N44" t="n">
        <v>0</v>
      </c>
      <c r="O44" t="n">
        <v>0</v>
      </c>
      <c r="P44" t="n">
        <v>0</v>
      </c>
      <c r="Q44" t="n">
        <v>0</v>
      </c>
      <c r="R44" t="n">
        <v>0</v>
      </c>
      <c r="S44" t="n">
        <v>1</v>
      </c>
      <c r="T44" t="n">
        <v>1</v>
      </c>
      <c r="U44" t="n">
        <v>0</v>
      </c>
      <c r="V44" s="2" t="inlineStr">
        <is>
          <t>Tibast</t>
        </is>
      </c>
      <c r="W44">
        <f>HYPERLINK("https://klasma.github.io/Logging_0319/artfynd/A 1673-2026 artfynd.xlsx", "A 1673-2026")</f>
        <v/>
      </c>
      <c r="X44">
        <f>HYPERLINK("https://klasma.github.io/Logging_0319/kartor/A 1673-2026 karta.png", "A 1673-2026")</f>
        <v/>
      </c>
      <c r="Y44">
        <f>HYPERLINK("https://klasma.github.io/Logging_0319/kartor_geotiff/A 1673-2026 georefererad karta.tif", "A 1673-2026")</f>
        <v/>
      </c>
      <c r="AA44">
        <f>HYPERLINK("https://klasma.github.io/Logging_0319/klagomål/A 1673-2026 FSC-klagomål.docx", "A 1673-2026")</f>
        <v/>
      </c>
      <c r="AB44">
        <f>HYPERLINK("https://klasma.github.io/Logging_0319/klagomålsmail/A 1673-2026 FSC-klagomål mail.docx", "A 1673-2026")</f>
        <v/>
      </c>
      <c r="AC44">
        <f>HYPERLINK("https://klasma.github.io/Logging_0319/tillsyn/A 1673-2026 tillsynsbegäran.docx", "A 1673-2026")</f>
        <v/>
      </c>
      <c r="AD44">
        <f>HYPERLINK("https://klasma.github.io/Logging_0319/tillsynsmail/A 1673-2026 tillsynsbegäran mail.docx", "A 1673-2026")</f>
        <v/>
      </c>
    </row>
    <row r="45" ht="15" customHeight="1">
      <c r="A45" t="inlineStr">
        <is>
          <t>A 36217-2022</t>
        </is>
      </c>
      <c r="B45" t="inlineStr">
        <is>
          <t>avverkningsanmälan</t>
        </is>
      </c>
      <c r="C45" t="inlineStr">
        <is>
          <t>Avverkning för annat ändamål</t>
        </is>
      </c>
      <c r="D45" s="1" t="n">
        <v>44803</v>
      </c>
      <c r="E45" s="1" t="n">
        <v>46307</v>
      </c>
      <c r="F45" t="inlineStr">
        <is>
          <t>UPPSALA LÄN</t>
        </is>
      </c>
      <c r="G45" t="inlineStr">
        <is>
          <t>ÄLVKARLEBY</t>
        </is>
      </c>
      <c r="H45" t="inlineStr">
        <is>
          <t>Bergvik skog väst AB</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36282-2022</t>
        </is>
      </c>
      <c r="B46" t="inlineStr">
        <is>
          <t>avverkningsanmälan</t>
        </is>
      </c>
      <c r="C46" t="inlineStr">
        <is>
          <t>Avverkning för annat ändamål</t>
        </is>
      </c>
      <c r="D46" s="1" t="n">
        <v>44803</v>
      </c>
      <c r="E46" s="1" t="n">
        <v>46307</v>
      </c>
      <c r="F46" t="inlineStr">
        <is>
          <t>UPPSALA LÄN</t>
        </is>
      </c>
      <c r="G46" t="inlineStr">
        <is>
          <t>ÄLVKARLEBY</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36216-2022</t>
        </is>
      </c>
      <c r="B47" t="inlineStr">
        <is>
          <t>avverkningsanmälan</t>
        </is>
      </c>
      <c r="C47" t="inlineStr">
        <is>
          <t>Avverkning för annat ändamål</t>
        </is>
      </c>
      <c r="D47" s="1" t="n">
        <v>44803</v>
      </c>
      <c r="E47" s="1" t="n">
        <v>46307</v>
      </c>
      <c r="F47" t="inlineStr">
        <is>
          <t>UPPSALA LÄN</t>
        </is>
      </c>
      <c r="G47" t="inlineStr">
        <is>
          <t>ÄLVKARLEBY</t>
        </is>
      </c>
      <c r="H47" t="inlineStr">
        <is>
          <t>Bergvik skog väst AB</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14590-2023</t>
        </is>
      </c>
      <c r="B48" t="inlineStr">
        <is>
          <t>avverkningsanmälan</t>
        </is>
      </c>
      <c r="C48" t="inlineStr">
        <is>
          <t>Föryngringsavverkning</t>
        </is>
      </c>
      <c r="D48" s="1" t="n">
        <v>45013</v>
      </c>
      <c r="E48" s="1" t="n">
        <v>46307</v>
      </c>
      <c r="F48" t="inlineStr">
        <is>
          <t>UPPSALA LÄN</t>
        </is>
      </c>
      <c r="G48" t="inlineStr">
        <is>
          <t>ÄLVKARLEBY</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46307</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9533-2025</t>
        </is>
      </c>
      <c r="B50" t="inlineStr">
        <is>
          <t>avverkningsanmälan</t>
        </is>
      </c>
      <c r="C50" t="inlineStr">
        <is>
          <t>Föryngringsavverkning</t>
        </is>
      </c>
      <c r="D50" s="1" t="n">
        <v>45715</v>
      </c>
      <c r="E50" s="1" t="n">
        <v>46307</v>
      </c>
      <c r="F50" t="inlineStr">
        <is>
          <t>UPPSALA LÄN</t>
        </is>
      </c>
      <c r="G50" t="inlineStr">
        <is>
          <t>ÄLVKARLEBY</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46307</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41272-2023</t>
        </is>
      </c>
      <c r="B52" t="inlineStr">
        <is>
          <t>avverkningsanmälan</t>
        </is>
      </c>
      <c r="C52" t="inlineStr">
        <is>
          <t>Föryngringsavverkning</t>
        </is>
      </c>
      <c r="D52" s="1" t="n">
        <v>45174</v>
      </c>
      <c r="E52" s="1" t="n">
        <v>46307</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2183-2024</t>
        </is>
      </c>
      <c r="B53" t="inlineStr">
        <is>
          <t>avverkningsanmälan</t>
        </is>
      </c>
      <c r="C53" t="inlineStr">
        <is>
          <t>Föryngringsavverkning</t>
        </is>
      </c>
      <c r="D53" s="1" t="n">
        <v>45309</v>
      </c>
      <c r="E53" s="1" t="n">
        <v>46307</v>
      </c>
      <c r="F53" t="inlineStr">
        <is>
          <t>UPPSALA LÄN</t>
        </is>
      </c>
      <c r="G53" t="inlineStr">
        <is>
          <t>ÄLVKARLEBY</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46307</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45372-2024</t>
        </is>
      </c>
      <c r="B55" t="inlineStr">
        <is>
          <t>avverkningsanmälan</t>
        </is>
      </c>
      <c r="C55" t="inlineStr">
        <is>
          <t>Föryngringsavverkning</t>
        </is>
      </c>
      <c r="D55" s="1" t="n">
        <v>45576</v>
      </c>
      <c r="E55" s="1" t="n">
        <v>46307</v>
      </c>
      <c r="F55" t="inlineStr">
        <is>
          <t>UPPSALA LÄN</t>
        </is>
      </c>
      <c r="G55" t="inlineStr">
        <is>
          <t>ÄLVKARLEBY</t>
        </is>
      </c>
      <c r="H55" t="inlineStr">
        <is>
          <t>Bergvik skog väst AB</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16990-2022</t>
        </is>
      </c>
      <c r="B56" t="inlineStr">
        <is>
          <t>avverkningsanmälan</t>
        </is>
      </c>
      <c r="C56" t="inlineStr">
        <is>
          <t>Föryngringsavverkning</t>
        </is>
      </c>
      <c r="D56" s="1" t="n">
        <v>44676</v>
      </c>
      <c r="E56" s="1" t="n">
        <v>46307</v>
      </c>
      <c r="F56" t="inlineStr">
        <is>
          <t>UPPSALA LÄN</t>
        </is>
      </c>
      <c r="G56" t="inlineStr">
        <is>
          <t>ÄLVKARLEBY</t>
        </is>
      </c>
      <c r="H56" t="inlineStr">
        <is>
          <t>Bergvik skog väst AB</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25330-2025</t>
        </is>
      </c>
      <c r="B57" t="inlineStr">
        <is>
          <t>avverkningsanmälan</t>
        </is>
      </c>
      <c r="C57" t="inlineStr">
        <is>
          <t>Föryngringsavverkning</t>
        </is>
      </c>
      <c r="D57" s="1" t="n">
        <v>45800</v>
      </c>
      <c r="E57" s="1" t="n">
        <v>46307</v>
      </c>
      <c r="F57" t="inlineStr">
        <is>
          <t>UPPSALA LÄN</t>
        </is>
      </c>
      <c r="G57" t="inlineStr">
        <is>
          <t>ÄLVKARLEBY</t>
        </is>
      </c>
      <c r="H57" t="inlineStr">
        <is>
          <t>Bergvik skog väst AB</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46307</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46307</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46307</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46307</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46307</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46307</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46307</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32187-2025</t>
        </is>
      </c>
      <c r="B65" t="inlineStr">
        <is>
          <t>avverkningsanmälan</t>
        </is>
      </c>
      <c r="C65" t="inlineStr">
        <is>
          <t>Föryngringsavverkning</t>
        </is>
      </c>
      <c r="D65" s="1" t="n">
        <v>45835</v>
      </c>
      <c r="E65" s="1" t="n">
        <v>46307</v>
      </c>
      <c r="F65" t="inlineStr">
        <is>
          <t>UPPSALA LÄN</t>
        </is>
      </c>
      <c r="G65" t="inlineStr">
        <is>
          <t>ÄLVKARLEBY</t>
        </is>
      </c>
      <c r="H65" t="inlineStr">
        <is>
          <t>Bergvik skog väst AB</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46307</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46307</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46113-2023</t>
        </is>
      </c>
      <c r="B68" t="inlineStr">
        <is>
          <t>avverkningsanmälan</t>
        </is>
      </c>
      <c r="C68" t="inlineStr">
        <is>
          <t>Föryngringsavverkning</t>
        </is>
      </c>
      <c r="D68" s="1" t="n">
        <v>45196</v>
      </c>
      <c r="E68" s="1" t="n">
        <v>46307</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46307</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14091-2026</t>
        </is>
      </c>
      <c r="B70" t="inlineStr">
        <is>
          <t>avverkningsanmälan</t>
        </is>
      </c>
      <c r="C70" t="inlineStr">
        <is>
          <t>Föryngringsavverkning</t>
        </is>
      </c>
      <c r="D70" s="1" t="n">
        <v>46099</v>
      </c>
      <c r="E70" s="1" t="n">
        <v>46307</v>
      </c>
      <c r="F70" t="inlineStr">
        <is>
          <t>UPPSALA LÄN</t>
        </is>
      </c>
      <c r="G70" t="inlineStr">
        <is>
          <t>ÄLVKARLEBY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46307</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17851-2026</t>
        </is>
      </c>
      <c r="B72" t="inlineStr">
        <is>
          <t>avverkningsanmälan</t>
        </is>
      </c>
      <c r="C72" t="inlineStr">
        <is>
          <t>Föryngringsavverkning</t>
        </is>
      </c>
      <c r="D72" s="1" t="n">
        <v>46122</v>
      </c>
      <c r="E72" s="1" t="n">
        <v>46307</v>
      </c>
      <c r="F72" t="inlineStr">
        <is>
          <t>UPPSALA LÄN</t>
        </is>
      </c>
      <c r="G72" t="inlineStr">
        <is>
          <t>ÄLVKARLEBY</t>
        </is>
      </c>
      <c r="H72" t="inlineStr">
        <is>
          <t>Bergvik skog öst AB</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46307</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41276-2023</t>
        </is>
      </c>
      <c r="B74" t="inlineStr">
        <is>
          <t>avverkningsanmälan</t>
        </is>
      </c>
      <c r="C74" t="inlineStr">
        <is>
          <t>Föryngringsavverkning</t>
        </is>
      </c>
      <c r="D74" s="1" t="n">
        <v>45174</v>
      </c>
      <c r="E74" s="1" t="n">
        <v>46307</v>
      </c>
      <c r="F74" t="inlineStr">
        <is>
          <t>UPPSALA LÄN</t>
        </is>
      </c>
      <c r="G74" t="inlineStr">
        <is>
          <t>ÄLVKARLEBY</t>
        </is>
      </c>
      <c r="H74" t="inlineStr">
        <is>
          <t>Bergvik skog väst AB</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46307</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46307</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41929-2024</t>
        </is>
      </c>
      <c r="B77" t="inlineStr">
        <is>
          <t>avverkningsanmälan</t>
        </is>
      </c>
      <c r="C77" t="inlineStr">
        <is>
          <t>Föryngringsavverkning</t>
        </is>
      </c>
      <c r="D77" s="1" t="n">
        <v>45561</v>
      </c>
      <c r="E77" s="1" t="n">
        <v>46307</v>
      </c>
      <c r="F77" t="inlineStr">
        <is>
          <t>UPPSALA LÄN</t>
        </is>
      </c>
      <c r="G77" t="inlineStr">
        <is>
          <t>ÄLVKARLEBY</t>
        </is>
      </c>
      <c r="H77" t="inlineStr">
        <is>
          <t>Bergvik skog väst AB</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46307</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46307</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46307</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46307</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46307</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46307</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46307</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38636-2026</t>
        </is>
      </c>
      <c r="B85" t="inlineStr">
        <is>
          <t>avverkningsanmälan</t>
        </is>
      </c>
      <c r="C85" t="inlineStr">
        <is>
          <t>Föryngringsavverkning</t>
        </is>
      </c>
      <c r="D85" s="1" t="n">
        <v>46283</v>
      </c>
      <c r="E85" s="1" t="n">
        <v>46307</v>
      </c>
      <c r="F85" t="inlineStr">
        <is>
          <t>UPPSALA LÄN</t>
        </is>
      </c>
      <c r="G85" t="inlineStr">
        <is>
          <t>ÄLVKARLEBY</t>
        </is>
      </c>
      <c r="H85" t="inlineStr">
        <is>
          <t>Bergvik skog väst AB</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40057-2026</t>
        </is>
      </c>
      <c r="B86" t="inlineStr">
        <is>
          <t>avverkningsanmälan</t>
        </is>
      </c>
      <c r="C86" t="inlineStr">
        <is>
          <t>Föryngringsavverkning</t>
        </is>
      </c>
      <c r="D86" s="1" t="n">
        <v>46293</v>
      </c>
      <c r="E86" s="1" t="n">
        <v>46307</v>
      </c>
      <c r="F86" t="inlineStr">
        <is>
          <t>UPPSALA LÄN</t>
        </is>
      </c>
      <c r="G86" t="inlineStr">
        <is>
          <t>ÄLVKARLEBY</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38617-2026</t>
        </is>
      </c>
      <c r="B87" t="inlineStr">
        <is>
          <t>avverkningsanmälan</t>
        </is>
      </c>
      <c r="C87" t="inlineStr">
        <is>
          <t>Föryngringsavverkning</t>
        </is>
      </c>
      <c r="D87" s="1" t="n">
        <v>46283</v>
      </c>
      <c r="E87" s="1" t="n">
        <v>46307</v>
      </c>
      <c r="F87" t="inlineStr">
        <is>
          <t>UPPSALA LÄN</t>
        </is>
      </c>
      <c r="G87" t="inlineStr">
        <is>
          <t>ÄLVKARLEBY</t>
        </is>
      </c>
      <c r="H87" t="inlineStr">
        <is>
          <t>Bergvik skog väst AB</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45033-2025</t>
        </is>
      </c>
      <c r="B88" t="inlineStr">
        <is>
          <t>avverkningsanmälan</t>
        </is>
      </c>
      <c r="C88" t="inlineStr">
        <is>
          <t>Föryngringsavverkning</t>
        </is>
      </c>
      <c r="D88" s="1" t="n">
        <v>45918</v>
      </c>
      <c r="E88" s="1" t="n">
        <v>46307</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46307</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33485-2026</t>
        </is>
      </c>
      <c r="B90" t="inlineStr">
        <is>
          <t>avverkningsanmälan</t>
        </is>
      </c>
      <c r="C90" t="inlineStr">
        <is>
          <t>Föryngringsavverkning</t>
        </is>
      </c>
      <c r="D90" s="1" t="n">
        <v>46247</v>
      </c>
      <c r="E90" s="1" t="n">
        <v>46307</v>
      </c>
      <c r="F90" t="inlineStr">
        <is>
          <t>UPPSALA LÄN</t>
        </is>
      </c>
      <c r="G90" t="inlineStr">
        <is>
          <t>ÄLVKARLEBY</t>
        </is>
      </c>
      <c r="H90" t="inlineStr">
        <is>
          <t>Bergvik skog öst AB</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35356-2026</t>
        </is>
      </c>
      <c r="B91" t="inlineStr">
        <is>
          <t>avverkningsanmälan</t>
        </is>
      </c>
      <c r="C91" t="inlineStr">
        <is>
          <t>Föryngringsavverkning</t>
        </is>
      </c>
      <c r="D91" s="1" t="n">
        <v>46261</v>
      </c>
      <c r="E91" s="1" t="n">
        <v>46307</v>
      </c>
      <c r="F91" t="inlineStr">
        <is>
          <t>UPPSALA LÄN</t>
        </is>
      </c>
      <c r="G91" t="inlineStr">
        <is>
          <t>ÄLVKARLEBY</t>
        </is>
      </c>
      <c r="H91" t="inlineStr">
        <is>
          <t>Bergvik skog öst AB</t>
        </is>
      </c>
      <c r="I91" t="n">
        <v>2.1</v>
      </c>
      <c r="J91" t="n">
        <v>0</v>
      </c>
      <c r="K91" t="n">
        <v>0</v>
      </c>
      <c r="L91" t="n">
        <v>0</v>
      </c>
      <c r="M91" t="n">
        <v>0</v>
      </c>
      <c r="N91" t="n">
        <v>0</v>
      </c>
      <c r="O91" t="n">
        <v>0</v>
      </c>
      <c r="P91" t="n">
        <v>0</v>
      </c>
      <c r="Q91" t="n">
        <v>0</v>
      </c>
      <c r="R91" t="n">
        <v>0</v>
      </c>
      <c r="S91" t="n">
        <v>0</v>
      </c>
      <c r="T91" t="n">
        <v>0</v>
      </c>
      <c r="U91" t="n">
        <v>0</v>
      </c>
      <c r="V91" s="2" t="inlineStr"/>
    </row>
    <row r="92">
      <c r="A92" t="inlineStr">
        <is>
          <t>A 4134-2026</t>
        </is>
      </c>
      <c r="B92" t="inlineStr">
        <is>
          <t>avverkningsanmälan</t>
        </is>
      </c>
      <c r="C92" t="inlineStr">
        <is>
          <t>Föryngringsavverkning</t>
        </is>
      </c>
      <c r="D92" s="1" t="n">
        <v>46044</v>
      </c>
      <c r="E92" s="1" t="n">
        <v>46307</v>
      </c>
      <c r="F92" t="inlineStr">
        <is>
          <t>UPPSALA LÄN</t>
        </is>
      </c>
      <c r="G92" t="inlineStr">
        <is>
          <t>ÄLVKARLEBY</t>
        </is>
      </c>
      <c r="H92" t="inlineStr">
        <is>
          <t>Bergvik skog öst AB</t>
        </is>
      </c>
      <c r="I92" t="n">
        <v>5.1</v>
      </c>
      <c r="J92" t="n">
        <v>0</v>
      </c>
      <c r="K92" t="n">
        <v>0</v>
      </c>
      <c r="L92" t="n">
        <v>0</v>
      </c>
      <c r="M92" t="n">
        <v>0</v>
      </c>
      <c r="N92" t="n">
        <v>0</v>
      </c>
      <c r="O92" t="n">
        <v>0</v>
      </c>
      <c r="P92" t="n">
        <v>0</v>
      </c>
      <c r="Q92" t="n">
        <v>0</v>
      </c>
      <c r="R92" t="n">
        <v>0</v>
      </c>
      <c r="S92" t="n">
        <v>0</v>
      </c>
      <c r="T92" t="n">
        <v>0</v>
      </c>
      <c r="U92" t="n">
        <v>0</v>
      </c>
      <c r="V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2026-10-12T02:04:42Z</dcterms:created>
  <dcterms:modified xmlns:dcterms="http://purl.org/dc/terms/" xmlns:xsi="http://www.w3.org/2001/XMLSchema-instance" xsi:type="dcterms:W3CDTF">2026-10-12T02:04:42Z</dcterms:modified>
</cp:coreProperties>
</file>