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46266</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46266</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46266</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46266</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46266</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46266</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46266</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46266</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46266</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46266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46266</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46266</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46266</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46266</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46266</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46266</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46266</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19304-2024</t>
        </is>
      </c>
      <c r="B29" t="inlineStr">
        <is>
          <t>avverkningsanmälan</t>
        </is>
      </c>
      <c r="C29" t="inlineStr">
        <is>
          <t>Föryngringsavverkning</t>
        </is>
      </c>
      <c r="D29" s="1" t="n">
        <v>45428</v>
      </c>
      <c r="E29" s="1" t="n">
        <v>46266</v>
      </c>
      <c r="F29" t="inlineStr">
        <is>
          <t>UPPSALA LÄN</t>
        </is>
      </c>
      <c r="G29" t="inlineStr">
        <is>
          <t>ÄLVKARLEBY</t>
        </is>
      </c>
      <c r="I29" t="n">
        <v>0.2</v>
      </c>
      <c r="J29" t="n">
        <v>0</v>
      </c>
      <c r="K29" t="n">
        <v>0</v>
      </c>
      <c r="L29" t="n">
        <v>0</v>
      </c>
      <c r="M29" t="n">
        <v>1</v>
      </c>
      <c r="N29" t="n">
        <v>0</v>
      </c>
      <c r="O29" t="n">
        <v>0</v>
      </c>
      <c r="P29" t="n">
        <v>0</v>
      </c>
      <c r="Q29" t="n">
        <v>1</v>
      </c>
      <c r="R29" t="n">
        <v>1</v>
      </c>
      <c r="S29" t="n">
        <v>1</v>
      </c>
      <c r="T29" t="n">
        <v>1</v>
      </c>
      <c r="U29" t="n">
        <v>0</v>
      </c>
      <c r="V29" s="2" t="inlineStr">
        <is>
          <t>Mindre bastardsvärmare</t>
        </is>
      </c>
      <c r="W29">
        <f>HYPERLINK("https://klasma.github.io/Logging_0319/artfynd/A 19304-2024 artfynd.xlsx", "A 19304-2024")</f>
        <v/>
      </c>
      <c r="X29">
        <f>HYPERLINK("https://klasma.github.io/Logging_0319/kartor/A 19304-2024 karta.png", "A 19304-2024")</f>
        <v/>
      </c>
      <c r="Y29">
        <f>HYPERLINK("https://klasma.github.io/Logging_0319/kartor_geotiff/A 19304-2024 georefererad karta.tif", "A 19304-2024")</f>
        <v/>
      </c>
      <c r="AA29">
        <f>HYPERLINK("https://klasma.github.io/Logging_0319/klagomål/A 19304-2024 FSC-klagomål.docx", "A 19304-2024")</f>
        <v/>
      </c>
      <c r="AB29">
        <f>HYPERLINK("https://klasma.github.io/Logging_0319/klagomålsmail/A 19304-2024 FSC-klagomål mail.docx", "A 19304-2024")</f>
        <v/>
      </c>
      <c r="AC29">
        <f>HYPERLINK("https://klasma.github.io/Logging_0319/tillsyn/A 19304-2024 tillsynsbegäran.docx", "A 19304-2024")</f>
        <v/>
      </c>
      <c r="AD29">
        <f>HYPERLINK("https://klasma.github.io/Logging_0319/tillsynsmail/A 19304-2024 tillsynsbegäran mail.docx", "A 19304-2024")</f>
        <v/>
      </c>
    </row>
    <row r="30" ht="15" customHeight="1">
      <c r="A30" t="inlineStr">
        <is>
          <t>A 10455-2022</t>
        </is>
      </c>
      <c r="B30" t="inlineStr">
        <is>
          <t>avverkningsanmälan</t>
        </is>
      </c>
      <c r="C30" t="inlineStr">
        <is>
          <t>Föryngringsavverkning</t>
        </is>
      </c>
      <c r="D30" s="1" t="n">
        <v>44623</v>
      </c>
      <c r="E30" s="1" t="n">
        <v>46266</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51238-2025</t>
        </is>
      </c>
      <c r="B31" t="inlineStr">
        <is>
          <t>avverkningsanmälan</t>
        </is>
      </c>
      <c r="C31" t="inlineStr">
        <is>
          <t>Föryngringsavverkning</t>
        </is>
      </c>
      <c r="D31" s="1" t="n">
        <v>45947</v>
      </c>
      <c r="E31" s="1" t="n">
        <v>46266</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43285-2023</t>
        </is>
      </c>
      <c r="B32" t="inlineStr">
        <is>
          <t>avverkningsanmälan</t>
        </is>
      </c>
      <c r="C32" t="inlineStr">
        <is>
          <t>Föryngringsavverkning</t>
        </is>
      </c>
      <c r="D32" s="1" t="n">
        <v>45183</v>
      </c>
      <c r="E32" s="1" t="n">
        <v>46266</v>
      </c>
      <c r="F32" t="inlineStr">
        <is>
          <t>UPPSALA LÄN</t>
        </is>
      </c>
      <c r="G32" t="inlineStr">
        <is>
          <t>ÄLVKARLEBY</t>
        </is>
      </c>
      <c r="H32" t="inlineStr">
        <is>
          <t>Bergvik skog väst AB</t>
        </is>
      </c>
      <c r="I32" t="n">
        <v>1.3</v>
      </c>
      <c r="J32" t="n">
        <v>1</v>
      </c>
      <c r="K32" t="n">
        <v>0</v>
      </c>
      <c r="L32" t="n">
        <v>0</v>
      </c>
      <c r="M32" t="n">
        <v>0</v>
      </c>
      <c r="N32" t="n">
        <v>0</v>
      </c>
      <c r="O32" t="n">
        <v>0</v>
      </c>
      <c r="P32" t="n">
        <v>0</v>
      </c>
      <c r="Q32" t="n">
        <v>0</v>
      </c>
      <c r="R32" t="n">
        <v>0</v>
      </c>
      <c r="S32" t="n">
        <v>1</v>
      </c>
      <c r="T32" t="n">
        <v>1</v>
      </c>
      <c r="U32" t="n">
        <v>0</v>
      </c>
      <c r="V32" s="2" t="inlineStr">
        <is>
          <t>Vanlig groda</t>
        </is>
      </c>
      <c r="W32">
        <f>HYPERLINK("https://klasma.github.io/Logging_0319/artfynd/A 43285-2023 artfynd.xlsx", "A 43285-2023")</f>
        <v/>
      </c>
      <c r="X32">
        <f>HYPERLINK("https://klasma.github.io/Logging_0319/kartor/A 43285-2023 karta.png", "A 43285-2023")</f>
        <v/>
      </c>
      <c r="Y32">
        <f>HYPERLINK("https://klasma.github.io/Logging_0319/kartor_geotiff/A 43285-2023 georefererad karta.tif", "A 43285-2023")</f>
        <v/>
      </c>
      <c r="AA32">
        <f>HYPERLINK("https://klasma.github.io/Logging_0319/klagomål/A 43285-2023 FSC-klagomål.docx", "A 43285-2023")</f>
        <v/>
      </c>
      <c r="AB32">
        <f>HYPERLINK("https://klasma.github.io/Logging_0319/klagomålsmail/A 43285-2023 FSC-klagomål mail.docx", "A 43285-2023")</f>
        <v/>
      </c>
      <c r="AC32">
        <f>HYPERLINK("https://klasma.github.io/Logging_0319/tillsyn/A 43285-2023 tillsynsbegäran.docx", "A 43285-2023")</f>
        <v/>
      </c>
      <c r="AD32">
        <f>HYPERLINK("https://klasma.github.io/Logging_0319/tillsynsmail/A 43285-2023 tillsynsbegäran mail.docx", "A 43285-2023")</f>
        <v/>
      </c>
    </row>
    <row r="33" ht="15" customHeight="1">
      <c r="A33" t="inlineStr">
        <is>
          <t>A 70017-2021</t>
        </is>
      </c>
      <c r="B33" t="inlineStr">
        <is>
          <t>avverkningsanmälan</t>
        </is>
      </c>
      <c r="C33" t="inlineStr">
        <is>
          <t>Föryngringsavverkning</t>
        </is>
      </c>
      <c r="D33" s="1" t="n">
        <v>44533</v>
      </c>
      <c r="E33" s="1" t="n">
        <v>46266</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57734-2025</t>
        </is>
      </c>
      <c r="B34" t="inlineStr">
        <is>
          <t>avverkningsanmälan</t>
        </is>
      </c>
      <c r="C34" t="inlineStr">
        <is>
          <t>Föryngringsavverkning</t>
        </is>
      </c>
      <c r="D34" s="1" t="n">
        <v>45981</v>
      </c>
      <c r="E34" s="1" t="n">
        <v>46266</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46266</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46266</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46266</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46266</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7286-2023</t>
        </is>
      </c>
      <c r="B39" t="inlineStr">
        <is>
          <t>avverkningsanmälan</t>
        </is>
      </c>
      <c r="C39" t="inlineStr">
        <is>
          <t>Avverkning för annat ändamål</t>
        </is>
      </c>
      <c r="D39" s="1" t="n">
        <v>44970</v>
      </c>
      <c r="E39" s="1" t="n">
        <v>46266</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4131-2026</t>
        </is>
      </c>
      <c r="B40" t="inlineStr">
        <is>
          <t>avverkningsanmälan</t>
        </is>
      </c>
      <c r="C40" t="inlineStr">
        <is>
          <t>Föryngringsavverkning</t>
        </is>
      </c>
      <c r="D40" s="1" t="n">
        <v>46044</v>
      </c>
      <c r="E40" s="1" t="n">
        <v>46266</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14127-2026</t>
        </is>
      </c>
      <c r="B41" t="inlineStr">
        <is>
          <t>avverkningsanmälan</t>
        </is>
      </c>
      <c r="C41" t="inlineStr">
        <is>
          <t>Föryngringsavverkning</t>
        </is>
      </c>
      <c r="D41" s="1" t="n">
        <v>46099</v>
      </c>
      <c r="E41" s="1" t="n">
        <v>46266</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19303-2024</t>
        </is>
      </c>
      <c r="B42" t="inlineStr">
        <is>
          <t>avverkningsanmälan</t>
        </is>
      </c>
      <c r="C42" t="inlineStr">
        <is>
          <t>Föryngringsavverkning</t>
        </is>
      </c>
      <c r="D42" s="1" t="n">
        <v>45428</v>
      </c>
      <c r="E42" s="1" t="n">
        <v>46266</v>
      </c>
      <c r="F42" t="inlineStr">
        <is>
          <t>UPPSALA LÄN</t>
        </is>
      </c>
      <c r="G42" t="inlineStr">
        <is>
          <t>ÄLVKARLEBY</t>
        </is>
      </c>
      <c r="I42" t="n">
        <v>0.4</v>
      </c>
      <c r="J42" t="n">
        <v>1</v>
      </c>
      <c r="K42" t="n">
        <v>0</v>
      </c>
      <c r="L42" t="n">
        <v>0</v>
      </c>
      <c r="M42" t="n">
        <v>1</v>
      </c>
      <c r="N42" t="n">
        <v>0</v>
      </c>
      <c r="O42" t="n">
        <v>0</v>
      </c>
      <c r="P42" t="n">
        <v>0</v>
      </c>
      <c r="Q42" t="n">
        <v>1</v>
      </c>
      <c r="R42" t="n">
        <v>1</v>
      </c>
      <c r="S42" t="n">
        <v>1</v>
      </c>
      <c r="T42" t="n">
        <v>1</v>
      </c>
      <c r="U42" t="n">
        <v>1</v>
      </c>
      <c r="V42" s="2" t="inlineStr">
        <is>
          <t>Gölgroda</t>
        </is>
      </c>
      <c r="W42">
        <f>HYPERLINK("https://klasma.github.io/Logging_0319/artfynd/A 19303-2024 artfynd.xlsx", "A 19303-2024")</f>
        <v/>
      </c>
      <c r="X42">
        <f>HYPERLINK("https://klasma.github.io/Logging_0319/kartor/A 19303-2024 karta.png", "A 19303-2024")</f>
        <v/>
      </c>
      <c r="Y42">
        <f>HYPERLINK("https://klasma.github.io/Logging_0319/kartor_geotiff/A 19303-2024 georefererad karta.tif", "A 19303-2024")</f>
        <v/>
      </c>
      <c r="AA42">
        <f>HYPERLINK("https://klasma.github.io/Logging_0319/klagomål/A 19303-2024 FSC-klagomål.docx", "A 19303-2024")</f>
        <v/>
      </c>
      <c r="AB42">
        <f>HYPERLINK("https://klasma.github.io/Logging_0319/klagomålsmail/A 19303-2024 FSC-klagomål mail.docx", "A 19303-2024")</f>
        <v/>
      </c>
      <c r="AC42">
        <f>HYPERLINK("https://klasma.github.io/Logging_0319/tillsyn/A 19303-2024 tillsynsbegäran.docx", "A 19303-2024")</f>
        <v/>
      </c>
      <c r="AD42">
        <f>HYPERLINK("https://klasma.github.io/Logging_0319/tillsynsmail/A 19303-2024 tillsynsbegäran mail.docx", "A 19303-2024")</f>
        <v/>
      </c>
    </row>
    <row r="43" ht="15" customHeight="1">
      <c r="A43" t="inlineStr">
        <is>
          <t>A 3950-2025</t>
        </is>
      </c>
      <c r="B43" t="inlineStr">
        <is>
          <t>avverkningsanmälan</t>
        </is>
      </c>
      <c r="C43" t="inlineStr">
        <is>
          <t>Avverkning för annat ändamål</t>
        </is>
      </c>
      <c r="D43" s="1" t="n">
        <v>45684</v>
      </c>
      <c r="E43" s="1" t="n">
        <v>46266</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19300-2024</t>
        </is>
      </c>
      <c r="B44" t="inlineStr">
        <is>
          <t>avverkningsanmälan</t>
        </is>
      </c>
      <c r="C44" t="inlineStr">
        <is>
          <t>Föryngringsavverkning</t>
        </is>
      </c>
      <c r="D44" s="1" t="n">
        <v>45428</v>
      </c>
      <c r="E44" s="1" t="n">
        <v>46266</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30233-2026</t>
        </is>
      </c>
      <c r="B45" t="inlineStr">
        <is>
          <t>avverkningsanmälan</t>
        </is>
      </c>
      <c r="C45" t="inlineStr">
        <is>
          <t>Föryngringsavverkning</t>
        </is>
      </c>
      <c r="D45" s="1" t="n">
        <v>46206</v>
      </c>
      <c r="E45" s="1" t="n">
        <v>46266</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46266</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46266</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46266</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46266</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26664-2025</t>
        </is>
      </c>
      <c r="B50" t="inlineStr">
        <is>
          <t>avverkningsanmälan</t>
        </is>
      </c>
      <c r="C50" t="inlineStr">
        <is>
          <t>Avverkning för att bevara och utveckla /försöksver</t>
        </is>
      </c>
      <c r="D50" s="1" t="n">
        <v>45810</v>
      </c>
      <c r="E50" s="1" t="n">
        <v>46266</v>
      </c>
      <c r="F50" t="inlineStr">
        <is>
          <t>UPPSALA LÄN</t>
        </is>
      </c>
      <c r="G50" t="inlineStr">
        <is>
          <t>ÄLVKARLEBY</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46266</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25330-2025</t>
        </is>
      </c>
      <c r="B52" t="inlineStr">
        <is>
          <t>avverkningsanmälan</t>
        </is>
      </c>
      <c r="C52" t="inlineStr">
        <is>
          <t>Föryngringsavverkning</t>
        </is>
      </c>
      <c r="D52" s="1" t="n">
        <v>45800</v>
      </c>
      <c r="E52" s="1" t="n">
        <v>46266</v>
      </c>
      <c r="F52" t="inlineStr">
        <is>
          <t>UPPSALA LÄN</t>
        </is>
      </c>
      <c r="G52" t="inlineStr">
        <is>
          <t>ÄLVKARLEBY</t>
        </is>
      </c>
      <c r="H52" t="inlineStr">
        <is>
          <t>Bergvik skog väst AB</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46266</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46266</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50398-2025</t>
        </is>
      </c>
      <c r="B55" t="inlineStr">
        <is>
          <t>avverkningsanmälan</t>
        </is>
      </c>
      <c r="C55" t="inlineStr">
        <is>
          <t>Avverkning för att bevara och utveckla /försöksver</t>
        </is>
      </c>
      <c r="D55" s="1" t="n">
        <v>45944</v>
      </c>
      <c r="E55" s="1" t="n">
        <v>46266</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50371-2025</t>
        </is>
      </c>
      <c r="B56" t="inlineStr">
        <is>
          <t>avverkningsanmälan</t>
        </is>
      </c>
      <c r="C56" t="inlineStr">
        <is>
          <t>Föryngringsavverkning</t>
        </is>
      </c>
      <c r="D56" s="1" t="n">
        <v>45944</v>
      </c>
      <c r="E56" s="1" t="n">
        <v>46266</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51237-2025</t>
        </is>
      </c>
      <c r="B57" t="inlineStr">
        <is>
          <t>avverkningsanmälan</t>
        </is>
      </c>
      <c r="C57" t="inlineStr">
        <is>
          <t>Föryngringsavverkning</t>
        </is>
      </c>
      <c r="D57" s="1" t="n">
        <v>45947</v>
      </c>
      <c r="E57" s="1" t="n">
        <v>46266</v>
      </c>
      <c r="F57" t="inlineStr">
        <is>
          <t>UPPSALA LÄN</t>
        </is>
      </c>
      <c r="G57" t="inlineStr">
        <is>
          <t>ÄLVKARLEBY</t>
        </is>
      </c>
      <c r="H57" t="inlineStr">
        <is>
          <t>Bergvik skog väst AB</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32187-2025</t>
        </is>
      </c>
      <c r="B58" t="inlineStr">
        <is>
          <t>avverkningsanmälan</t>
        </is>
      </c>
      <c r="C58" t="inlineStr">
        <is>
          <t>Föryngringsavverkning</t>
        </is>
      </c>
      <c r="D58" s="1" t="n">
        <v>45835</v>
      </c>
      <c r="E58" s="1" t="n">
        <v>46266</v>
      </c>
      <c r="F58" t="inlineStr">
        <is>
          <t>UPPSALA LÄN</t>
        </is>
      </c>
      <c r="G58" t="inlineStr">
        <is>
          <t>ÄLVKARLEBY</t>
        </is>
      </c>
      <c r="H58" t="inlineStr">
        <is>
          <t>Bergvik skog väst AB</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52477-2025</t>
        </is>
      </c>
      <c r="B59" t="inlineStr">
        <is>
          <t>avverkningsanmälan</t>
        </is>
      </c>
      <c r="C59" t="inlineStr">
        <is>
          <t>Föryngringsavverkning</t>
        </is>
      </c>
      <c r="D59" s="1" t="n">
        <v>45954</v>
      </c>
      <c r="E59" s="1" t="n">
        <v>46266</v>
      </c>
      <c r="F59" t="inlineStr">
        <is>
          <t>UPPSALA LÄN</t>
        </is>
      </c>
      <c r="G59" t="inlineStr">
        <is>
          <t>ÄLVKARLEBY</t>
        </is>
      </c>
      <c r="H59" t="inlineStr">
        <is>
          <t>Bergvik skog väst AB</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52498-2025</t>
        </is>
      </c>
      <c r="B60" t="inlineStr">
        <is>
          <t>avverkningsanmälan</t>
        </is>
      </c>
      <c r="C60" t="inlineStr">
        <is>
          <t>Föryngringsavverkning</t>
        </is>
      </c>
      <c r="D60" s="1" t="n">
        <v>45954</v>
      </c>
      <c r="E60" s="1" t="n">
        <v>46266</v>
      </c>
      <c r="F60" t="inlineStr">
        <is>
          <t>UPPSALA LÄN</t>
        </is>
      </c>
      <c r="G60" t="inlineStr">
        <is>
          <t>ÄLVKARLEBY</t>
        </is>
      </c>
      <c r="H60" t="inlineStr">
        <is>
          <t>Bergvik skog väst AB</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53184-2025</t>
        </is>
      </c>
      <c r="B61" t="inlineStr">
        <is>
          <t>avverkningsanmälan</t>
        </is>
      </c>
      <c r="C61" t="inlineStr">
        <is>
          <t>Föryngringsavverkning</t>
        </is>
      </c>
      <c r="D61" s="1" t="n">
        <v>45958</v>
      </c>
      <c r="E61" s="1" t="n">
        <v>46266</v>
      </c>
      <c r="F61" t="inlineStr">
        <is>
          <t>UPPSALA LÄN</t>
        </is>
      </c>
      <c r="G61" t="inlineStr">
        <is>
          <t>ÄLVKARLEBY</t>
        </is>
      </c>
      <c r="H61" t="inlineStr">
        <is>
          <t>Bergvik skog väst AB</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53173-2025</t>
        </is>
      </c>
      <c r="B62" t="inlineStr">
        <is>
          <t>avverkningsanmälan</t>
        </is>
      </c>
      <c r="C62" t="inlineStr">
        <is>
          <t>Föryngringsavverkning</t>
        </is>
      </c>
      <c r="D62" s="1" t="n">
        <v>45958</v>
      </c>
      <c r="E62" s="1" t="n">
        <v>46266</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9533-2025</t>
        </is>
      </c>
      <c r="B63" t="inlineStr">
        <is>
          <t>avverkningsanmälan</t>
        </is>
      </c>
      <c r="C63" t="inlineStr">
        <is>
          <t>Föryngringsavverkning</t>
        </is>
      </c>
      <c r="D63" s="1" t="n">
        <v>45715</v>
      </c>
      <c r="E63" s="1" t="n">
        <v>46266</v>
      </c>
      <c r="F63" t="inlineStr">
        <is>
          <t>UPPSALA LÄN</t>
        </is>
      </c>
      <c r="G63" t="inlineStr">
        <is>
          <t>ÄLVKARLEBY</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2184-2024</t>
        </is>
      </c>
      <c r="B64" t="inlineStr">
        <is>
          <t>avverkningsanmälan</t>
        </is>
      </c>
      <c r="C64" t="inlineStr">
        <is>
          <t>Föryngringsavverkning</t>
        </is>
      </c>
      <c r="D64" s="1" t="n">
        <v>45309</v>
      </c>
      <c r="E64" s="1" t="n">
        <v>46266</v>
      </c>
      <c r="F64" t="inlineStr">
        <is>
          <t>UPPSALA LÄN</t>
        </is>
      </c>
      <c r="G64" t="inlineStr">
        <is>
          <t>ÄLVKARLEBY</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46266</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46266</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60256-2025</t>
        </is>
      </c>
      <c r="B67" t="inlineStr">
        <is>
          <t>avverkningsanmälan</t>
        </is>
      </c>
      <c r="C67" t="inlineStr">
        <is>
          <t>Föryngringsavverkning</t>
        </is>
      </c>
      <c r="D67" s="1" t="n">
        <v>45994</v>
      </c>
      <c r="E67" s="1" t="n">
        <v>46266</v>
      </c>
      <c r="F67" t="inlineStr">
        <is>
          <t>UPPSALA LÄN</t>
        </is>
      </c>
      <c r="G67" t="inlineStr">
        <is>
          <t>ÄLVKARLEBY</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60842-2025</t>
        </is>
      </c>
      <c r="B68" t="inlineStr">
        <is>
          <t>avverkningsanmälan</t>
        </is>
      </c>
      <c r="C68" t="inlineStr">
        <is>
          <t>Avverkning för att bevara och utveckla /försöksver</t>
        </is>
      </c>
      <c r="D68" s="1" t="n">
        <v>45999</v>
      </c>
      <c r="E68" s="1" t="n">
        <v>46266</v>
      </c>
      <c r="F68" t="inlineStr">
        <is>
          <t>UPPSALA LÄN</t>
        </is>
      </c>
      <c r="G68" t="inlineStr">
        <is>
          <t>ÄLVKARLEBY</t>
        </is>
      </c>
      <c r="H68" t="inlineStr">
        <is>
          <t>Bergvik skog väst AB</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61694-2025</t>
        </is>
      </c>
      <c r="B69" t="inlineStr">
        <is>
          <t>avverkningsanmälan</t>
        </is>
      </c>
      <c r="C69" t="inlineStr">
        <is>
          <t>Föryngringsavverkning</t>
        </is>
      </c>
      <c r="D69" s="1" t="n">
        <v>46002</v>
      </c>
      <c r="E69" s="1" t="n">
        <v>46266</v>
      </c>
      <c r="F69" t="inlineStr">
        <is>
          <t>UPPSALA LÄN</t>
        </is>
      </c>
      <c r="G69" t="inlineStr">
        <is>
          <t>ÄLVKARLEBY</t>
        </is>
      </c>
      <c r="H69" t="inlineStr">
        <is>
          <t>Bergvik skog öst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61691-2025</t>
        </is>
      </c>
      <c r="B70" t="inlineStr">
        <is>
          <t>avverkningsanmälan</t>
        </is>
      </c>
      <c r="C70" t="inlineStr">
        <is>
          <t>Föryngringsavverkning</t>
        </is>
      </c>
      <c r="D70" s="1" t="n">
        <v>46002</v>
      </c>
      <c r="E70" s="1" t="n">
        <v>46266</v>
      </c>
      <c r="F70" t="inlineStr">
        <is>
          <t>UPPSALA LÄN</t>
        </is>
      </c>
      <c r="G70" t="inlineStr">
        <is>
          <t>ÄLVKARLEBY</t>
        </is>
      </c>
      <c r="H70" t="inlineStr">
        <is>
          <t>Bergvik skog öst AB</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62938-2025</t>
        </is>
      </c>
      <c r="B71" t="inlineStr">
        <is>
          <t>avverkningsanmälan</t>
        </is>
      </c>
      <c r="C71" t="inlineStr">
        <is>
          <t>Föryngringsavverkning</t>
        </is>
      </c>
      <c r="D71" s="1" t="n">
        <v>46009</v>
      </c>
      <c r="E71" s="1" t="n">
        <v>46266</v>
      </c>
      <c r="F71" t="inlineStr">
        <is>
          <t>UPPSALA LÄN</t>
        </is>
      </c>
      <c r="G71" t="inlineStr">
        <is>
          <t>ÄLVKARLEBY</t>
        </is>
      </c>
      <c r="H71" t="inlineStr">
        <is>
          <t>Bergvik skog väst AB</t>
        </is>
      </c>
      <c r="I71" t="n">
        <v>10.2</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46266</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46266</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14590-2023</t>
        </is>
      </c>
      <c r="B74" t="inlineStr">
        <is>
          <t>avverkningsanmälan</t>
        </is>
      </c>
      <c r="C74" t="inlineStr">
        <is>
          <t>Föryngringsavverkning</t>
        </is>
      </c>
      <c r="D74" s="1" t="n">
        <v>45013</v>
      </c>
      <c r="E74" s="1" t="n">
        <v>46266</v>
      </c>
      <c r="F74" t="inlineStr">
        <is>
          <t>UPPSALA LÄN</t>
        </is>
      </c>
      <c r="G74" t="inlineStr">
        <is>
          <t>ÄLVKARLEBY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4134-2026</t>
        </is>
      </c>
      <c r="B75" t="inlineStr">
        <is>
          <t>avverkningsanmälan</t>
        </is>
      </c>
      <c r="C75" t="inlineStr">
        <is>
          <t>Föryngringsavverkning</t>
        </is>
      </c>
      <c r="D75" s="1" t="n">
        <v>46044</v>
      </c>
      <c r="E75" s="1" t="n">
        <v>46266</v>
      </c>
      <c r="F75" t="inlineStr">
        <is>
          <t>UPPSALA LÄN</t>
        </is>
      </c>
      <c r="G75" t="inlineStr">
        <is>
          <t>ÄLVKARLEBY</t>
        </is>
      </c>
      <c r="H75" t="inlineStr">
        <is>
          <t>Bergvik skog öst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36216-2022</t>
        </is>
      </c>
      <c r="B76" t="inlineStr">
        <is>
          <t>avverkningsanmälan</t>
        </is>
      </c>
      <c r="C76" t="inlineStr">
        <is>
          <t>Avverkning för annat ändamål</t>
        </is>
      </c>
      <c r="D76" s="1" t="n">
        <v>44803</v>
      </c>
      <c r="E76" s="1" t="n">
        <v>46266</v>
      </c>
      <c r="F76" t="inlineStr">
        <is>
          <t>UPPSALA LÄN</t>
        </is>
      </c>
      <c r="G76" t="inlineStr">
        <is>
          <t>ÄLVKARLEBY</t>
        </is>
      </c>
      <c r="H76" t="inlineStr">
        <is>
          <t>Bergvik skog väst AB</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9394-2026</t>
        </is>
      </c>
      <c r="B77" t="inlineStr">
        <is>
          <t>avverkningsanmälan</t>
        </is>
      </c>
      <c r="C77" t="inlineStr">
        <is>
          <t>Föryngringsavverkning</t>
        </is>
      </c>
      <c r="D77" s="1" t="n">
        <v>46071</v>
      </c>
      <c r="E77" s="1" t="n">
        <v>46266</v>
      </c>
      <c r="F77" t="inlineStr">
        <is>
          <t>UPPSALA LÄN</t>
        </is>
      </c>
      <c r="G77" t="inlineStr">
        <is>
          <t>ÄLVKARLEBY</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11467-2026</t>
        </is>
      </c>
      <c r="B78" t="inlineStr">
        <is>
          <t>avverkningsanmälan</t>
        </is>
      </c>
      <c r="C78" t="inlineStr">
        <is>
          <t>Föryngringsavverkning</t>
        </is>
      </c>
      <c r="D78" s="1" t="n">
        <v>46083</v>
      </c>
      <c r="E78" s="1" t="n">
        <v>46266</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11848-2026</t>
        </is>
      </c>
      <c r="B79" t="inlineStr">
        <is>
          <t>avverkningsanmälan</t>
        </is>
      </c>
      <c r="C79" t="inlineStr">
        <is>
          <t>Föryngringsavverkning</t>
        </is>
      </c>
      <c r="D79" s="1" t="n">
        <v>46085</v>
      </c>
      <c r="E79" s="1" t="n">
        <v>46266</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46266</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16990-2022</t>
        </is>
      </c>
      <c r="B81" t="inlineStr">
        <is>
          <t>avverkningsanmälan</t>
        </is>
      </c>
      <c r="C81" t="inlineStr">
        <is>
          <t>Föryngringsavverkning</t>
        </is>
      </c>
      <c r="D81" s="1" t="n">
        <v>44676</v>
      </c>
      <c r="E81" s="1" t="n">
        <v>46266</v>
      </c>
      <c r="F81" t="inlineStr">
        <is>
          <t>UPPSALA LÄN</t>
        </is>
      </c>
      <c r="G81" t="inlineStr">
        <is>
          <t>ÄLVKARLEBY</t>
        </is>
      </c>
      <c r="H81" t="inlineStr">
        <is>
          <t>Bergvik skog väst AB</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17851-2026</t>
        </is>
      </c>
      <c r="B82" t="inlineStr">
        <is>
          <t>avverkningsanmälan</t>
        </is>
      </c>
      <c r="C82" t="inlineStr">
        <is>
          <t>Föryngringsavverkning</t>
        </is>
      </c>
      <c r="D82" s="1" t="n">
        <v>46122</v>
      </c>
      <c r="E82" s="1" t="n">
        <v>46266</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46266</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45372-2024</t>
        </is>
      </c>
      <c r="B84" t="inlineStr">
        <is>
          <t>avverkningsanmälan</t>
        </is>
      </c>
      <c r="C84" t="inlineStr">
        <is>
          <t>Föryngringsavverkning</t>
        </is>
      </c>
      <c r="D84" s="1" t="n">
        <v>45576</v>
      </c>
      <c r="E84" s="1" t="n">
        <v>46266</v>
      </c>
      <c r="F84" t="inlineStr">
        <is>
          <t>UPPSALA LÄN</t>
        </is>
      </c>
      <c r="G84" t="inlineStr">
        <is>
          <t>ÄLVKARLEBY</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46266</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28670-2025</t>
        </is>
      </c>
      <c r="B86" t="inlineStr">
        <is>
          <t>avverkningsanmälan</t>
        </is>
      </c>
      <c r="C86" t="inlineStr">
        <is>
          <t>Föryngringsavverkning</t>
        </is>
      </c>
      <c r="D86" s="1" t="n">
        <v>45819</v>
      </c>
      <c r="E86" s="1" t="n">
        <v>46266</v>
      </c>
      <c r="F86" t="inlineStr">
        <is>
          <t>UPPSALA LÄN</t>
        </is>
      </c>
      <c r="G86" t="inlineStr">
        <is>
          <t>ÄLVKARLEBY</t>
        </is>
      </c>
      <c r="H86" t="inlineStr">
        <is>
          <t>Bergvik skog väst AB</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46266</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46266</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41276-2023</t>
        </is>
      </c>
      <c r="B89" t="inlineStr">
        <is>
          <t>avverkningsanmälan</t>
        </is>
      </c>
      <c r="C89" t="inlineStr">
        <is>
          <t>Föryngringsavverkning</t>
        </is>
      </c>
      <c r="D89" s="1" t="n">
        <v>45174</v>
      </c>
      <c r="E89" s="1" t="n">
        <v>46266</v>
      </c>
      <c r="F89" t="inlineStr">
        <is>
          <t>UPPSALA LÄN</t>
        </is>
      </c>
      <c r="G89" t="inlineStr">
        <is>
          <t>ÄLVKARLEBY</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46266</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30238-2026</t>
        </is>
      </c>
      <c r="B91" t="inlineStr">
        <is>
          <t>avverkningsanmälan</t>
        </is>
      </c>
      <c r="C91" t="inlineStr">
        <is>
          <t>Föryngringsavverkning</t>
        </is>
      </c>
      <c r="D91" s="1" t="n">
        <v>46206</v>
      </c>
      <c r="E91" s="1" t="n">
        <v>46266</v>
      </c>
      <c r="F91" t="inlineStr">
        <is>
          <t>UPPSALA LÄN</t>
        </is>
      </c>
      <c r="G91" t="inlineStr">
        <is>
          <t>ÄLVKARLEBY</t>
        </is>
      </c>
      <c r="H91" t="inlineStr">
        <is>
          <t>Bergvik skog öst AB</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46266</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46266</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46266</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2026-09-01T02:08:45Z</dcterms:created>
  <dcterms:modified xmlns:dcterms="http://purl.org/dc/terms/" xmlns:xsi="http://www.w3.org/2001/XMLSchema-instance" xsi:type="dcterms:W3CDTF">2026-09-01T02:08:45Z</dcterms:modified>
</cp:coreProperties>
</file>