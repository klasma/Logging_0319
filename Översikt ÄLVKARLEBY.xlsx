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46136</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46136</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46136</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46136</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46136</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46136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46136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46136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46136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46136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46136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46136</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46136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46136</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46136</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46136</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21007-2025</t>
        </is>
      </c>
      <c r="B18" s="1" t="n">
        <v>45777</v>
      </c>
      <c r="C18" s="1" t="n">
        <v>46136</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46136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4132-2026</t>
        </is>
      </c>
      <c r="B20" s="1" t="n">
        <v>46044.62596064815</v>
      </c>
      <c r="C20" s="1" t="n">
        <v>46136</v>
      </c>
      <c r="D20" t="inlineStr">
        <is>
          <t>UPPSALA LÄN</t>
        </is>
      </c>
      <c r="E20" t="inlineStr">
        <is>
          <t>ÄLVKARLEBY</t>
        </is>
      </c>
      <c r="F20" t="inlineStr">
        <is>
          <t>Bergvik skog öst AB</t>
        </is>
      </c>
      <c r="G20" t="n">
        <v>12.2</v>
      </c>
      <c r="H20" t="n">
        <v>1</v>
      </c>
      <c r="I20" t="n">
        <v>0</v>
      </c>
      <c r="J20" t="n">
        <v>0</v>
      </c>
      <c r="K20" t="n">
        <v>0</v>
      </c>
      <c r="L20" t="n">
        <v>0</v>
      </c>
      <c r="M20" t="n">
        <v>0</v>
      </c>
      <c r="N20" t="n">
        <v>0</v>
      </c>
      <c r="O20" t="n">
        <v>0</v>
      </c>
      <c r="P20" t="n">
        <v>0</v>
      </c>
      <c r="Q20" t="n">
        <v>1</v>
      </c>
      <c r="R20" s="2" t="inlineStr">
        <is>
          <t>Dubbelnycklar</t>
        </is>
      </c>
      <c r="S20">
        <f>HYPERLINK("https://klasma.github.io/Logging_0319/artfynd/A 4132-2026 artfynd.xlsx", "A 4132-2026")</f>
        <v/>
      </c>
      <c r="T20">
        <f>HYPERLINK("https://klasma.github.io/Logging_0319/kartor/A 4132-2026 karta.png", "A 4132-2026")</f>
        <v/>
      </c>
      <c r="V20">
        <f>HYPERLINK("https://klasma.github.io/Logging_0319/klagomål/A 4132-2026 FSC-klagomål.docx", "A 4132-2026")</f>
        <v/>
      </c>
      <c r="W20">
        <f>HYPERLINK("https://klasma.github.io/Logging_0319/klagomålsmail/A 4132-2026 FSC-klagomål mail.docx", "A 4132-2026")</f>
        <v/>
      </c>
      <c r="X20">
        <f>HYPERLINK("https://klasma.github.io/Logging_0319/tillsyn/A 4132-2026 tillsynsbegäran.docx", "A 4132-2026")</f>
        <v/>
      </c>
      <c r="Y20">
        <f>HYPERLINK("https://klasma.github.io/Logging_0319/tillsynsmail/A 4132-2026 tillsynsbegäran mail.docx", "A 4132-2026")</f>
        <v/>
      </c>
    </row>
    <row r="21" ht="15" customHeight="1">
      <c r="A21" t="inlineStr">
        <is>
          <t>A 19300-2024</t>
        </is>
      </c>
      <c r="B21" s="1" t="n">
        <v>45428.70128472222</v>
      </c>
      <c r="C21" s="1" t="n">
        <v>46136</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46136</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46136</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46136</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47207-2025</t>
        </is>
      </c>
      <c r="B25" s="1" t="n">
        <v>45930.37263888889</v>
      </c>
      <c r="C25" s="1" t="n">
        <v>46136</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51238-2025</t>
        </is>
      </c>
      <c r="B26" s="1" t="n">
        <v>45947.69753472223</v>
      </c>
      <c r="C26" s="1" t="n">
        <v>46136</v>
      </c>
      <c r="D26" t="inlineStr">
        <is>
          <t>UPPSALA LÄN</t>
        </is>
      </c>
      <c r="E26" t="inlineStr">
        <is>
          <t>ÄLVKARLEBY</t>
        </is>
      </c>
      <c r="F26" t="inlineStr">
        <is>
          <t>Bergvik skog väst AB</t>
        </is>
      </c>
      <c r="G26" t="n">
        <v>6</v>
      </c>
      <c r="H26" t="n">
        <v>1</v>
      </c>
      <c r="I26" t="n">
        <v>0</v>
      </c>
      <c r="J26" t="n">
        <v>0</v>
      </c>
      <c r="K26" t="n">
        <v>0</v>
      </c>
      <c r="L26" t="n">
        <v>0</v>
      </c>
      <c r="M26" t="n">
        <v>0</v>
      </c>
      <c r="N26" t="n">
        <v>0</v>
      </c>
      <c r="O26" t="n">
        <v>0</v>
      </c>
      <c r="P26" t="n">
        <v>0</v>
      </c>
      <c r="Q26" t="n">
        <v>1</v>
      </c>
      <c r="R26" s="2" t="inlineStr">
        <is>
          <t>Lopplummer (aggregat)</t>
        </is>
      </c>
      <c r="S26">
        <f>HYPERLINK("https://klasma.github.io/Logging_0319/artfynd/A 51238-2025 artfynd.xlsx", "A 51238-2025")</f>
        <v/>
      </c>
      <c r="T26">
        <f>HYPERLINK("https://klasma.github.io/Logging_0319/kartor/A 51238-2025 karta.png", "A 51238-2025")</f>
        <v/>
      </c>
      <c r="V26">
        <f>HYPERLINK("https://klasma.github.io/Logging_0319/klagomål/A 51238-2025 FSC-klagomål.docx", "A 51238-2025")</f>
        <v/>
      </c>
      <c r="W26">
        <f>HYPERLINK("https://klasma.github.io/Logging_0319/klagomålsmail/A 51238-2025 FSC-klagomål mail.docx", "A 51238-2025")</f>
        <v/>
      </c>
      <c r="X26">
        <f>HYPERLINK("https://klasma.github.io/Logging_0319/tillsyn/A 51238-2025 tillsynsbegäran.docx", "A 51238-2025")</f>
        <v/>
      </c>
      <c r="Y26">
        <f>HYPERLINK("https://klasma.github.io/Logging_0319/tillsynsmail/A 51238-2025 tillsynsbegäran mail.docx", "A 51238-2025")</f>
        <v/>
      </c>
    </row>
    <row r="27" ht="15" customHeight="1">
      <c r="A27" t="inlineStr">
        <is>
          <t>A 59993-2025</t>
        </is>
      </c>
      <c r="B27" s="1" t="n">
        <v>45993.56505787037</v>
      </c>
      <c r="C27" s="1" t="n">
        <v>46136</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46136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46136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46136</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46136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46136</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46136</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46136</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46136</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46136</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1673-2026</t>
        </is>
      </c>
      <c r="B37" s="1" t="n">
        <v>46034.56863425926</v>
      </c>
      <c r="C37" s="1" t="n">
        <v>46136</v>
      </c>
      <c r="D37" t="inlineStr">
        <is>
          <t>UPPSALA LÄN</t>
        </is>
      </c>
      <c r="E37" t="inlineStr">
        <is>
          <t>ÄLVKARLEBY</t>
        </is>
      </c>
      <c r="F37" t="inlineStr">
        <is>
          <t>Bergvik skog väst AB</t>
        </is>
      </c>
      <c r="G37" t="n">
        <v>1.9</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46136</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26670-2025</t>
        </is>
      </c>
      <c r="B39" s="1" t="n">
        <v>45810.41489583333</v>
      </c>
      <c r="C39" s="1" t="n">
        <v>46136</v>
      </c>
      <c r="D39" t="inlineStr">
        <is>
          <t>UPPSALA LÄN</t>
        </is>
      </c>
      <c r="E39" t="inlineStr">
        <is>
          <t>ÄLVKARLEBY</t>
        </is>
      </c>
      <c r="F39" t="inlineStr">
        <is>
          <t>Bergvik skog väst AB</t>
        </is>
      </c>
      <c r="G39" t="n">
        <v>1.1</v>
      </c>
      <c r="H39" t="n">
        <v>0</v>
      </c>
      <c r="I39" t="n">
        <v>0</v>
      </c>
      <c r="J39" t="n">
        <v>0</v>
      </c>
      <c r="K39" t="n">
        <v>0</v>
      </c>
      <c r="L39" t="n">
        <v>0</v>
      </c>
      <c r="M39" t="n">
        <v>0</v>
      </c>
      <c r="N39" t="n">
        <v>0</v>
      </c>
      <c r="O39" t="n">
        <v>0</v>
      </c>
      <c r="P39" t="n">
        <v>0</v>
      </c>
      <c r="Q39" t="n">
        <v>0</v>
      </c>
      <c r="R39" s="2" t="inlineStr"/>
    </row>
    <row r="40" ht="15" customHeight="1">
      <c r="A40" t="inlineStr">
        <is>
          <t>A 4131-2026</t>
        </is>
      </c>
      <c r="B40" s="1" t="n">
        <v>46044.62451388889</v>
      </c>
      <c r="C40" s="1" t="n">
        <v>46136</v>
      </c>
      <c r="D40" t="inlineStr">
        <is>
          <t>UPPSALA LÄN</t>
        </is>
      </c>
      <c r="E40" t="inlineStr">
        <is>
          <t>ÄLVKARLEBY</t>
        </is>
      </c>
      <c r="F40" t="inlineStr">
        <is>
          <t>Bergvik skog öst AB</t>
        </is>
      </c>
      <c r="G40" t="n">
        <v>2.4</v>
      </c>
      <c r="H40" t="n">
        <v>0</v>
      </c>
      <c r="I40" t="n">
        <v>0</v>
      </c>
      <c r="J40" t="n">
        <v>0</v>
      </c>
      <c r="K40" t="n">
        <v>0</v>
      </c>
      <c r="L40" t="n">
        <v>0</v>
      </c>
      <c r="M40" t="n">
        <v>0</v>
      </c>
      <c r="N40" t="n">
        <v>0</v>
      </c>
      <c r="O40" t="n">
        <v>0</v>
      </c>
      <c r="P40" t="n">
        <v>0</v>
      </c>
      <c r="Q40" t="n">
        <v>0</v>
      </c>
      <c r="R40" s="2" t="inlineStr"/>
    </row>
    <row r="41" ht="15" customHeight="1">
      <c r="A41" t="inlineStr">
        <is>
          <t>A 4134-2026</t>
        </is>
      </c>
      <c r="B41" s="1" t="n">
        <v>46044.6280787037</v>
      </c>
      <c r="C41" s="1" t="n">
        <v>46136</v>
      </c>
      <c r="D41" t="inlineStr">
        <is>
          <t>UPPSALA LÄN</t>
        </is>
      </c>
      <c r="E41" t="inlineStr">
        <is>
          <t>ÄLVKARLEBY</t>
        </is>
      </c>
      <c r="F41" t="inlineStr">
        <is>
          <t>Bergvik skog öst AB</t>
        </is>
      </c>
      <c r="G41" t="n">
        <v>5.1</v>
      </c>
      <c r="H41" t="n">
        <v>0</v>
      </c>
      <c r="I41" t="n">
        <v>0</v>
      </c>
      <c r="J41" t="n">
        <v>0</v>
      </c>
      <c r="K41" t="n">
        <v>0</v>
      </c>
      <c r="L41" t="n">
        <v>0</v>
      </c>
      <c r="M41" t="n">
        <v>0</v>
      </c>
      <c r="N41" t="n">
        <v>0</v>
      </c>
      <c r="O41" t="n">
        <v>0</v>
      </c>
      <c r="P41" t="n">
        <v>0</v>
      </c>
      <c r="Q41" t="n">
        <v>0</v>
      </c>
      <c r="R41" s="2" t="inlineStr"/>
    </row>
    <row r="42" ht="15" customHeight="1">
      <c r="A42" t="inlineStr">
        <is>
          <t>A 4133-2026</t>
        </is>
      </c>
      <c r="B42" s="1" t="n">
        <v>46044.626875</v>
      </c>
      <c r="C42" s="1" t="n">
        <v>46136</v>
      </c>
      <c r="D42" t="inlineStr">
        <is>
          <t>UPPSALA LÄN</t>
        </is>
      </c>
      <c r="E42" t="inlineStr">
        <is>
          <t>ÄLVKARLEBY</t>
        </is>
      </c>
      <c r="F42" t="inlineStr">
        <is>
          <t>Bergvik skog öst AB</t>
        </is>
      </c>
      <c r="G42" t="n">
        <v>4.1</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46136</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27741-2025</t>
        </is>
      </c>
      <c r="B44" s="1" t="n">
        <v>45815.5346875</v>
      </c>
      <c r="C44" s="1" t="n">
        <v>46136</v>
      </c>
      <c r="D44" t="inlineStr">
        <is>
          <t>UPPSALA LÄN</t>
        </is>
      </c>
      <c r="E44" t="inlineStr">
        <is>
          <t>ÄLVKARLEBY</t>
        </is>
      </c>
      <c r="F44" t="inlineStr">
        <is>
          <t>Bergvik skog väst AB</t>
        </is>
      </c>
      <c r="G44" t="n">
        <v>4.4</v>
      </c>
      <c r="H44" t="n">
        <v>0</v>
      </c>
      <c r="I44" t="n">
        <v>0</v>
      </c>
      <c r="J44" t="n">
        <v>0</v>
      </c>
      <c r="K44" t="n">
        <v>0</v>
      </c>
      <c r="L44" t="n">
        <v>0</v>
      </c>
      <c r="M44" t="n">
        <v>0</v>
      </c>
      <c r="N44" t="n">
        <v>0</v>
      </c>
      <c r="O44" t="n">
        <v>0</v>
      </c>
      <c r="P44" t="n">
        <v>0</v>
      </c>
      <c r="Q44" t="n">
        <v>0</v>
      </c>
      <c r="R44" s="2" t="inlineStr"/>
    </row>
    <row r="45" ht="15" customHeight="1">
      <c r="A45" t="inlineStr">
        <is>
          <t>A 45372-2024</t>
        </is>
      </c>
      <c r="B45" s="1" t="n">
        <v>45576.51116898148</v>
      </c>
      <c r="C45" s="1" t="n">
        <v>46136</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28670-2025</t>
        </is>
      </c>
      <c r="B46" s="1" t="n">
        <v>45819.67130787037</v>
      </c>
      <c r="C46" s="1" t="n">
        <v>46136</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28668-2025</t>
        </is>
      </c>
      <c r="B47" s="1" t="n">
        <v>45819.66650462963</v>
      </c>
      <c r="C47" s="1" t="n">
        <v>46136</v>
      </c>
      <c r="D47" t="inlineStr">
        <is>
          <t>UPPSALA LÄN</t>
        </is>
      </c>
      <c r="E47" t="inlineStr">
        <is>
          <t>ÄLVKARLEBY</t>
        </is>
      </c>
      <c r="F47" t="inlineStr">
        <is>
          <t>Bergvik skog väst AB</t>
        </is>
      </c>
      <c r="G47" t="n">
        <v>8.300000000000001</v>
      </c>
      <c r="H47" t="n">
        <v>0</v>
      </c>
      <c r="I47" t="n">
        <v>0</v>
      </c>
      <c r="J47" t="n">
        <v>0</v>
      </c>
      <c r="K47" t="n">
        <v>0</v>
      </c>
      <c r="L47" t="n">
        <v>0</v>
      </c>
      <c r="M47" t="n">
        <v>0</v>
      </c>
      <c r="N47" t="n">
        <v>0</v>
      </c>
      <c r="O47" t="n">
        <v>0</v>
      </c>
      <c r="P47" t="n">
        <v>0</v>
      </c>
      <c r="Q47" t="n">
        <v>0</v>
      </c>
      <c r="R47" s="2" t="inlineStr"/>
    </row>
    <row r="48" ht="15" customHeight="1">
      <c r="A48" t="inlineStr">
        <is>
          <t>A 16990-2022</t>
        </is>
      </c>
      <c r="B48" s="1" t="n">
        <v>44676.6122337963</v>
      </c>
      <c r="C48" s="1" t="n">
        <v>46136</v>
      </c>
      <c r="D48" t="inlineStr">
        <is>
          <t>UPPSALA LÄN</t>
        </is>
      </c>
      <c r="E48" t="inlineStr">
        <is>
          <t>ÄLVKARLEBY</t>
        </is>
      </c>
      <c r="F48" t="inlineStr">
        <is>
          <t>Bergvik skog väst AB</t>
        </is>
      </c>
      <c r="G48" t="n">
        <v>2.6</v>
      </c>
      <c r="H48" t="n">
        <v>0</v>
      </c>
      <c r="I48" t="n">
        <v>0</v>
      </c>
      <c r="J48" t="n">
        <v>0</v>
      </c>
      <c r="K48" t="n">
        <v>0</v>
      </c>
      <c r="L48" t="n">
        <v>0</v>
      </c>
      <c r="M48" t="n">
        <v>0</v>
      </c>
      <c r="N48" t="n">
        <v>0</v>
      </c>
      <c r="O48" t="n">
        <v>0</v>
      </c>
      <c r="P48" t="n">
        <v>0</v>
      </c>
      <c r="Q48" t="n">
        <v>0</v>
      </c>
      <c r="R48" s="2" t="inlineStr"/>
    </row>
    <row r="49" ht="15" customHeight="1">
      <c r="A49" t="inlineStr">
        <is>
          <t>A 30483-2025</t>
        </is>
      </c>
      <c r="B49" s="1" t="n">
        <v>45828.68988425926</v>
      </c>
      <c r="C49" s="1" t="n">
        <v>46136</v>
      </c>
      <c r="D49" t="inlineStr">
        <is>
          <t>UPPSALA LÄN</t>
        </is>
      </c>
      <c r="E49" t="inlineStr">
        <is>
          <t>ÄLVKARLEBY</t>
        </is>
      </c>
      <c r="F49" t="inlineStr">
        <is>
          <t>Bergvik skog väst AB</t>
        </is>
      </c>
      <c r="G49" t="n">
        <v>1.8</v>
      </c>
      <c r="H49" t="n">
        <v>0</v>
      </c>
      <c r="I49" t="n">
        <v>0</v>
      </c>
      <c r="J49" t="n">
        <v>0</v>
      </c>
      <c r="K49" t="n">
        <v>0</v>
      </c>
      <c r="L49" t="n">
        <v>0</v>
      </c>
      <c r="M49" t="n">
        <v>0</v>
      </c>
      <c r="N49" t="n">
        <v>0</v>
      </c>
      <c r="O49" t="n">
        <v>0</v>
      </c>
      <c r="P49" t="n">
        <v>0</v>
      </c>
      <c r="Q49" t="n">
        <v>0</v>
      </c>
      <c r="R49" s="2" t="inlineStr"/>
    </row>
    <row r="50" ht="15" customHeight="1">
      <c r="A50" t="inlineStr">
        <is>
          <t>A 30944-2025</t>
        </is>
      </c>
      <c r="B50" s="1" t="n">
        <v>45832.41182870371</v>
      </c>
      <c r="C50" s="1" t="n">
        <v>46136</v>
      </c>
      <c r="D50" t="inlineStr">
        <is>
          <t>UPPSALA LÄN</t>
        </is>
      </c>
      <c r="E50" t="inlineStr">
        <is>
          <t>ÄLVKARLEBY</t>
        </is>
      </c>
      <c r="F50" t="inlineStr">
        <is>
          <t>Bergvik skog öst AB</t>
        </is>
      </c>
      <c r="G50" t="n">
        <v>3.4</v>
      </c>
      <c r="H50" t="n">
        <v>0</v>
      </c>
      <c r="I50" t="n">
        <v>0</v>
      </c>
      <c r="J50" t="n">
        <v>0</v>
      </c>
      <c r="K50" t="n">
        <v>0</v>
      </c>
      <c r="L50" t="n">
        <v>0</v>
      </c>
      <c r="M50" t="n">
        <v>0</v>
      </c>
      <c r="N50" t="n">
        <v>0</v>
      </c>
      <c r="O50" t="n">
        <v>0</v>
      </c>
      <c r="P50" t="n">
        <v>0</v>
      </c>
      <c r="Q50" t="n">
        <v>0</v>
      </c>
      <c r="R50" s="2" t="inlineStr"/>
    </row>
    <row r="51" ht="15" customHeight="1">
      <c r="A51" t="inlineStr">
        <is>
          <t>A 30936-2025</t>
        </is>
      </c>
      <c r="B51" s="1" t="n">
        <v>45832.40586805555</v>
      </c>
      <c r="C51" s="1" t="n">
        <v>46136</v>
      </c>
      <c r="D51" t="inlineStr">
        <is>
          <t>UPPSALA LÄN</t>
        </is>
      </c>
      <c r="E51" t="inlineStr">
        <is>
          <t>ÄLVKARLEBY</t>
        </is>
      </c>
      <c r="F51" t="inlineStr">
        <is>
          <t>Bergvik skog öst AB</t>
        </is>
      </c>
      <c r="G51" t="n">
        <v>7.2</v>
      </c>
      <c r="H51" t="n">
        <v>0</v>
      </c>
      <c r="I51" t="n">
        <v>0</v>
      </c>
      <c r="J51" t="n">
        <v>0</v>
      </c>
      <c r="K51" t="n">
        <v>0</v>
      </c>
      <c r="L51" t="n">
        <v>0</v>
      </c>
      <c r="M51" t="n">
        <v>0</v>
      </c>
      <c r="N51" t="n">
        <v>0</v>
      </c>
      <c r="O51" t="n">
        <v>0</v>
      </c>
      <c r="P51" t="n">
        <v>0</v>
      </c>
      <c r="Q51" t="n">
        <v>0</v>
      </c>
      <c r="R51" s="2" t="inlineStr"/>
    </row>
    <row r="52" ht="15" customHeight="1">
      <c r="A52" t="inlineStr">
        <is>
          <t>A 32221-2025</t>
        </is>
      </c>
      <c r="B52" s="1" t="n">
        <v>45835.5909837963</v>
      </c>
      <c r="C52" s="1" t="n">
        <v>46136</v>
      </c>
      <c r="D52" t="inlineStr">
        <is>
          <t>UPPSALA LÄN</t>
        </is>
      </c>
      <c r="E52" t="inlineStr">
        <is>
          <t>ÄLVKARLEBY</t>
        </is>
      </c>
      <c r="F52" t="inlineStr">
        <is>
          <t>Bergvik skog väst AB</t>
        </is>
      </c>
      <c r="G52" t="n">
        <v>1.5</v>
      </c>
      <c r="H52" t="n">
        <v>0</v>
      </c>
      <c r="I52" t="n">
        <v>0</v>
      </c>
      <c r="J52" t="n">
        <v>0</v>
      </c>
      <c r="K52" t="n">
        <v>0</v>
      </c>
      <c r="L52" t="n">
        <v>0</v>
      </c>
      <c r="M52" t="n">
        <v>0</v>
      </c>
      <c r="N52" t="n">
        <v>0</v>
      </c>
      <c r="O52" t="n">
        <v>0</v>
      </c>
      <c r="P52" t="n">
        <v>0</v>
      </c>
      <c r="Q52" t="n">
        <v>0</v>
      </c>
      <c r="R52" s="2" t="inlineStr"/>
    </row>
    <row r="53" ht="15" customHeight="1">
      <c r="A53" t="inlineStr">
        <is>
          <t>A 32203-2025</t>
        </is>
      </c>
      <c r="B53" s="1" t="n">
        <v>45835.57951388889</v>
      </c>
      <c r="C53" s="1" t="n">
        <v>46136</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14091-2026</t>
        </is>
      </c>
      <c r="B54" s="1" t="n">
        <v>46099.38484953704</v>
      </c>
      <c r="C54" s="1" t="n">
        <v>46136</v>
      </c>
      <c r="D54" t="inlineStr">
        <is>
          <t>UPPSALA LÄN</t>
        </is>
      </c>
      <c r="E54" t="inlineStr">
        <is>
          <t>ÄLVKARLEBY</t>
        </is>
      </c>
      <c r="G54" t="n">
        <v>0.7</v>
      </c>
      <c r="H54" t="n">
        <v>0</v>
      </c>
      <c r="I54" t="n">
        <v>0</v>
      </c>
      <c r="J54" t="n">
        <v>0</v>
      </c>
      <c r="K54" t="n">
        <v>0</v>
      </c>
      <c r="L54" t="n">
        <v>0</v>
      </c>
      <c r="M54" t="n">
        <v>0</v>
      </c>
      <c r="N54" t="n">
        <v>0</v>
      </c>
      <c r="O54" t="n">
        <v>0</v>
      </c>
      <c r="P54" t="n">
        <v>0</v>
      </c>
      <c r="Q54" t="n">
        <v>0</v>
      </c>
      <c r="R54" s="2" t="inlineStr"/>
    </row>
    <row r="55" ht="15" customHeight="1">
      <c r="A55" t="inlineStr">
        <is>
          <t>A 14127-2026</t>
        </is>
      </c>
      <c r="B55" s="1" t="n">
        <v>46099.44534722222</v>
      </c>
      <c r="C55" s="1" t="n">
        <v>46136</v>
      </c>
      <c r="D55" t="inlineStr">
        <is>
          <t>UPPSALA LÄN</t>
        </is>
      </c>
      <c r="E55" t="inlineStr">
        <is>
          <t>ÄLVKARLEBY</t>
        </is>
      </c>
      <c r="G55" t="n">
        <v>1.7</v>
      </c>
      <c r="H55" t="n">
        <v>0</v>
      </c>
      <c r="I55" t="n">
        <v>0</v>
      </c>
      <c r="J55" t="n">
        <v>0</v>
      </c>
      <c r="K55" t="n">
        <v>0</v>
      </c>
      <c r="L55" t="n">
        <v>0</v>
      </c>
      <c r="M55" t="n">
        <v>0</v>
      </c>
      <c r="N55" t="n">
        <v>0</v>
      </c>
      <c r="O55" t="n">
        <v>0</v>
      </c>
      <c r="P55" t="n">
        <v>0</v>
      </c>
      <c r="Q55" t="n">
        <v>0</v>
      </c>
      <c r="R55" s="2" t="inlineStr"/>
    </row>
    <row r="56" ht="15" customHeight="1">
      <c r="A56" t="inlineStr">
        <is>
          <t>A 32186-2025</t>
        </is>
      </c>
      <c r="B56" s="1" t="n">
        <v>45835.5667824074</v>
      </c>
      <c r="C56" s="1" t="n">
        <v>46136</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32187-2025</t>
        </is>
      </c>
      <c r="B57" s="1" t="n">
        <v>45835.56949074074</v>
      </c>
      <c r="C57" s="1" t="n">
        <v>46136</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32212-2025</t>
        </is>
      </c>
      <c r="B58" s="1" t="n">
        <v>45835.58509259259</v>
      </c>
      <c r="C58" s="1" t="n">
        <v>46136</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41615-2025</t>
        </is>
      </c>
      <c r="B59" s="1" t="n">
        <v>45901.69556712963</v>
      </c>
      <c r="C59" s="1" t="n">
        <v>46136</v>
      </c>
      <c r="D59" t="inlineStr">
        <is>
          <t>UPPSALA LÄN</t>
        </is>
      </c>
      <c r="E59" t="inlineStr">
        <is>
          <t>ÄLVKARLEBY</t>
        </is>
      </c>
      <c r="F59" t="inlineStr">
        <is>
          <t>Bergvik skog väst AB</t>
        </is>
      </c>
      <c r="G59" t="n">
        <v>3</v>
      </c>
      <c r="H59" t="n">
        <v>0</v>
      </c>
      <c r="I59" t="n">
        <v>0</v>
      </c>
      <c r="J59" t="n">
        <v>0</v>
      </c>
      <c r="K59" t="n">
        <v>0</v>
      </c>
      <c r="L59" t="n">
        <v>0</v>
      </c>
      <c r="M59" t="n">
        <v>0</v>
      </c>
      <c r="N59" t="n">
        <v>0</v>
      </c>
      <c r="O59" t="n">
        <v>0</v>
      </c>
      <c r="P59" t="n">
        <v>0</v>
      </c>
      <c r="Q59" t="n">
        <v>0</v>
      </c>
      <c r="R59" s="2" t="inlineStr"/>
    </row>
    <row r="60" ht="15" customHeight="1">
      <c r="A60" t="inlineStr">
        <is>
          <t>A 26664-2025</t>
        </is>
      </c>
      <c r="B60" s="1" t="n">
        <v>45810</v>
      </c>
      <c r="C60" s="1" t="n">
        <v>46136</v>
      </c>
      <c r="D60" t="inlineStr">
        <is>
          <t>UPPSALA LÄN</t>
        </is>
      </c>
      <c r="E60" t="inlineStr">
        <is>
          <t>ÄLVKARLEBY</t>
        </is>
      </c>
      <c r="F60" t="inlineStr">
        <is>
          <t>Bergvik skog väst AB</t>
        </is>
      </c>
      <c r="G60" t="n">
        <v>1.7</v>
      </c>
      <c r="H60" t="n">
        <v>0</v>
      </c>
      <c r="I60" t="n">
        <v>0</v>
      </c>
      <c r="J60" t="n">
        <v>0</v>
      </c>
      <c r="K60" t="n">
        <v>0</v>
      </c>
      <c r="L60" t="n">
        <v>0</v>
      </c>
      <c r="M60" t="n">
        <v>0</v>
      </c>
      <c r="N60" t="n">
        <v>0</v>
      </c>
      <c r="O60" t="n">
        <v>0</v>
      </c>
      <c r="P60" t="n">
        <v>0</v>
      </c>
      <c r="Q60" t="n">
        <v>0</v>
      </c>
      <c r="R60" s="2" t="inlineStr"/>
    </row>
    <row r="61" ht="15" customHeight="1">
      <c r="A61" t="inlineStr">
        <is>
          <t>A 9394-2026</t>
        </is>
      </c>
      <c r="B61" s="1" t="n">
        <v>46071.36576388889</v>
      </c>
      <c r="C61" s="1" t="n">
        <v>46136</v>
      </c>
      <c r="D61" t="inlineStr">
        <is>
          <t>UPPSALA LÄN</t>
        </is>
      </c>
      <c r="E61" t="inlineStr">
        <is>
          <t>ÄLVKARLEBY</t>
        </is>
      </c>
      <c r="F61" t="inlineStr">
        <is>
          <t>Bergvik skog väst AB</t>
        </is>
      </c>
      <c r="G61" t="n">
        <v>2.2</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46136</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8031-2025</t>
        </is>
      </c>
      <c r="B63" s="1" t="n">
        <v>45707.59112268518</v>
      </c>
      <c r="C63" s="1" t="n">
        <v>46136</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7286-2023</t>
        </is>
      </c>
      <c r="B64" s="1" t="n">
        <v>44970</v>
      </c>
      <c r="C64" s="1" t="n">
        <v>46136</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46136</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11467-2026</t>
        </is>
      </c>
      <c r="B66" s="1" t="n">
        <v>46083.58950231481</v>
      </c>
      <c r="C66" s="1" t="n">
        <v>46136</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14004-2025</t>
        </is>
      </c>
      <c r="B67" s="1" t="n">
        <v>45740.2997337963</v>
      </c>
      <c r="C67" s="1" t="n">
        <v>46136</v>
      </c>
      <c r="D67" t="inlineStr">
        <is>
          <t>UPPSALA LÄN</t>
        </is>
      </c>
      <c r="E67" t="inlineStr">
        <is>
          <t>ÄLVKARLEBY</t>
        </is>
      </c>
      <c r="F67" t="inlineStr">
        <is>
          <t>Bergvik skog öst AB</t>
        </is>
      </c>
      <c r="G67" t="n">
        <v>10.1</v>
      </c>
      <c r="H67" t="n">
        <v>0</v>
      </c>
      <c r="I67" t="n">
        <v>0</v>
      </c>
      <c r="J67" t="n">
        <v>0</v>
      </c>
      <c r="K67" t="n">
        <v>0</v>
      </c>
      <c r="L67" t="n">
        <v>0</v>
      </c>
      <c r="M67" t="n">
        <v>0</v>
      </c>
      <c r="N67" t="n">
        <v>0</v>
      </c>
      <c r="O67" t="n">
        <v>0</v>
      </c>
      <c r="P67" t="n">
        <v>0</v>
      </c>
      <c r="Q67" t="n">
        <v>0</v>
      </c>
      <c r="R67" s="2" t="inlineStr"/>
    </row>
    <row r="68" ht="15" customHeight="1">
      <c r="A68" t="inlineStr">
        <is>
          <t>A 41847-2025</t>
        </is>
      </c>
      <c r="B68" s="1" t="n">
        <v>45902.75265046296</v>
      </c>
      <c r="C68" s="1" t="n">
        <v>46136</v>
      </c>
      <c r="D68" t="inlineStr">
        <is>
          <t>UPPSALA LÄN</t>
        </is>
      </c>
      <c r="E68" t="inlineStr">
        <is>
          <t>ÄLVKARLEBY</t>
        </is>
      </c>
      <c r="F68" t="inlineStr">
        <is>
          <t>Bergvik skog väst AB</t>
        </is>
      </c>
      <c r="G68" t="n">
        <v>3.6</v>
      </c>
      <c r="H68" t="n">
        <v>0</v>
      </c>
      <c r="I68" t="n">
        <v>0</v>
      </c>
      <c r="J68" t="n">
        <v>0</v>
      </c>
      <c r="K68" t="n">
        <v>0</v>
      </c>
      <c r="L68" t="n">
        <v>0</v>
      </c>
      <c r="M68" t="n">
        <v>0</v>
      </c>
      <c r="N68" t="n">
        <v>0</v>
      </c>
      <c r="O68" t="n">
        <v>0</v>
      </c>
      <c r="P68" t="n">
        <v>0</v>
      </c>
      <c r="Q68" t="n">
        <v>0</v>
      </c>
      <c r="R68" s="2" t="inlineStr"/>
    </row>
    <row r="69" ht="15" customHeight="1">
      <c r="A69" t="inlineStr">
        <is>
          <t>A 17851-2026</t>
        </is>
      </c>
      <c r="B69" s="1" t="n">
        <v>46122.481875</v>
      </c>
      <c r="C69" s="1" t="n">
        <v>46136</v>
      </c>
      <c r="D69" t="inlineStr">
        <is>
          <t>UPPSALA LÄN</t>
        </is>
      </c>
      <c r="E69" t="inlineStr">
        <is>
          <t>ÄLVKARLEBY</t>
        </is>
      </c>
      <c r="F69" t="inlineStr">
        <is>
          <t>Bergvik skog öst AB</t>
        </is>
      </c>
      <c r="G69" t="n">
        <v>3.6</v>
      </c>
      <c r="H69" t="n">
        <v>0</v>
      </c>
      <c r="I69" t="n">
        <v>0</v>
      </c>
      <c r="J69" t="n">
        <v>0</v>
      </c>
      <c r="K69" t="n">
        <v>0</v>
      </c>
      <c r="L69" t="n">
        <v>0</v>
      </c>
      <c r="M69" t="n">
        <v>0</v>
      </c>
      <c r="N69" t="n">
        <v>0</v>
      </c>
      <c r="O69" t="n">
        <v>0</v>
      </c>
      <c r="P69" t="n">
        <v>0</v>
      </c>
      <c r="Q69" t="n">
        <v>0</v>
      </c>
      <c r="R69" s="2" t="inlineStr"/>
    </row>
    <row r="70" ht="15" customHeight="1">
      <c r="A70" t="inlineStr">
        <is>
          <t>A 19740-2025</t>
        </is>
      </c>
      <c r="B70" s="1" t="n">
        <v>45771</v>
      </c>
      <c r="C70" s="1" t="n">
        <v>46136</v>
      </c>
      <c r="D70" t="inlineStr">
        <is>
          <t>UPPSALA LÄN</t>
        </is>
      </c>
      <c r="E70" t="inlineStr">
        <is>
          <t>ÄLVKARLEBY</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11848-2026</t>
        </is>
      </c>
      <c r="B71" s="1" t="n">
        <v>46085.45927083334</v>
      </c>
      <c r="C71" s="1" t="n">
        <v>46136</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43662-2025</t>
        </is>
      </c>
      <c r="B72" s="1" t="n">
        <v>45912.34446759259</v>
      </c>
      <c r="C72" s="1" t="n">
        <v>46136</v>
      </c>
      <c r="D72" t="inlineStr">
        <is>
          <t>UPPSALA LÄN</t>
        </is>
      </c>
      <c r="E72" t="inlineStr">
        <is>
          <t>ÄLVKARLEBY</t>
        </is>
      </c>
      <c r="F72" t="inlineStr">
        <is>
          <t>Kyrkan</t>
        </is>
      </c>
      <c r="G72" t="n">
        <v>4.5</v>
      </c>
      <c r="H72" t="n">
        <v>0</v>
      </c>
      <c r="I72" t="n">
        <v>0</v>
      </c>
      <c r="J72" t="n">
        <v>0</v>
      </c>
      <c r="K72" t="n">
        <v>0</v>
      </c>
      <c r="L72" t="n">
        <v>0</v>
      </c>
      <c r="M72" t="n">
        <v>0</v>
      </c>
      <c r="N72" t="n">
        <v>0</v>
      </c>
      <c r="O72" t="n">
        <v>0</v>
      </c>
      <c r="P72" t="n">
        <v>0</v>
      </c>
      <c r="Q72" t="n">
        <v>0</v>
      </c>
      <c r="R72" s="2" t="inlineStr"/>
    </row>
    <row r="73" ht="15" customHeight="1">
      <c r="A73" t="inlineStr">
        <is>
          <t>A 43577-2025</t>
        </is>
      </c>
      <c r="B73" s="1" t="n">
        <v>45911.64219907407</v>
      </c>
      <c r="C73" s="1" t="n">
        <v>46136</v>
      </c>
      <c r="D73" t="inlineStr">
        <is>
          <t>UPPSALA LÄN</t>
        </is>
      </c>
      <c r="E73" t="inlineStr">
        <is>
          <t>ÄLVKARLEBY</t>
        </is>
      </c>
      <c r="F73" t="inlineStr">
        <is>
          <t>Bergvik skog väst AB</t>
        </is>
      </c>
      <c r="G73" t="n">
        <v>3</v>
      </c>
      <c r="H73" t="n">
        <v>0</v>
      </c>
      <c r="I73" t="n">
        <v>0</v>
      </c>
      <c r="J73" t="n">
        <v>0</v>
      </c>
      <c r="K73" t="n">
        <v>0</v>
      </c>
      <c r="L73" t="n">
        <v>0</v>
      </c>
      <c r="M73" t="n">
        <v>0</v>
      </c>
      <c r="N73" t="n">
        <v>0</v>
      </c>
      <c r="O73" t="n">
        <v>0</v>
      </c>
      <c r="P73" t="n">
        <v>0</v>
      </c>
      <c r="Q73" t="n">
        <v>0</v>
      </c>
      <c r="R73" s="2" t="inlineStr"/>
    </row>
    <row r="74" ht="15" customHeight="1">
      <c r="A74" t="inlineStr">
        <is>
          <t>A 45033-2025</t>
        </is>
      </c>
      <c r="B74" s="1" t="n">
        <v>45918.70299768518</v>
      </c>
      <c r="C74" s="1" t="n">
        <v>46136</v>
      </c>
      <c r="D74" t="inlineStr">
        <is>
          <t>UPPSALA LÄN</t>
        </is>
      </c>
      <c r="E74" t="inlineStr">
        <is>
          <t>ÄLVKARLEBY</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19862-2025</t>
        </is>
      </c>
      <c r="B75" s="1" t="n">
        <v>45771.53560185185</v>
      </c>
      <c r="C75" s="1" t="n">
        <v>46136</v>
      </c>
      <c r="D75" t="inlineStr">
        <is>
          <t>UPPSALA LÄN</t>
        </is>
      </c>
      <c r="E75" t="inlineStr">
        <is>
          <t>ÄLVKARLEBY</t>
        </is>
      </c>
      <c r="F75" t="inlineStr">
        <is>
          <t>Kyrkan</t>
        </is>
      </c>
      <c r="G75" t="n">
        <v>3</v>
      </c>
      <c r="H75" t="n">
        <v>0</v>
      </c>
      <c r="I75" t="n">
        <v>0</v>
      </c>
      <c r="J75" t="n">
        <v>0</v>
      </c>
      <c r="K75" t="n">
        <v>0</v>
      </c>
      <c r="L75" t="n">
        <v>0</v>
      </c>
      <c r="M75" t="n">
        <v>0</v>
      </c>
      <c r="N75" t="n">
        <v>0</v>
      </c>
      <c r="O75" t="n">
        <v>0</v>
      </c>
      <c r="P75" t="n">
        <v>0</v>
      </c>
      <c r="Q75" t="n">
        <v>0</v>
      </c>
      <c r="R75" s="2" t="inlineStr"/>
    </row>
    <row r="76" ht="15" customHeight="1">
      <c r="A76" t="inlineStr">
        <is>
          <t>A 45512-2025</t>
        </is>
      </c>
      <c r="B76" s="1" t="n">
        <v>45922.58106481482</v>
      </c>
      <c r="C76" s="1" t="n">
        <v>46136</v>
      </c>
      <c r="D76" t="inlineStr">
        <is>
          <t>UPPSALA LÄN</t>
        </is>
      </c>
      <c r="E76" t="inlineStr">
        <is>
          <t>ÄLVKARLEBY</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46510-2025</t>
        </is>
      </c>
      <c r="B77" s="1" t="n">
        <v>45925.92368055556</v>
      </c>
      <c r="C77" s="1" t="n">
        <v>46136</v>
      </c>
      <c r="D77" t="inlineStr">
        <is>
          <t>UPPSALA LÄN</t>
        </is>
      </c>
      <c r="E77" t="inlineStr">
        <is>
          <t>ÄLVKARLEBY</t>
        </is>
      </c>
      <c r="G77" t="n">
        <v>2.3</v>
      </c>
      <c r="H77" t="n">
        <v>0</v>
      </c>
      <c r="I77" t="n">
        <v>0</v>
      </c>
      <c r="J77" t="n">
        <v>0</v>
      </c>
      <c r="K77" t="n">
        <v>0</v>
      </c>
      <c r="L77" t="n">
        <v>0</v>
      </c>
      <c r="M77" t="n">
        <v>0</v>
      </c>
      <c r="N77" t="n">
        <v>0</v>
      </c>
      <c r="O77" t="n">
        <v>0</v>
      </c>
      <c r="P77" t="n">
        <v>0</v>
      </c>
      <c r="Q77" t="n">
        <v>0</v>
      </c>
      <c r="R77" s="2" t="inlineStr"/>
    </row>
    <row r="78" ht="15" customHeight="1">
      <c r="A78" t="inlineStr">
        <is>
          <t>A 46335-2025</t>
        </is>
      </c>
      <c r="B78" s="1" t="n">
        <v>45925.46199074074</v>
      </c>
      <c r="C78" s="1" t="n">
        <v>46136</v>
      </c>
      <c r="D78" t="inlineStr">
        <is>
          <t>UPPSALA LÄN</t>
        </is>
      </c>
      <c r="E78" t="inlineStr">
        <is>
          <t>ÄLVKARLEBY</t>
        </is>
      </c>
      <c r="G78" t="n">
        <v>1.3</v>
      </c>
      <c r="H78" t="n">
        <v>0</v>
      </c>
      <c r="I78" t="n">
        <v>0</v>
      </c>
      <c r="J78" t="n">
        <v>0</v>
      </c>
      <c r="K78" t="n">
        <v>0</v>
      </c>
      <c r="L78" t="n">
        <v>0</v>
      </c>
      <c r="M78" t="n">
        <v>0</v>
      </c>
      <c r="N78" t="n">
        <v>0</v>
      </c>
      <c r="O78" t="n">
        <v>0</v>
      </c>
      <c r="P78" t="n">
        <v>0</v>
      </c>
      <c r="Q78" t="n">
        <v>0</v>
      </c>
      <c r="R78" s="2" t="inlineStr"/>
    </row>
    <row r="79" ht="15" customHeight="1">
      <c r="A79" t="inlineStr">
        <is>
          <t>A 48460-2025</t>
        </is>
      </c>
      <c r="B79" s="1" t="n">
        <v>45935.94372685185</v>
      </c>
      <c r="C79" s="1" t="n">
        <v>46136</v>
      </c>
      <c r="D79" t="inlineStr">
        <is>
          <t>UPPSALA LÄN</t>
        </is>
      </c>
      <c r="E79" t="inlineStr">
        <is>
          <t>ÄLVKARLEBY</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50398-2025</t>
        </is>
      </c>
      <c r="B80" s="1" t="n">
        <v>45944.62854166667</v>
      </c>
      <c r="C80" s="1" t="n">
        <v>46136</v>
      </c>
      <c r="D80" t="inlineStr">
        <is>
          <t>UPPSALA LÄN</t>
        </is>
      </c>
      <c r="E80" t="inlineStr">
        <is>
          <t>ÄLVKARLEBY</t>
        </is>
      </c>
      <c r="F80" t="inlineStr">
        <is>
          <t>Bergvik skog väst AB</t>
        </is>
      </c>
      <c r="G80" t="n">
        <v>4.4</v>
      </c>
      <c r="H80" t="n">
        <v>0</v>
      </c>
      <c r="I80" t="n">
        <v>0</v>
      </c>
      <c r="J80" t="n">
        <v>0</v>
      </c>
      <c r="K80" t="n">
        <v>0</v>
      </c>
      <c r="L80" t="n">
        <v>0</v>
      </c>
      <c r="M80" t="n">
        <v>0</v>
      </c>
      <c r="N80" t="n">
        <v>0</v>
      </c>
      <c r="O80" t="n">
        <v>0</v>
      </c>
      <c r="P80" t="n">
        <v>0</v>
      </c>
      <c r="Q80" t="n">
        <v>0</v>
      </c>
      <c r="R80" s="2" t="inlineStr"/>
    </row>
    <row r="81" ht="15" customHeight="1">
      <c r="A81" t="inlineStr">
        <is>
          <t>A 50371-2025</t>
        </is>
      </c>
      <c r="B81" s="1" t="n">
        <v>45944.58696759259</v>
      </c>
      <c r="C81" s="1" t="n">
        <v>46136</v>
      </c>
      <c r="D81" t="inlineStr">
        <is>
          <t>UPPSALA LÄN</t>
        </is>
      </c>
      <c r="E81" t="inlineStr">
        <is>
          <t>ÄLVKARLEBY</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50113-2025</t>
        </is>
      </c>
      <c r="B82" s="1" t="n">
        <v>45943.54452546296</v>
      </c>
      <c r="C82" s="1" t="n">
        <v>46136</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50138-2025</t>
        </is>
      </c>
      <c r="B83" s="1" t="n">
        <v>45943.5653125</v>
      </c>
      <c r="C83" s="1" t="n">
        <v>46136</v>
      </c>
      <c r="D83" t="inlineStr">
        <is>
          <t>UPPSALA LÄN</t>
        </is>
      </c>
      <c r="E83" t="inlineStr">
        <is>
          <t>ÄLVKARLEBY</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50869-2025</t>
        </is>
      </c>
      <c r="B84" s="1" t="n">
        <v>45946.60259259259</v>
      </c>
      <c r="C84" s="1" t="n">
        <v>46136</v>
      </c>
      <c r="D84" t="inlineStr">
        <is>
          <t>UPPSALA LÄN</t>
        </is>
      </c>
      <c r="E84" t="inlineStr">
        <is>
          <t>ÄLVKARLEBY</t>
        </is>
      </c>
      <c r="F84" t="inlineStr">
        <is>
          <t>Bergvik skog väst AB</t>
        </is>
      </c>
      <c r="G84" t="n">
        <v>11.4</v>
      </c>
      <c r="H84" t="n">
        <v>0</v>
      </c>
      <c r="I84" t="n">
        <v>0</v>
      </c>
      <c r="J84" t="n">
        <v>0</v>
      </c>
      <c r="K84" t="n">
        <v>0</v>
      </c>
      <c r="L84" t="n">
        <v>0</v>
      </c>
      <c r="M84" t="n">
        <v>0</v>
      </c>
      <c r="N84" t="n">
        <v>0</v>
      </c>
      <c r="O84" t="n">
        <v>0</v>
      </c>
      <c r="P84" t="n">
        <v>0</v>
      </c>
      <c r="Q84" t="n">
        <v>0</v>
      </c>
      <c r="R84" s="2" t="inlineStr"/>
    </row>
    <row r="85" ht="15" customHeight="1">
      <c r="A85" t="inlineStr">
        <is>
          <t>A 51237-2025</t>
        </is>
      </c>
      <c r="B85" s="1" t="n">
        <v>45947.69307870371</v>
      </c>
      <c r="C85" s="1" t="n">
        <v>46136</v>
      </c>
      <c r="D85" t="inlineStr">
        <is>
          <t>UPPSALA LÄN</t>
        </is>
      </c>
      <c r="E85" t="inlineStr">
        <is>
          <t>ÄLVKARLEBY</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52477-2025</t>
        </is>
      </c>
      <c r="B86" s="1" t="n">
        <v>45954.46980324074</v>
      </c>
      <c r="C86" s="1" t="n">
        <v>46136</v>
      </c>
      <c r="D86" t="inlineStr">
        <is>
          <t>UPPSALA LÄN</t>
        </is>
      </c>
      <c r="E86" t="inlineStr">
        <is>
          <t>ÄLVKARLEBY</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52498-2025</t>
        </is>
      </c>
      <c r="B87" s="1" t="n">
        <v>45954.49314814815</v>
      </c>
      <c r="C87" s="1" t="n">
        <v>46136</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46136</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53173-2025</t>
        </is>
      </c>
      <c r="B89" s="1" t="n">
        <v>45958.51738425926</v>
      </c>
      <c r="C89" s="1" t="n">
        <v>46136</v>
      </c>
      <c r="D89" t="inlineStr">
        <is>
          <t>UPPSALA LÄN</t>
        </is>
      </c>
      <c r="E89" t="inlineStr">
        <is>
          <t>ÄLVKARLEBY</t>
        </is>
      </c>
      <c r="F89" t="inlineStr">
        <is>
          <t>Bergvik skog väst AB</t>
        </is>
      </c>
      <c r="G89" t="n">
        <v>2.3</v>
      </c>
      <c r="H89" t="n">
        <v>0</v>
      </c>
      <c r="I89" t="n">
        <v>0</v>
      </c>
      <c r="J89" t="n">
        <v>0</v>
      </c>
      <c r="K89" t="n">
        <v>0</v>
      </c>
      <c r="L89" t="n">
        <v>0</v>
      </c>
      <c r="M89" t="n">
        <v>0</v>
      </c>
      <c r="N89" t="n">
        <v>0</v>
      </c>
      <c r="O89" t="n">
        <v>0</v>
      </c>
      <c r="P89" t="n">
        <v>0</v>
      </c>
      <c r="Q89" t="n">
        <v>0</v>
      </c>
      <c r="R89" s="2" t="inlineStr"/>
    </row>
    <row r="90" ht="15" customHeight="1">
      <c r="A90" t="inlineStr">
        <is>
          <t>A 53184-2025</t>
        </is>
      </c>
      <c r="B90" s="1" t="n">
        <v>45958</v>
      </c>
      <c r="C90" s="1" t="n">
        <v>46136</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2183-2024</t>
        </is>
      </c>
      <c r="B91" s="1" t="n">
        <v>45309</v>
      </c>
      <c r="C91" s="1" t="n">
        <v>46136</v>
      </c>
      <c r="D91" t="inlineStr">
        <is>
          <t>UPPSALA LÄN</t>
        </is>
      </c>
      <c r="E91" t="inlineStr">
        <is>
          <t>ÄLVKARLEBY</t>
        </is>
      </c>
      <c r="G91" t="n">
        <v>0.5</v>
      </c>
      <c r="H91" t="n">
        <v>0</v>
      </c>
      <c r="I91" t="n">
        <v>0</v>
      </c>
      <c r="J91" t="n">
        <v>0</v>
      </c>
      <c r="K91" t="n">
        <v>0</v>
      </c>
      <c r="L91" t="n">
        <v>0</v>
      </c>
      <c r="M91" t="n">
        <v>0</v>
      </c>
      <c r="N91" t="n">
        <v>0</v>
      </c>
      <c r="O91" t="n">
        <v>0</v>
      </c>
      <c r="P91" t="n">
        <v>0</v>
      </c>
      <c r="Q91" t="n">
        <v>0</v>
      </c>
      <c r="R91" s="2" t="inlineStr"/>
    </row>
    <row r="92" ht="15" customHeight="1">
      <c r="A92" t="inlineStr">
        <is>
          <t>A 19304-2024</t>
        </is>
      </c>
      <c r="B92" s="1" t="n">
        <v>45428</v>
      </c>
      <c r="C92" s="1" t="n">
        <v>46136</v>
      </c>
      <c r="D92" t="inlineStr">
        <is>
          <t>UPPSALA LÄN</t>
        </is>
      </c>
      <c r="E92" t="inlineStr">
        <is>
          <t>ÄLVKARLEBY</t>
        </is>
      </c>
      <c r="G92" t="n">
        <v>0.2</v>
      </c>
      <c r="H92" t="n">
        <v>0</v>
      </c>
      <c r="I92" t="n">
        <v>0</v>
      </c>
      <c r="J92" t="n">
        <v>0</v>
      </c>
      <c r="K92" t="n">
        <v>0</v>
      </c>
      <c r="L92" t="n">
        <v>0</v>
      </c>
      <c r="M92" t="n">
        <v>0</v>
      </c>
      <c r="N92" t="n">
        <v>0</v>
      </c>
      <c r="O92" t="n">
        <v>0</v>
      </c>
      <c r="P92" t="n">
        <v>0</v>
      </c>
      <c r="Q92" t="n">
        <v>0</v>
      </c>
      <c r="R92" s="2" t="inlineStr"/>
    </row>
    <row r="93" ht="15" customHeight="1">
      <c r="A93" t="inlineStr">
        <is>
          <t>A 56861-2025</t>
        </is>
      </c>
      <c r="B93" s="1" t="n">
        <v>45978.50824074074</v>
      </c>
      <c r="C93" s="1" t="n">
        <v>46136</v>
      </c>
      <c r="D93" t="inlineStr">
        <is>
          <t>UPPSALA LÄN</t>
        </is>
      </c>
      <c r="E93" t="inlineStr">
        <is>
          <t>ÄLVKARLEBY</t>
        </is>
      </c>
      <c r="F93" t="inlineStr">
        <is>
          <t>Bergvik skog väst AB</t>
        </is>
      </c>
      <c r="G93" t="n">
        <v>1.6</v>
      </c>
      <c r="H93" t="n">
        <v>0</v>
      </c>
      <c r="I93" t="n">
        <v>0</v>
      </c>
      <c r="J93" t="n">
        <v>0</v>
      </c>
      <c r="K93" t="n">
        <v>0</v>
      </c>
      <c r="L93" t="n">
        <v>0</v>
      </c>
      <c r="M93" t="n">
        <v>0</v>
      </c>
      <c r="N93" t="n">
        <v>0</v>
      </c>
      <c r="O93" t="n">
        <v>0</v>
      </c>
      <c r="P93" t="n">
        <v>0</v>
      </c>
      <c r="Q93" t="n">
        <v>0</v>
      </c>
      <c r="R93" s="2" t="inlineStr"/>
    </row>
    <row r="94" ht="15" customHeight="1">
      <c r="A94" t="inlineStr">
        <is>
          <t>A 58168-2025</t>
        </is>
      </c>
      <c r="B94" s="1" t="n">
        <v>45982.72024305556</v>
      </c>
      <c r="C94" s="1" t="n">
        <v>46136</v>
      </c>
      <c r="D94" t="inlineStr">
        <is>
          <t>UPPSALA LÄN</t>
        </is>
      </c>
      <c r="E94" t="inlineStr">
        <is>
          <t>ÄLVKARLEBY</t>
        </is>
      </c>
      <c r="F94" t="inlineStr">
        <is>
          <t>Bergvik skog väst AB</t>
        </is>
      </c>
      <c r="G94" t="n">
        <v>1.7</v>
      </c>
      <c r="H94" t="n">
        <v>0</v>
      </c>
      <c r="I94" t="n">
        <v>0</v>
      </c>
      <c r="J94" t="n">
        <v>0</v>
      </c>
      <c r="K94" t="n">
        <v>0</v>
      </c>
      <c r="L94" t="n">
        <v>0</v>
      </c>
      <c r="M94" t="n">
        <v>0</v>
      </c>
      <c r="N94" t="n">
        <v>0</v>
      </c>
      <c r="O94" t="n">
        <v>0</v>
      </c>
      <c r="P94" t="n">
        <v>0</v>
      </c>
      <c r="Q94" t="n">
        <v>0</v>
      </c>
      <c r="R94" s="2" t="inlineStr"/>
    </row>
    <row r="95" ht="15" customHeight="1">
      <c r="A95" t="inlineStr">
        <is>
          <t>A 57734-2025</t>
        </is>
      </c>
      <c r="B95" s="1" t="n">
        <v>45981.51148148148</v>
      </c>
      <c r="C95" s="1" t="n">
        <v>46136</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58497-2025</t>
        </is>
      </c>
      <c r="B96" s="1" t="n">
        <v>45985.67912037037</v>
      </c>
      <c r="C96" s="1" t="n">
        <v>46136</v>
      </c>
      <c r="D96" t="inlineStr">
        <is>
          <t>UPPSALA LÄN</t>
        </is>
      </c>
      <c r="E96" t="inlineStr">
        <is>
          <t>ÄLVKARLEBY</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60256-2025</t>
        </is>
      </c>
      <c r="B97" s="1" t="n">
        <v>45994.60216435185</v>
      </c>
      <c r="C97" s="1" t="n">
        <v>46136</v>
      </c>
      <c r="D97" t="inlineStr">
        <is>
          <t>UPPSALA LÄN</t>
        </is>
      </c>
      <c r="E97" t="inlineStr">
        <is>
          <t>ÄLVKARLEBY</t>
        </is>
      </c>
      <c r="G97" t="n">
        <v>1</v>
      </c>
      <c r="H97" t="n">
        <v>0</v>
      </c>
      <c r="I97" t="n">
        <v>0</v>
      </c>
      <c r="J97" t="n">
        <v>0</v>
      </c>
      <c r="K97" t="n">
        <v>0</v>
      </c>
      <c r="L97" t="n">
        <v>0</v>
      </c>
      <c r="M97" t="n">
        <v>0</v>
      </c>
      <c r="N97" t="n">
        <v>0</v>
      </c>
      <c r="O97" t="n">
        <v>0</v>
      </c>
      <c r="P97" t="n">
        <v>0</v>
      </c>
      <c r="Q97" t="n">
        <v>0</v>
      </c>
      <c r="R97" s="2" t="inlineStr"/>
    </row>
    <row r="98" ht="15" customHeight="1">
      <c r="A98" t="inlineStr">
        <is>
          <t>A 60083-2025</t>
        </is>
      </c>
      <c r="B98" s="1" t="n">
        <v>45993.69733796296</v>
      </c>
      <c r="C98" s="1" t="n">
        <v>46136</v>
      </c>
      <c r="D98" t="inlineStr">
        <is>
          <t>UPPSALA LÄN</t>
        </is>
      </c>
      <c r="E98" t="inlineStr">
        <is>
          <t>ÄLVKARLEBY</t>
        </is>
      </c>
      <c r="F98" t="inlineStr">
        <is>
          <t>Bergvik skog väst AB</t>
        </is>
      </c>
      <c r="G98" t="n">
        <v>4.7</v>
      </c>
      <c r="H98" t="n">
        <v>0</v>
      </c>
      <c r="I98" t="n">
        <v>0</v>
      </c>
      <c r="J98" t="n">
        <v>0</v>
      </c>
      <c r="K98" t="n">
        <v>0</v>
      </c>
      <c r="L98" t="n">
        <v>0</v>
      </c>
      <c r="M98" t="n">
        <v>0</v>
      </c>
      <c r="N98" t="n">
        <v>0</v>
      </c>
      <c r="O98" t="n">
        <v>0</v>
      </c>
      <c r="P98" t="n">
        <v>0</v>
      </c>
      <c r="Q98" t="n">
        <v>0</v>
      </c>
      <c r="R98" s="2" t="inlineStr"/>
    </row>
    <row r="99" ht="15" customHeight="1">
      <c r="A99" t="inlineStr">
        <is>
          <t>A 43285-2023</t>
        </is>
      </c>
      <c r="B99" s="1" t="n">
        <v>45183.5630787037</v>
      </c>
      <c r="C99" s="1" t="n">
        <v>46136</v>
      </c>
      <c r="D99" t="inlineStr">
        <is>
          <t>UPPSALA LÄN</t>
        </is>
      </c>
      <c r="E99" t="inlineStr">
        <is>
          <t>ÄLVKARLEBY</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3950-2025</t>
        </is>
      </c>
      <c r="B100" s="1" t="n">
        <v>45684</v>
      </c>
      <c r="C100" s="1" t="n">
        <v>46136</v>
      </c>
      <c r="D100" t="inlineStr">
        <is>
          <t>UPPSALA LÄN</t>
        </is>
      </c>
      <c r="E100" t="inlineStr">
        <is>
          <t>ÄLVKARLEBY</t>
        </is>
      </c>
      <c r="G100" t="n">
        <v>3.1</v>
      </c>
      <c r="H100" t="n">
        <v>0</v>
      </c>
      <c r="I100" t="n">
        <v>0</v>
      </c>
      <c r="J100" t="n">
        <v>0</v>
      </c>
      <c r="K100" t="n">
        <v>0</v>
      </c>
      <c r="L100" t="n">
        <v>0</v>
      </c>
      <c r="M100" t="n">
        <v>0</v>
      </c>
      <c r="N100" t="n">
        <v>0</v>
      </c>
      <c r="O100" t="n">
        <v>0</v>
      </c>
      <c r="P100" t="n">
        <v>0</v>
      </c>
      <c r="Q100" t="n">
        <v>0</v>
      </c>
      <c r="R100" s="2" t="inlineStr"/>
    </row>
    <row r="101" ht="15" customHeight="1">
      <c r="A101" t="inlineStr">
        <is>
          <t>A 60842-2025</t>
        </is>
      </c>
      <c r="B101" s="1" t="n">
        <v>45999.48721064815</v>
      </c>
      <c r="C101" s="1" t="n">
        <v>46136</v>
      </c>
      <c r="D101" t="inlineStr">
        <is>
          <t>UPPSALA LÄN</t>
        </is>
      </c>
      <c r="E101" t="inlineStr">
        <is>
          <t>ÄLVKARLEBY</t>
        </is>
      </c>
      <c r="F101" t="inlineStr">
        <is>
          <t>Bergvik skog väst AB</t>
        </is>
      </c>
      <c r="G101" t="n">
        <v>1.9</v>
      </c>
      <c r="H101" t="n">
        <v>0</v>
      </c>
      <c r="I101" t="n">
        <v>0</v>
      </c>
      <c r="J101" t="n">
        <v>0</v>
      </c>
      <c r="K101" t="n">
        <v>0</v>
      </c>
      <c r="L101" t="n">
        <v>0</v>
      </c>
      <c r="M101" t="n">
        <v>0</v>
      </c>
      <c r="N101" t="n">
        <v>0</v>
      </c>
      <c r="O101" t="n">
        <v>0</v>
      </c>
      <c r="P101" t="n">
        <v>0</v>
      </c>
      <c r="Q101" t="n">
        <v>0</v>
      </c>
      <c r="R101" s="2" t="inlineStr"/>
    </row>
    <row r="102" ht="15" customHeight="1">
      <c r="A102" t="inlineStr">
        <is>
          <t>A 60829-2025</t>
        </is>
      </c>
      <c r="B102" s="1" t="n">
        <v>45999.46523148148</v>
      </c>
      <c r="C102" s="1" t="n">
        <v>46136</v>
      </c>
      <c r="D102" t="inlineStr">
        <is>
          <t>UPPSALA LÄN</t>
        </is>
      </c>
      <c r="E102" t="inlineStr">
        <is>
          <t>ÄLVKARLEBY</t>
        </is>
      </c>
      <c r="F102" t="inlineStr">
        <is>
          <t>Bergvik skog väst AB</t>
        </is>
      </c>
      <c r="G102" t="n">
        <v>5.5</v>
      </c>
      <c r="H102" t="n">
        <v>0</v>
      </c>
      <c r="I102" t="n">
        <v>0</v>
      </c>
      <c r="J102" t="n">
        <v>0</v>
      </c>
      <c r="K102" t="n">
        <v>0</v>
      </c>
      <c r="L102" t="n">
        <v>0</v>
      </c>
      <c r="M102" t="n">
        <v>0</v>
      </c>
      <c r="N102" t="n">
        <v>0</v>
      </c>
      <c r="O102" t="n">
        <v>0</v>
      </c>
      <c r="P102" t="n">
        <v>0</v>
      </c>
      <c r="Q102" t="n">
        <v>0</v>
      </c>
      <c r="R102" s="2" t="inlineStr"/>
    </row>
    <row r="103" ht="15" customHeight="1">
      <c r="A103" t="inlineStr">
        <is>
          <t>A 61694-2025</t>
        </is>
      </c>
      <c r="B103" s="1" t="n">
        <v>46002.52361111111</v>
      </c>
      <c r="C103" s="1" t="n">
        <v>46136</v>
      </c>
      <c r="D103" t="inlineStr">
        <is>
          <t>UPPSALA LÄN</t>
        </is>
      </c>
      <c r="E103" t="inlineStr">
        <is>
          <t>ÄLVKARLEBY</t>
        </is>
      </c>
      <c r="F103" t="inlineStr">
        <is>
          <t>Bergvik skog öst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61691-2025</t>
        </is>
      </c>
      <c r="B104" s="1" t="n">
        <v>46002.51318287037</v>
      </c>
      <c r="C104" s="1" t="n">
        <v>46136</v>
      </c>
      <c r="D104" t="inlineStr">
        <is>
          <t>UPPSALA LÄN</t>
        </is>
      </c>
      <c r="E104" t="inlineStr">
        <is>
          <t>ÄLVKARLEBY</t>
        </is>
      </c>
      <c r="F104" t="inlineStr">
        <is>
          <t>Bergvik skog öst AB</t>
        </is>
      </c>
      <c r="G104" t="n">
        <v>0.7</v>
      </c>
      <c r="H104" t="n">
        <v>0</v>
      </c>
      <c r="I104" t="n">
        <v>0</v>
      </c>
      <c r="J104" t="n">
        <v>0</v>
      </c>
      <c r="K104" t="n">
        <v>0</v>
      </c>
      <c r="L104" t="n">
        <v>0</v>
      </c>
      <c r="M104" t="n">
        <v>0</v>
      </c>
      <c r="N104" t="n">
        <v>0</v>
      </c>
      <c r="O104" t="n">
        <v>0</v>
      </c>
      <c r="P104" t="n">
        <v>0</v>
      </c>
      <c r="Q104" t="n">
        <v>0</v>
      </c>
      <c r="R104" s="2" t="inlineStr"/>
    </row>
    <row r="105" ht="15" customHeight="1">
      <c r="A105" t="inlineStr">
        <is>
          <t>A 61685-2025</t>
        </is>
      </c>
      <c r="B105" s="1" t="n">
        <v>46002.503125</v>
      </c>
      <c r="C105" s="1" t="n">
        <v>46136</v>
      </c>
      <c r="D105" t="inlineStr">
        <is>
          <t>UPPSALA LÄN</t>
        </is>
      </c>
      <c r="E105" t="inlineStr">
        <is>
          <t>ÄLVKARLEBY</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46136</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63004-2025</t>
        </is>
      </c>
      <c r="B107" s="1" t="n">
        <v>46009.56873842593</v>
      </c>
      <c r="C107" s="1" t="n">
        <v>46136</v>
      </c>
      <c r="D107" t="inlineStr">
        <is>
          <t>UPPSALA LÄN</t>
        </is>
      </c>
      <c r="E107" t="inlineStr">
        <is>
          <t>ÄLVKARLEBY</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63183-2025</t>
        </is>
      </c>
      <c r="B108" s="1" t="n">
        <v>46010.42908564815</v>
      </c>
      <c r="C108" s="1" t="n">
        <v>46136</v>
      </c>
      <c r="D108" t="inlineStr">
        <is>
          <t>UPPSALA LÄN</t>
        </is>
      </c>
      <c r="E108" t="inlineStr">
        <is>
          <t>ÄLVKARLEBY</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62938-2025</t>
        </is>
      </c>
      <c r="B109" s="1" t="n">
        <v>46009.42092592592</v>
      </c>
      <c r="C109" s="1" t="n">
        <v>46136</v>
      </c>
      <c r="D109" t="inlineStr">
        <is>
          <t>UPPSALA LÄN</t>
        </is>
      </c>
      <c r="E109" t="inlineStr">
        <is>
          <t>ÄLVKARLEBY</t>
        </is>
      </c>
      <c r="F109" t="inlineStr">
        <is>
          <t>Bergvik skog väst AB</t>
        </is>
      </c>
      <c r="G109" t="n">
        <v>10.2</v>
      </c>
      <c r="H109" t="n">
        <v>0</v>
      </c>
      <c r="I109" t="n">
        <v>0</v>
      </c>
      <c r="J109" t="n">
        <v>0</v>
      </c>
      <c r="K109" t="n">
        <v>0</v>
      </c>
      <c r="L109" t="n">
        <v>0</v>
      </c>
      <c r="M109" t="n">
        <v>0</v>
      </c>
      <c r="N109" t="n">
        <v>0</v>
      </c>
      <c r="O109" t="n">
        <v>0</v>
      </c>
      <c r="P109" t="n">
        <v>0</v>
      </c>
      <c r="Q109" t="n">
        <v>0</v>
      </c>
      <c r="R109" s="2" t="inlineStr"/>
    </row>
    <row r="110" ht="15" customHeight="1">
      <c r="A110" t="inlineStr">
        <is>
          <t>A 63341-2025</t>
        </is>
      </c>
      <c r="B110" s="1" t="n">
        <v>46010.65505787037</v>
      </c>
      <c r="C110" s="1" t="n">
        <v>46136</v>
      </c>
      <c r="D110" t="inlineStr">
        <is>
          <t>UPPSALA LÄN</t>
        </is>
      </c>
      <c r="E110" t="inlineStr">
        <is>
          <t>ÄLVKARLEBY</t>
        </is>
      </c>
      <c r="F110" t="inlineStr">
        <is>
          <t>Bergvik skog väst AB</t>
        </is>
      </c>
      <c r="G110" t="n">
        <v>4.3</v>
      </c>
      <c r="H110" t="n">
        <v>0</v>
      </c>
      <c r="I110" t="n">
        <v>0</v>
      </c>
      <c r="J110" t="n">
        <v>0</v>
      </c>
      <c r="K110" t="n">
        <v>0</v>
      </c>
      <c r="L110" t="n">
        <v>0</v>
      </c>
      <c r="M110" t="n">
        <v>0</v>
      </c>
      <c r="N110" t="n">
        <v>0</v>
      </c>
      <c r="O110" t="n">
        <v>0</v>
      </c>
      <c r="P110" t="n">
        <v>0</v>
      </c>
      <c r="Q110" t="n">
        <v>0</v>
      </c>
      <c r="R110" s="2" t="inlineStr"/>
    </row>
    <row r="111" ht="15" customHeight="1">
      <c r="A111" t="inlineStr">
        <is>
          <t>A 63365-2025</t>
        </is>
      </c>
      <c r="B111" s="1" t="n">
        <v>46010.70717592593</v>
      </c>
      <c r="C111" s="1" t="n">
        <v>46136</v>
      </c>
      <c r="D111" t="inlineStr">
        <is>
          <t>UPPSALA LÄN</t>
        </is>
      </c>
      <c r="E111" t="inlineStr">
        <is>
          <t>ÄLVKARLEBY</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61839-2025</t>
        </is>
      </c>
      <c r="B112" s="1" t="n">
        <v>46003.35768518518</v>
      </c>
      <c r="C112" s="1" t="n">
        <v>46136</v>
      </c>
      <c r="D112" t="inlineStr">
        <is>
          <t>UPPSALA LÄN</t>
        </is>
      </c>
      <c r="E112" t="inlineStr">
        <is>
          <t>ÄLVKARLEBY</t>
        </is>
      </c>
      <c r="F112" t="inlineStr">
        <is>
          <t>Bergvik skog väst AB</t>
        </is>
      </c>
      <c r="G112" t="n">
        <v>2.3</v>
      </c>
      <c r="H112" t="n">
        <v>0</v>
      </c>
      <c r="I112" t="n">
        <v>0</v>
      </c>
      <c r="J112" t="n">
        <v>0</v>
      </c>
      <c r="K112" t="n">
        <v>0</v>
      </c>
      <c r="L112" t="n">
        <v>0</v>
      </c>
      <c r="M112" t="n">
        <v>0</v>
      </c>
      <c r="N112" t="n">
        <v>0</v>
      </c>
      <c r="O112" t="n">
        <v>0</v>
      </c>
      <c r="P112" t="n">
        <v>0</v>
      </c>
      <c r="Q112" t="n">
        <v>0</v>
      </c>
      <c r="R112" s="2" t="inlineStr"/>
    </row>
    <row r="113" ht="15" customHeight="1">
      <c r="A113" t="inlineStr">
        <is>
          <t>A 46113-2023</t>
        </is>
      </c>
      <c r="B113" s="1" t="n">
        <v>45196.54938657407</v>
      </c>
      <c r="C113" s="1" t="n">
        <v>46136</v>
      </c>
      <c r="D113" t="inlineStr">
        <is>
          <t>UPPSALA LÄN</t>
        </is>
      </c>
      <c r="E113" t="inlineStr">
        <is>
          <t>ÄLVKARLEBY</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41979-2024</t>
        </is>
      </c>
      <c r="B114" s="1" t="n">
        <v>45561</v>
      </c>
      <c r="C114" s="1" t="n">
        <v>46136</v>
      </c>
      <c r="D114" t="inlineStr">
        <is>
          <t>UPPSALA LÄN</t>
        </is>
      </c>
      <c r="E114" t="inlineStr">
        <is>
          <t>ÄLVKARLEBY</t>
        </is>
      </c>
      <c r="F114" t="inlineStr">
        <is>
          <t>Bergvik skog väst AB</t>
        </is>
      </c>
      <c r="G114" t="n">
        <v>2.8</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46136</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41276-2023</t>
        </is>
      </c>
      <c r="B116" s="1" t="n">
        <v>45174</v>
      </c>
      <c r="C116" s="1" t="n">
        <v>46136</v>
      </c>
      <c r="D116" t="inlineStr">
        <is>
          <t>UPPSALA LÄN</t>
        </is>
      </c>
      <c r="E116" t="inlineStr">
        <is>
          <t>ÄLVKARLEBY</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41929-2024</t>
        </is>
      </c>
      <c r="B117" s="1" t="n">
        <v>45561</v>
      </c>
      <c r="C117" s="1" t="n">
        <v>46136</v>
      </c>
      <c r="D117" t="inlineStr">
        <is>
          <t>UPPSALA LÄN</t>
        </is>
      </c>
      <c r="E117" t="inlineStr">
        <is>
          <t>ÄLVKARLEBY</t>
        </is>
      </c>
      <c r="F117" t="inlineStr">
        <is>
          <t>Bergvik skog väst AB</t>
        </is>
      </c>
      <c r="G117" t="n">
        <v>4.9</v>
      </c>
      <c r="H117" t="n">
        <v>0</v>
      </c>
      <c r="I117" t="n">
        <v>0</v>
      </c>
      <c r="J117" t="n">
        <v>0</v>
      </c>
      <c r="K117" t="n">
        <v>0</v>
      </c>
      <c r="L117" t="n">
        <v>0</v>
      </c>
      <c r="M117" t="n">
        <v>0</v>
      </c>
      <c r="N117" t="n">
        <v>0</v>
      </c>
      <c r="O117" t="n">
        <v>0</v>
      </c>
      <c r="P117" t="n">
        <v>0</v>
      </c>
      <c r="Q117" t="n">
        <v>0</v>
      </c>
      <c r="R117" s="2" t="inlineStr"/>
    </row>
    <row r="118" ht="15" customHeight="1">
      <c r="A118" t="inlineStr">
        <is>
          <t>A 18451-2025</t>
        </is>
      </c>
      <c r="B118" s="1" t="n">
        <v>45762</v>
      </c>
      <c r="C118" s="1" t="n">
        <v>46136</v>
      </c>
      <c r="D118" t="inlineStr">
        <is>
          <t>UPPSALA LÄN</t>
        </is>
      </c>
      <c r="E118" t="inlineStr">
        <is>
          <t>ÄLVKARLEBY</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14590-2023</t>
        </is>
      </c>
      <c r="B119" s="1" t="n">
        <v>45013.54621527778</v>
      </c>
      <c r="C119" s="1" t="n">
        <v>46136</v>
      </c>
      <c r="D119" t="inlineStr">
        <is>
          <t>UPPSALA LÄN</t>
        </is>
      </c>
      <c r="E119" t="inlineStr">
        <is>
          <t>ÄLVKARLEBY</t>
        </is>
      </c>
      <c r="G119" t="n">
        <v>1.8</v>
      </c>
      <c r="H119" t="n">
        <v>0</v>
      </c>
      <c r="I119" t="n">
        <v>0</v>
      </c>
      <c r="J119" t="n">
        <v>0</v>
      </c>
      <c r="K119" t="n">
        <v>0</v>
      </c>
      <c r="L119" t="n">
        <v>0</v>
      </c>
      <c r="M119" t="n">
        <v>0</v>
      </c>
      <c r="N119" t="n">
        <v>0</v>
      </c>
      <c r="O119" t="n">
        <v>0</v>
      </c>
      <c r="P119" t="n">
        <v>0</v>
      </c>
      <c r="Q119" t="n">
        <v>0</v>
      </c>
      <c r="R119" s="2" t="inlineStr"/>
    </row>
    <row r="120" ht="15" customHeight="1">
      <c r="A120" t="inlineStr">
        <is>
          <t>A 9533-2025</t>
        </is>
      </c>
      <c r="B120" s="1" t="n">
        <v>45715.57082175926</v>
      </c>
      <c r="C120" s="1" t="n">
        <v>46136</v>
      </c>
      <c r="D120" t="inlineStr">
        <is>
          <t>UPPSALA LÄN</t>
        </is>
      </c>
      <c r="E120" t="inlineStr">
        <is>
          <t>ÄLVKARLEBY</t>
        </is>
      </c>
      <c r="G120" t="n">
        <v>2.1</v>
      </c>
      <c r="H120" t="n">
        <v>0</v>
      </c>
      <c r="I120" t="n">
        <v>0</v>
      </c>
      <c r="J120" t="n">
        <v>0</v>
      </c>
      <c r="K120" t="n">
        <v>0</v>
      </c>
      <c r="L120" t="n">
        <v>0</v>
      </c>
      <c r="M120" t="n">
        <v>0</v>
      </c>
      <c r="N120" t="n">
        <v>0</v>
      </c>
      <c r="O120" t="n">
        <v>0</v>
      </c>
      <c r="P120" t="n">
        <v>0</v>
      </c>
      <c r="Q120" t="n">
        <v>0</v>
      </c>
      <c r="R120" s="2" t="inlineStr"/>
    </row>
    <row r="121" ht="15" customHeight="1">
      <c r="A121" t="inlineStr">
        <is>
          <t>A 19697-2025</t>
        </is>
      </c>
      <c r="B121" s="1" t="n">
        <v>45771</v>
      </c>
      <c r="C121" s="1" t="n">
        <v>46136</v>
      </c>
      <c r="D121" t="inlineStr">
        <is>
          <t>UPPSALA LÄN</t>
        </is>
      </c>
      <c r="E121" t="inlineStr">
        <is>
          <t>ÄLVKARLEBY</t>
        </is>
      </c>
      <c r="F121" t="inlineStr">
        <is>
          <t>Bergvik skog väst AB</t>
        </is>
      </c>
      <c r="G121" t="n">
        <v>3.3</v>
      </c>
      <c r="H121" t="n">
        <v>0</v>
      </c>
      <c r="I121" t="n">
        <v>0</v>
      </c>
      <c r="J121" t="n">
        <v>0</v>
      </c>
      <c r="K121" t="n">
        <v>0</v>
      </c>
      <c r="L121" t="n">
        <v>0</v>
      </c>
      <c r="M121" t="n">
        <v>0</v>
      </c>
      <c r="N121" t="n">
        <v>0</v>
      </c>
      <c r="O121" t="n">
        <v>0</v>
      </c>
      <c r="P121" t="n">
        <v>0</v>
      </c>
      <c r="Q121" t="n">
        <v>0</v>
      </c>
      <c r="R121" s="2" t="inlineStr"/>
    </row>
    <row r="122" ht="15" customHeight="1">
      <c r="A122" t="inlineStr">
        <is>
          <t>A 22223-2025</t>
        </is>
      </c>
      <c r="B122" s="1" t="n">
        <v>45785</v>
      </c>
      <c r="C122" s="1" t="n">
        <v>46136</v>
      </c>
      <c r="D122" t="inlineStr">
        <is>
          <t>UPPSALA LÄN</t>
        </is>
      </c>
      <c r="E122" t="inlineStr">
        <is>
          <t>ÄLVKARLEBY</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24591-2025</t>
        </is>
      </c>
      <c r="B123" s="1" t="n">
        <v>45798.53666666667</v>
      </c>
      <c r="C123" s="1" t="n">
        <v>46136</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c r="A124" t="inlineStr">
        <is>
          <t>A 25330-2025</t>
        </is>
      </c>
      <c r="B124" s="1" t="n">
        <v>45800.59114583334</v>
      </c>
      <c r="C124" s="1" t="n">
        <v>46136</v>
      </c>
      <c r="D124" t="inlineStr">
        <is>
          <t>UPPSALA LÄN</t>
        </is>
      </c>
      <c r="E124" t="inlineStr">
        <is>
          <t>ÄLVKARLEBY</t>
        </is>
      </c>
      <c r="F124" t="inlineStr">
        <is>
          <t>Bergvik skog väst AB</t>
        </is>
      </c>
      <c r="G124" t="n">
        <v>5</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2026-04-24T10:51:25Z</dcterms:created>
  <dcterms:modified xmlns:dcterms="http://purl.org/dc/terms/" xmlns:xsi="http://www.w3.org/2001/XMLSchema-instance" xsi:type="dcterms:W3CDTF">2026-04-24T10:51:25Z</dcterms:modified>
</cp:coreProperties>
</file>