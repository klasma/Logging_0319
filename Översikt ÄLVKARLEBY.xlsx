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45471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45471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45471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Olivspindling
Skogsknipprot
Tvåblad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33441-2021</t>
        </is>
      </c>
      <c r="B5" s="1" t="n">
        <v>44377</v>
      </c>
      <c r="C5" s="1" t="n">
        <v>45471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Kalkkärrsgrynsnäcka
Nästrot
Ögonpyrola</t>
        </is>
      </c>
      <c r="S5">
        <f>HYPERLINK("https://klasma.github.io/Logging_0319/artfynd/A 33441-2021 artfynd.xlsx", "A 33441-2021")</f>
        <v/>
      </c>
      <c r="T5">
        <f>HYPERLINK("https://klasma.github.io/Logging_0319/kartor/A 33441-2021 karta.png", "A 33441-2021")</f>
        <v/>
      </c>
      <c r="V5">
        <f>HYPERLINK("https://klasma.github.io/Logging_0319/klagomål/A 33441-2021 FSC-klagomål.docx", "A 33441-2021")</f>
        <v/>
      </c>
      <c r="W5">
        <f>HYPERLINK("https://klasma.github.io/Logging_0319/klagomålsmail/A 33441-2021 FSC-klagomål mail.docx", "A 33441-2021")</f>
        <v/>
      </c>
      <c r="X5">
        <f>HYPERLINK("https://klasma.github.io/Logging_0319/tillsyn/A 33441-2021 tillsynsbegäran.docx", "A 33441-2021")</f>
        <v/>
      </c>
      <c r="Y5">
        <f>HYPERLINK("https://klasma.github.io/Logging_0319/tillsynsmail/A 33441-2021 tillsynsbegäran mail.docx", "A 33441-2021")</f>
        <v/>
      </c>
    </row>
    <row r="6" ht="15" customHeight="1">
      <c r="A6" t="inlineStr">
        <is>
          <t>A 25724-2023</t>
        </is>
      </c>
      <c r="B6" s="1" t="n">
        <v>45090</v>
      </c>
      <c r="C6" s="1" t="n">
        <v>45471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18.6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Väddnätfjäril
Anisspindling
Tibast</t>
        </is>
      </c>
      <c r="S6">
        <f>HYPERLINK("https://klasma.github.io/Logging_0319/artfynd/A 25724-2023 artfynd.xlsx", "A 25724-2023")</f>
        <v/>
      </c>
      <c r="T6">
        <f>HYPERLINK("https://klasma.github.io/Logging_0319/kartor/A 25724-2023 karta.png", "A 25724-2023")</f>
        <v/>
      </c>
      <c r="V6">
        <f>HYPERLINK("https://klasma.github.io/Logging_0319/klagomål/A 25724-2023 FSC-klagomål.docx", "A 25724-2023")</f>
        <v/>
      </c>
      <c r="W6">
        <f>HYPERLINK("https://klasma.github.io/Logging_0319/klagomålsmail/A 25724-2023 FSC-klagomål mail.docx", "A 25724-2023")</f>
        <v/>
      </c>
      <c r="X6">
        <f>HYPERLINK("https://klasma.github.io/Logging_0319/tillsyn/A 25724-2023 tillsynsbegäran.docx", "A 25724-2023")</f>
        <v/>
      </c>
      <c r="Y6">
        <f>HYPERLINK("https://klasma.github.io/Logging_0319/tillsynsmail/A 25724-2023 tillsynsbegäran mail.docx", "A 25724-2023")</f>
        <v/>
      </c>
    </row>
    <row r="7" ht="15" customHeight="1">
      <c r="A7" t="inlineStr">
        <is>
          <t>A 45895-2023</t>
        </is>
      </c>
      <c r="B7" s="1" t="n">
        <v>45195</v>
      </c>
      <c r="C7" s="1" t="n">
        <v>45471</v>
      </c>
      <c r="D7" t="inlineStr">
        <is>
          <t>UPPSALA LÄN</t>
        </is>
      </c>
      <c r="E7" t="inlineStr">
        <is>
          <t>ÄLVKARLEBY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Flattoppad klubbsvamp
Sårläka
Trådfräken</t>
        </is>
      </c>
      <c r="S7">
        <f>HYPERLINK("https://klasma.github.io/Logging_0319/artfynd/A 45895-2023 artfynd.xlsx", "A 45895-2023")</f>
        <v/>
      </c>
      <c r="T7">
        <f>HYPERLINK("https://klasma.github.io/Logging_0319/kartor/A 45895-2023 karta.png", "A 45895-2023")</f>
        <v/>
      </c>
      <c r="V7">
        <f>HYPERLINK("https://klasma.github.io/Logging_0319/klagomål/A 45895-2023 FSC-klagomål.docx", "A 45895-2023")</f>
        <v/>
      </c>
      <c r="W7">
        <f>HYPERLINK("https://klasma.github.io/Logging_0319/klagomålsmail/A 45895-2023 FSC-klagomål mail.docx", "A 45895-2023")</f>
        <v/>
      </c>
      <c r="X7">
        <f>HYPERLINK("https://klasma.github.io/Logging_0319/tillsyn/A 45895-2023 tillsynsbegäran.docx", "A 45895-2023")</f>
        <v/>
      </c>
      <c r="Y7">
        <f>HYPERLINK("https://klasma.github.io/Logging_0319/tillsynsmail/A 45895-2023 tillsynsbegäran mail.docx", "A 45895-2023")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45471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45471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45471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45471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45471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45471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45471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45471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45471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45471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45471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45471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45471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45471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45471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45471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45471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45471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45471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45471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45471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45471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45471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45471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45471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45471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45471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45471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45471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45471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45471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45471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45471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45471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45471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45471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45471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45471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45471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45471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45471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45471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45471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45471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45471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45471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45471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45471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45471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45471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45471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45471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45471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45471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45471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45471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45471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45471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45471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45471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45471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45471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45471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45471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45471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45471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45471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45471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45471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45471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45471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45471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45471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45471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45471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45471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45471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45471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45471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45471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45471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45471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45471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45471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45471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45471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45471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45471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45471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45471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45471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45471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45471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45471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19298-2024</t>
        </is>
      </c>
      <c r="B102" s="1" t="n">
        <v>45428</v>
      </c>
      <c r="C102" s="1" t="n">
        <v>45471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2024-06-28T10:10:37Z</dcterms:created>
  <dcterms:modified xmlns:dcterms="http://purl.org/dc/terms/" xmlns:xsi="http://www.w3.org/2001/XMLSchema-instance" xsi:type="dcterms:W3CDTF">2024-06-28T10:10:37Z</dcterms:modified>
</cp:coreProperties>
</file>