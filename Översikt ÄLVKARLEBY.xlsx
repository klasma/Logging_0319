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46001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46001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46001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46001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46001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46001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46001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46001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46001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46001</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46001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46001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46001</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46001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70017-2021</t>
        </is>
      </c>
      <c r="B16" s="1" t="n">
        <v>44533</v>
      </c>
      <c r="C16" s="1" t="n">
        <v>46001</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58485-2025</t>
        </is>
      </c>
      <c r="B17" s="1" t="n">
        <v>45985.65565972222</v>
      </c>
      <c r="C17" s="1" t="n">
        <v>46001</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46001</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39902-2025</t>
        </is>
      </c>
      <c r="B19" s="1" t="n">
        <v>45891.63597222222</v>
      </c>
      <c r="C19" s="1" t="n">
        <v>46001</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66277-2020</t>
        </is>
      </c>
      <c r="B20" s="1" t="n">
        <v>44176</v>
      </c>
      <c r="C20" s="1" t="n">
        <v>46001</v>
      </c>
      <c r="D20" t="inlineStr">
        <is>
          <t>UPPSALA LÄN</t>
        </is>
      </c>
      <c r="E20" t="inlineStr">
        <is>
          <t>ÄLVKARLEBY</t>
        </is>
      </c>
      <c r="F20" t="inlineStr">
        <is>
          <t>Bergvik skog väst AB</t>
        </is>
      </c>
      <c r="G20" t="n">
        <v>2.6</v>
      </c>
      <c r="H20" t="n">
        <v>1</v>
      </c>
      <c r="I20" t="n">
        <v>0</v>
      </c>
      <c r="J20" t="n">
        <v>0</v>
      </c>
      <c r="K20" t="n">
        <v>0</v>
      </c>
      <c r="L20" t="n">
        <v>0</v>
      </c>
      <c r="M20" t="n">
        <v>0</v>
      </c>
      <c r="N20" t="n">
        <v>0</v>
      </c>
      <c r="O20" t="n">
        <v>0</v>
      </c>
      <c r="P20" t="n">
        <v>0</v>
      </c>
      <c r="Q20" t="n">
        <v>1</v>
      </c>
      <c r="R20" s="2" t="inlineStr">
        <is>
          <t>Vanlig padda</t>
        </is>
      </c>
      <c r="S20">
        <f>HYPERLINK("https://klasma.github.io/Logging_0319/artfynd/A 66277-2020 artfynd.xlsx", "A 66277-2020")</f>
        <v/>
      </c>
      <c r="T20">
        <f>HYPERLINK("https://klasma.github.io/Logging_0319/kartor/A 66277-2020 karta.png", "A 66277-2020")</f>
        <v/>
      </c>
      <c r="V20">
        <f>HYPERLINK("https://klasma.github.io/Logging_0319/klagomål/A 66277-2020 FSC-klagomål.docx", "A 66277-2020")</f>
        <v/>
      </c>
      <c r="W20">
        <f>HYPERLINK("https://klasma.github.io/Logging_0319/klagomålsmail/A 66277-2020 FSC-klagomål mail.docx", "A 66277-2020")</f>
        <v/>
      </c>
      <c r="X20">
        <f>HYPERLINK("https://klasma.github.io/Logging_0319/tillsyn/A 66277-2020 tillsynsbegäran.docx", "A 66277-2020")</f>
        <v/>
      </c>
      <c r="Y20">
        <f>HYPERLINK("https://klasma.github.io/Logging_0319/tillsynsmail/A 66277-2020 tillsynsbegäran mail.docx", "A 66277-2020")</f>
        <v/>
      </c>
    </row>
    <row r="21" ht="15" customHeight="1">
      <c r="A21" t="inlineStr">
        <is>
          <t>A 19300-2024</t>
        </is>
      </c>
      <c r="B21" s="1" t="n">
        <v>45428.70128472222</v>
      </c>
      <c r="C21" s="1" t="n">
        <v>46001</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46001</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21700-2024</t>
        </is>
      </c>
      <c r="B23" s="1" t="n">
        <v>45442</v>
      </c>
      <c r="C23" s="1" t="n">
        <v>46001</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59993-2025</t>
        </is>
      </c>
      <c r="B24" s="1" t="n">
        <v>45993.56505787037</v>
      </c>
      <c r="C24" s="1" t="n">
        <v>46001</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10455-2022</t>
        </is>
      </c>
      <c r="B25" s="1" t="n">
        <v>44623</v>
      </c>
      <c r="C25" s="1" t="n">
        <v>46001</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9521-2025</t>
        </is>
      </c>
      <c r="B26" s="1" t="n">
        <v>45715.56259259259</v>
      </c>
      <c r="C26" s="1" t="n">
        <v>46001</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46001</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46001</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46001</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46001</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24591-2025</t>
        </is>
      </c>
      <c r="B31" s="1" t="n">
        <v>45798.53666666667</v>
      </c>
      <c r="C31" s="1" t="n">
        <v>46001</v>
      </c>
      <c r="D31" t="inlineStr">
        <is>
          <t>UPPSALA LÄN</t>
        </is>
      </c>
      <c r="E31" t="inlineStr">
        <is>
          <t>ÄLVKARLEBY</t>
        </is>
      </c>
      <c r="F31" t="inlineStr">
        <is>
          <t>Bergvik skog väst AB</t>
        </is>
      </c>
      <c r="G31" t="n">
        <v>1.7</v>
      </c>
      <c r="H31" t="n">
        <v>0</v>
      </c>
      <c r="I31" t="n">
        <v>0</v>
      </c>
      <c r="J31" t="n">
        <v>0</v>
      </c>
      <c r="K31" t="n">
        <v>0</v>
      </c>
      <c r="L31" t="n">
        <v>0</v>
      </c>
      <c r="M31" t="n">
        <v>0</v>
      </c>
      <c r="N31" t="n">
        <v>0</v>
      </c>
      <c r="O31" t="n">
        <v>0</v>
      </c>
      <c r="P31" t="n">
        <v>0</v>
      </c>
      <c r="Q31" t="n">
        <v>0</v>
      </c>
      <c r="R31" s="2" t="inlineStr"/>
    </row>
    <row r="32" ht="15" customHeight="1">
      <c r="A32" t="inlineStr">
        <is>
          <t>A 2184-2024</t>
        </is>
      </c>
      <c r="B32" s="1" t="n">
        <v>45309</v>
      </c>
      <c r="C32" s="1" t="n">
        <v>46001</v>
      </c>
      <c r="D32" t="inlineStr">
        <is>
          <t>UPPSALA LÄN</t>
        </is>
      </c>
      <c r="E32" t="inlineStr">
        <is>
          <t>ÄLVKARLEBY</t>
        </is>
      </c>
      <c r="G32" t="n">
        <v>0.6</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46001</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46001</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25264-2025</t>
        </is>
      </c>
      <c r="B35" s="1" t="n">
        <v>45800.5334375</v>
      </c>
      <c r="C35" s="1" t="n">
        <v>46001</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46001</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46001</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38226-2023</t>
        </is>
      </c>
      <c r="B38" s="1" t="n">
        <v>45161</v>
      </c>
      <c r="C38" s="1" t="n">
        <v>46001</v>
      </c>
      <c r="D38" t="inlineStr">
        <is>
          <t>UPPSALA LÄN</t>
        </is>
      </c>
      <c r="E38" t="inlineStr">
        <is>
          <t>ÄLVKARLEBY</t>
        </is>
      </c>
      <c r="F38" t="inlineStr">
        <is>
          <t>Bergvik skog väst AB</t>
        </is>
      </c>
      <c r="G38" t="n">
        <v>4.5</v>
      </c>
      <c r="H38" t="n">
        <v>0</v>
      </c>
      <c r="I38" t="n">
        <v>0</v>
      </c>
      <c r="J38" t="n">
        <v>0</v>
      </c>
      <c r="K38" t="n">
        <v>0</v>
      </c>
      <c r="L38" t="n">
        <v>0</v>
      </c>
      <c r="M38" t="n">
        <v>0</v>
      </c>
      <c r="N38" t="n">
        <v>0</v>
      </c>
      <c r="O38" t="n">
        <v>0</v>
      </c>
      <c r="P38" t="n">
        <v>0</v>
      </c>
      <c r="Q38" t="n">
        <v>0</v>
      </c>
      <c r="R38" s="2" t="inlineStr"/>
    </row>
    <row r="39" ht="15" customHeight="1">
      <c r="A39" t="inlineStr">
        <is>
          <t>A 26670-2025</t>
        </is>
      </c>
      <c r="B39" s="1" t="n">
        <v>45810.41489583333</v>
      </c>
      <c r="C39" s="1" t="n">
        <v>46001</v>
      </c>
      <c r="D39" t="inlineStr">
        <is>
          <t>UPPSALA LÄN</t>
        </is>
      </c>
      <c r="E39" t="inlineStr">
        <is>
          <t>ÄLVKARLEBY</t>
        </is>
      </c>
      <c r="F39" t="inlineStr">
        <is>
          <t>Bergvik skog väst AB</t>
        </is>
      </c>
      <c r="G39" t="n">
        <v>1.1</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46001</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46001</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46001</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46001</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27741-2025</t>
        </is>
      </c>
      <c r="B44" s="1" t="n">
        <v>45815.5346875</v>
      </c>
      <c r="C44" s="1" t="n">
        <v>46001</v>
      </c>
      <c r="D44" t="inlineStr">
        <is>
          <t>UPPSALA LÄN</t>
        </is>
      </c>
      <c r="E44" t="inlineStr">
        <is>
          <t>ÄLVKARLEBY</t>
        </is>
      </c>
      <c r="F44" t="inlineStr">
        <is>
          <t>Bergvik skog väst AB</t>
        </is>
      </c>
      <c r="G44" t="n">
        <v>4.4</v>
      </c>
      <c r="H44" t="n">
        <v>0</v>
      </c>
      <c r="I44" t="n">
        <v>0</v>
      </c>
      <c r="J44" t="n">
        <v>0</v>
      </c>
      <c r="K44" t="n">
        <v>0</v>
      </c>
      <c r="L44" t="n">
        <v>0</v>
      </c>
      <c r="M44" t="n">
        <v>0</v>
      </c>
      <c r="N44" t="n">
        <v>0</v>
      </c>
      <c r="O44" t="n">
        <v>0</v>
      </c>
      <c r="P44" t="n">
        <v>0</v>
      </c>
      <c r="Q44" t="n">
        <v>0</v>
      </c>
      <c r="R44" s="2" t="inlineStr"/>
    </row>
    <row r="45" ht="15" customHeight="1">
      <c r="A45" t="inlineStr">
        <is>
          <t>A 28670-2025</t>
        </is>
      </c>
      <c r="B45" s="1" t="n">
        <v>45819.67130787037</v>
      </c>
      <c r="C45" s="1" t="n">
        <v>46001</v>
      </c>
      <c r="D45" t="inlineStr">
        <is>
          <t>UPPSALA LÄN</t>
        </is>
      </c>
      <c r="E45" t="inlineStr">
        <is>
          <t>ÄLVKARLEBY</t>
        </is>
      </c>
      <c r="F45" t="inlineStr">
        <is>
          <t>Bergvik skog väst AB</t>
        </is>
      </c>
      <c r="G45" t="n">
        <v>1.6</v>
      </c>
      <c r="H45" t="n">
        <v>0</v>
      </c>
      <c r="I45" t="n">
        <v>0</v>
      </c>
      <c r="J45" t="n">
        <v>0</v>
      </c>
      <c r="K45" t="n">
        <v>0</v>
      </c>
      <c r="L45" t="n">
        <v>0</v>
      </c>
      <c r="M45" t="n">
        <v>0</v>
      </c>
      <c r="N45" t="n">
        <v>0</v>
      </c>
      <c r="O45" t="n">
        <v>0</v>
      </c>
      <c r="P45" t="n">
        <v>0</v>
      </c>
      <c r="Q45" t="n">
        <v>0</v>
      </c>
      <c r="R45" s="2" t="inlineStr"/>
    </row>
    <row r="46" ht="15" customHeight="1">
      <c r="A46" t="inlineStr">
        <is>
          <t>A 43662-2025</t>
        </is>
      </c>
      <c r="B46" s="1" t="n">
        <v>45912.34446759259</v>
      </c>
      <c r="C46" s="1" t="n">
        <v>46001</v>
      </c>
      <c r="D46" t="inlineStr">
        <is>
          <t>UPPSALA LÄN</t>
        </is>
      </c>
      <c r="E46" t="inlineStr">
        <is>
          <t>ÄLVKARLEBY</t>
        </is>
      </c>
      <c r="F46" t="inlineStr">
        <is>
          <t>Kyrkan</t>
        </is>
      </c>
      <c r="G46" t="n">
        <v>4.5</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46001</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28668-2025</t>
        </is>
      </c>
      <c r="B48" s="1" t="n">
        <v>45819.66650462963</v>
      </c>
      <c r="C48" s="1" t="n">
        <v>46001</v>
      </c>
      <c r="D48" t="inlineStr">
        <is>
          <t>UPPSALA LÄN</t>
        </is>
      </c>
      <c r="E48" t="inlineStr">
        <is>
          <t>ÄLVKARLEBY</t>
        </is>
      </c>
      <c r="F48" t="inlineStr">
        <is>
          <t>Bergvik skog väst AB</t>
        </is>
      </c>
      <c r="G48" t="n">
        <v>8.300000000000001</v>
      </c>
      <c r="H48" t="n">
        <v>0</v>
      </c>
      <c r="I48" t="n">
        <v>0</v>
      </c>
      <c r="J48" t="n">
        <v>0</v>
      </c>
      <c r="K48" t="n">
        <v>0</v>
      </c>
      <c r="L48" t="n">
        <v>0</v>
      </c>
      <c r="M48" t="n">
        <v>0</v>
      </c>
      <c r="N48" t="n">
        <v>0</v>
      </c>
      <c r="O48" t="n">
        <v>0</v>
      </c>
      <c r="P48" t="n">
        <v>0</v>
      </c>
      <c r="Q48" t="n">
        <v>0</v>
      </c>
      <c r="R48" s="2" t="inlineStr"/>
    </row>
    <row r="49" ht="15" customHeight="1">
      <c r="A49" t="inlineStr">
        <is>
          <t>A 45372-2024</t>
        </is>
      </c>
      <c r="B49" s="1" t="n">
        <v>45576.51116898148</v>
      </c>
      <c r="C49" s="1" t="n">
        <v>46001</v>
      </c>
      <c r="D49" t="inlineStr">
        <is>
          <t>UPPSALA LÄN</t>
        </is>
      </c>
      <c r="E49" t="inlineStr">
        <is>
          <t>ÄLVKARLEBY</t>
        </is>
      </c>
      <c r="F49" t="inlineStr">
        <is>
          <t>Bergvik skog väst AB</t>
        </is>
      </c>
      <c r="G49" t="n">
        <v>3.4</v>
      </c>
      <c r="H49" t="n">
        <v>0</v>
      </c>
      <c r="I49" t="n">
        <v>0</v>
      </c>
      <c r="J49" t="n">
        <v>0</v>
      </c>
      <c r="K49" t="n">
        <v>0</v>
      </c>
      <c r="L49" t="n">
        <v>0</v>
      </c>
      <c r="M49" t="n">
        <v>0</v>
      </c>
      <c r="N49" t="n">
        <v>0</v>
      </c>
      <c r="O49" t="n">
        <v>0</v>
      </c>
      <c r="P49" t="n">
        <v>0</v>
      </c>
      <c r="Q49" t="n">
        <v>0</v>
      </c>
      <c r="R49" s="2" t="inlineStr"/>
    </row>
    <row r="50" ht="15" customHeight="1">
      <c r="A50" t="inlineStr">
        <is>
          <t>A 30483-2025</t>
        </is>
      </c>
      <c r="B50" s="1" t="n">
        <v>45828.68988425926</v>
      </c>
      <c r="C50" s="1" t="n">
        <v>46001</v>
      </c>
      <c r="D50" t="inlineStr">
        <is>
          <t>UPPSALA LÄN</t>
        </is>
      </c>
      <c r="E50" t="inlineStr">
        <is>
          <t>ÄLVKARLEBY</t>
        </is>
      </c>
      <c r="F50" t="inlineStr">
        <is>
          <t>Bergvik skog väst AB</t>
        </is>
      </c>
      <c r="G50" t="n">
        <v>1.8</v>
      </c>
      <c r="H50" t="n">
        <v>0</v>
      </c>
      <c r="I50" t="n">
        <v>0</v>
      </c>
      <c r="J50" t="n">
        <v>0</v>
      </c>
      <c r="K50" t="n">
        <v>0</v>
      </c>
      <c r="L50" t="n">
        <v>0</v>
      </c>
      <c r="M50" t="n">
        <v>0</v>
      </c>
      <c r="N50" t="n">
        <v>0</v>
      </c>
      <c r="O50" t="n">
        <v>0</v>
      </c>
      <c r="P50" t="n">
        <v>0</v>
      </c>
      <c r="Q50" t="n">
        <v>0</v>
      </c>
      <c r="R50" s="2" t="inlineStr"/>
    </row>
    <row r="51" ht="15" customHeight="1">
      <c r="A51" t="inlineStr">
        <is>
          <t>A 45033-2025</t>
        </is>
      </c>
      <c r="B51" s="1" t="n">
        <v>45918.70299768518</v>
      </c>
      <c r="C51" s="1" t="n">
        <v>46001</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16990-2022</t>
        </is>
      </c>
      <c r="B52" s="1" t="n">
        <v>44676.6122337963</v>
      </c>
      <c r="C52" s="1" t="n">
        <v>46001</v>
      </c>
      <c r="D52" t="inlineStr">
        <is>
          <t>UPPSALA LÄN</t>
        </is>
      </c>
      <c r="E52" t="inlineStr">
        <is>
          <t>ÄLVKARLEBY</t>
        </is>
      </c>
      <c r="F52" t="inlineStr">
        <is>
          <t>Bergvik skog väst AB</t>
        </is>
      </c>
      <c r="G52" t="n">
        <v>2.6</v>
      </c>
      <c r="H52" t="n">
        <v>0</v>
      </c>
      <c r="I52" t="n">
        <v>0</v>
      </c>
      <c r="J52" t="n">
        <v>0</v>
      </c>
      <c r="K52" t="n">
        <v>0</v>
      </c>
      <c r="L52" t="n">
        <v>0</v>
      </c>
      <c r="M52" t="n">
        <v>0</v>
      </c>
      <c r="N52" t="n">
        <v>0</v>
      </c>
      <c r="O52" t="n">
        <v>0</v>
      </c>
      <c r="P52" t="n">
        <v>0</v>
      </c>
      <c r="Q52" t="n">
        <v>0</v>
      </c>
      <c r="R52" s="2" t="inlineStr"/>
    </row>
    <row r="53" ht="15" customHeight="1">
      <c r="A53" t="inlineStr">
        <is>
          <t>A 30944-2025</t>
        </is>
      </c>
      <c r="B53" s="1" t="n">
        <v>45832.41182870371</v>
      </c>
      <c r="C53" s="1" t="n">
        <v>46001</v>
      </c>
      <c r="D53" t="inlineStr">
        <is>
          <t>UPPSALA LÄN</t>
        </is>
      </c>
      <c r="E53" t="inlineStr">
        <is>
          <t>ÄLVKARLEBY</t>
        </is>
      </c>
      <c r="F53" t="inlineStr">
        <is>
          <t>Bergvik skog öst AB</t>
        </is>
      </c>
      <c r="G53" t="n">
        <v>3.4</v>
      </c>
      <c r="H53" t="n">
        <v>0</v>
      </c>
      <c r="I53" t="n">
        <v>0</v>
      </c>
      <c r="J53" t="n">
        <v>0</v>
      </c>
      <c r="K53" t="n">
        <v>0</v>
      </c>
      <c r="L53" t="n">
        <v>0</v>
      </c>
      <c r="M53" t="n">
        <v>0</v>
      </c>
      <c r="N53" t="n">
        <v>0</v>
      </c>
      <c r="O53" t="n">
        <v>0</v>
      </c>
      <c r="P53" t="n">
        <v>0</v>
      </c>
      <c r="Q53" t="n">
        <v>0</v>
      </c>
      <c r="R53" s="2" t="inlineStr"/>
    </row>
    <row r="54" ht="15" customHeight="1">
      <c r="A54" t="inlineStr">
        <is>
          <t>A 30936-2025</t>
        </is>
      </c>
      <c r="B54" s="1" t="n">
        <v>45832.40586805555</v>
      </c>
      <c r="C54" s="1" t="n">
        <v>46001</v>
      </c>
      <c r="D54" t="inlineStr">
        <is>
          <t>UPPSALA LÄN</t>
        </is>
      </c>
      <c r="E54" t="inlineStr">
        <is>
          <t>ÄLVKARLEBY</t>
        </is>
      </c>
      <c r="F54" t="inlineStr">
        <is>
          <t>Bergvik skog öst AB</t>
        </is>
      </c>
      <c r="G54" t="n">
        <v>7.2</v>
      </c>
      <c r="H54" t="n">
        <v>0</v>
      </c>
      <c r="I54" t="n">
        <v>0</v>
      </c>
      <c r="J54" t="n">
        <v>0</v>
      </c>
      <c r="K54" t="n">
        <v>0</v>
      </c>
      <c r="L54" t="n">
        <v>0</v>
      </c>
      <c r="M54" t="n">
        <v>0</v>
      </c>
      <c r="N54" t="n">
        <v>0</v>
      </c>
      <c r="O54" t="n">
        <v>0</v>
      </c>
      <c r="P54" t="n">
        <v>0</v>
      </c>
      <c r="Q54" t="n">
        <v>0</v>
      </c>
      <c r="R54" s="2" t="inlineStr"/>
    </row>
    <row r="55" ht="15" customHeight="1">
      <c r="A55" t="inlineStr">
        <is>
          <t>A 45512-2025</t>
        </is>
      </c>
      <c r="B55" s="1" t="n">
        <v>45922.58106481482</v>
      </c>
      <c r="C55" s="1" t="n">
        <v>46001</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32221-2025</t>
        </is>
      </c>
      <c r="B56" s="1" t="n">
        <v>45835.5909837963</v>
      </c>
      <c r="C56" s="1" t="n">
        <v>46001</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32203-2025</t>
        </is>
      </c>
      <c r="B57" s="1" t="n">
        <v>45835.57951388889</v>
      </c>
      <c r="C57" s="1" t="n">
        <v>46001</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32186-2025</t>
        </is>
      </c>
      <c r="B58" s="1" t="n">
        <v>45835.5667824074</v>
      </c>
      <c r="C58" s="1" t="n">
        <v>46001</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32187-2025</t>
        </is>
      </c>
      <c r="B59" s="1" t="n">
        <v>45835.56949074074</v>
      </c>
      <c r="C59" s="1" t="n">
        <v>46001</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32212-2025</t>
        </is>
      </c>
      <c r="B60" s="1" t="n">
        <v>45835.58509259259</v>
      </c>
      <c r="C60" s="1" t="n">
        <v>46001</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46001</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46001</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56861-2025</t>
        </is>
      </c>
      <c r="B63" s="1" t="n">
        <v>45978.50824074074</v>
      </c>
      <c r="C63" s="1" t="n">
        <v>46001</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36626-2025</t>
        </is>
      </c>
      <c r="B64" s="1" t="n">
        <v>45870.66732638889</v>
      </c>
      <c r="C64" s="1" t="n">
        <v>46001</v>
      </c>
      <c r="D64" t="inlineStr">
        <is>
          <t>UPPSALA LÄN</t>
        </is>
      </c>
      <c r="E64" t="inlineStr">
        <is>
          <t>ÄLVKARLEBY</t>
        </is>
      </c>
      <c r="F64" t="inlineStr">
        <is>
          <t>Bergvik skog väst AB</t>
        </is>
      </c>
      <c r="G64" t="n">
        <v>2.7</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46001</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57734-2025</t>
        </is>
      </c>
      <c r="B66" s="1" t="n">
        <v>45981.51148148148</v>
      </c>
      <c r="C66" s="1" t="n">
        <v>46001</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58168-2025</t>
        </is>
      </c>
      <c r="B67" s="1" t="n">
        <v>45982.72024305556</v>
      </c>
      <c r="C67" s="1" t="n">
        <v>46001</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967-2021</t>
        </is>
      </c>
      <c r="B68" s="1" t="n">
        <v>44207</v>
      </c>
      <c r="C68" s="1" t="n">
        <v>46001</v>
      </c>
      <c r="D68" t="inlineStr">
        <is>
          <t>UPPSALA LÄN</t>
        </is>
      </c>
      <c r="E68" t="inlineStr">
        <is>
          <t>ÄLVKARLEBY</t>
        </is>
      </c>
      <c r="G68" t="n">
        <v>0.7</v>
      </c>
      <c r="H68" t="n">
        <v>0</v>
      </c>
      <c r="I68" t="n">
        <v>0</v>
      </c>
      <c r="J68" t="n">
        <v>0</v>
      </c>
      <c r="K68" t="n">
        <v>0</v>
      </c>
      <c r="L68" t="n">
        <v>0</v>
      </c>
      <c r="M68" t="n">
        <v>0</v>
      </c>
      <c r="N68" t="n">
        <v>0</v>
      </c>
      <c r="O68" t="n">
        <v>0</v>
      </c>
      <c r="P68" t="n">
        <v>0</v>
      </c>
      <c r="Q68" t="n">
        <v>0</v>
      </c>
      <c r="R68" s="2" t="inlineStr"/>
    </row>
    <row r="69" ht="15" customHeight="1">
      <c r="A69" t="inlineStr">
        <is>
          <t>A 50398-2025</t>
        </is>
      </c>
      <c r="B69" s="1" t="n">
        <v>45944.62854166667</v>
      </c>
      <c r="C69" s="1" t="n">
        <v>46001</v>
      </c>
      <c r="D69" t="inlineStr">
        <is>
          <t>UPPSALA LÄN</t>
        </is>
      </c>
      <c r="E69" t="inlineStr">
        <is>
          <t>ÄLVKARLEBY</t>
        </is>
      </c>
      <c r="F69" t="inlineStr">
        <is>
          <t>Bergvik skog väst AB</t>
        </is>
      </c>
      <c r="G69" t="n">
        <v>4.4</v>
      </c>
      <c r="H69" t="n">
        <v>0</v>
      </c>
      <c r="I69" t="n">
        <v>0</v>
      </c>
      <c r="J69" t="n">
        <v>0</v>
      </c>
      <c r="K69" t="n">
        <v>0</v>
      </c>
      <c r="L69" t="n">
        <v>0</v>
      </c>
      <c r="M69" t="n">
        <v>0</v>
      </c>
      <c r="N69" t="n">
        <v>0</v>
      </c>
      <c r="O69" t="n">
        <v>0</v>
      </c>
      <c r="P69" t="n">
        <v>0</v>
      </c>
      <c r="Q69" t="n">
        <v>0</v>
      </c>
      <c r="R69" s="2" t="inlineStr"/>
    </row>
    <row r="70" ht="15" customHeight="1">
      <c r="A70" t="inlineStr">
        <is>
          <t>A 50371-2025</t>
        </is>
      </c>
      <c r="B70" s="1" t="n">
        <v>45944.58696759259</v>
      </c>
      <c r="C70" s="1" t="n">
        <v>46001</v>
      </c>
      <c r="D70" t="inlineStr">
        <is>
          <t>UPPSALA LÄN</t>
        </is>
      </c>
      <c r="E70" t="inlineStr">
        <is>
          <t>ÄLVKARLEBY</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58497-2025</t>
        </is>
      </c>
      <c r="B71" s="1" t="n">
        <v>45985.67912037037</v>
      </c>
      <c r="C71" s="1" t="n">
        <v>46001</v>
      </c>
      <c r="D71" t="inlineStr">
        <is>
          <t>UPPSALA LÄN</t>
        </is>
      </c>
      <c r="E71" t="inlineStr">
        <is>
          <t>ÄLVKARLEBY</t>
        </is>
      </c>
      <c r="F71" t="inlineStr">
        <is>
          <t>Bergvik skog väst AB</t>
        </is>
      </c>
      <c r="G71" t="n">
        <v>4.6</v>
      </c>
      <c r="H71" t="n">
        <v>0</v>
      </c>
      <c r="I71" t="n">
        <v>0</v>
      </c>
      <c r="J71" t="n">
        <v>0</v>
      </c>
      <c r="K71" t="n">
        <v>0</v>
      </c>
      <c r="L71" t="n">
        <v>0</v>
      </c>
      <c r="M71" t="n">
        <v>0</v>
      </c>
      <c r="N71" t="n">
        <v>0</v>
      </c>
      <c r="O71" t="n">
        <v>0</v>
      </c>
      <c r="P71" t="n">
        <v>0</v>
      </c>
      <c r="Q71" t="n">
        <v>0</v>
      </c>
      <c r="R71" s="2" t="inlineStr"/>
    </row>
    <row r="72" ht="15" customHeight="1">
      <c r="A72" t="inlineStr">
        <is>
          <t>A 50113-2025</t>
        </is>
      </c>
      <c r="B72" s="1" t="n">
        <v>45943.54452546296</v>
      </c>
      <c r="C72" s="1" t="n">
        <v>46001</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46001</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46001</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46001</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46001</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50869-2025</t>
        </is>
      </c>
      <c r="B77" s="1" t="n">
        <v>45946.60259259259</v>
      </c>
      <c r="C77" s="1" t="n">
        <v>46001</v>
      </c>
      <c r="D77" t="inlineStr">
        <is>
          <t>UPPSALA LÄN</t>
        </is>
      </c>
      <c r="E77" t="inlineStr">
        <is>
          <t>ÄLVKARLEBY</t>
        </is>
      </c>
      <c r="F77" t="inlineStr">
        <is>
          <t>Bergvik skog väst AB</t>
        </is>
      </c>
      <c r="G77" t="n">
        <v>11.4</v>
      </c>
      <c r="H77" t="n">
        <v>0</v>
      </c>
      <c r="I77" t="n">
        <v>0</v>
      </c>
      <c r="J77" t="n">
        <v>0</v>
      </c>
      <c r="K77" t="n">
        <v>0</v>
      </c>
      <c r="L77" t="n">
        <v>0</v>
      </c>
      <c r="M77" t="n">
        <v>0</v>
      </c>
      <c r="N77" t="n">
        <v>0</v>
      </c>
      <c r="O77" t="n">
        <v>0</v>
      </c>
      <c r="P77" t="n">
        <v>0</v>
      </c>
      <c r="Q77" t="n">
        <v>0</v>
      </c>
      <c r="R77" s="2" t="inlineStr"/>
    </row>
    <row r="78" ht="15" customHeight="1">
      <c r="A78" t="inlineStr">
        <is>
          <t>A 51238-2025</t>
        </is>
      </c>
      <c r="B78" s="1" t="n">
        <v>45947.69753472223</v>
      </c>
      <c r="C78" s="1" t="n">
        <v>46001</v>
      </c>
      <c r="D78" t="inlineStr">
        <is>
          <t>UPPSALA LÄN</t>
        </is>
      </c>
      <c r="E78" t="inlineStr">
        <is>
          <t>ÄLVKARLEBY</t>
        </is>
      </c>
      <c r="F78" t="inlineStr">
        <is>
          <t>Bergvik skog väst AB</t>
        </is>
      </c>
      <c r="G78" t="n">
        <v>6</v>
      </c>
      <c r="H78" t="n">
        <v>0</v>
      </c>
      <c r="I78" t="n">
        <v>0</v>
      </c>
      <c r="J78" t="n">
        <v>0</v>
      </c>
      <c r="K78" t="n">
        <v>0</v>
      </c>
      <c r="L78" t="n">
        <v>0</v>
      </c>
      <c r="M78" t="n">
        <v>0</v>
      </c>
      <c r="N78" t="n">
        <v>0</v>
      </c>
      <c r="O78" t="n">
        <v>0</v>
      </c>
      <c r="P78" t="n">
        <v>0</v>
      </c>
      <c r="Q78" t="n">
        <v>0</v>
      </c>
      <c r="R78" s="2" t="inlineStr"/>
    </row>
    <row r="79" ht="15" customHeight="1">
      <c r="A79" t="inlineStr">
        <is>
          <t>A 51237-2025</t>
        </is>
      </c>
      <c r="B79" s="1" t="n">
        <v>45947.69307870371</v>
      </c>
      <c r="C79" s="1" t="n">
        <v>46001</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19740-2025</t>
        </is>
      </c>
      <c r="B80" s="1" t="n">
        <v>45771</v>
      </c>
      <c r="C80" s="1" t="n">
        <v>46001</v>
      </c>
      <c r="D80" t="inlineStr">
        <is>
          <t>UPPSALA LÄN</t>
        </is>
      </c>
      <c r="E80" t="inlineStr">
        <is>
          <t>ÄLVKARLEBY</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60256-2025</t>
        </is>
      </c>
      <c r="B81" s="1" t="n">
        <v>45994.60216435185</v>
      </c>
      <c r="C81" s="1" t="n">
        <v>46001</v>
      </c>
      <c r="D81" t="inlineStr">
        <is>
          <t>UPPSALA LÄN</t>
        </is>
      </c>
      <c r="E81" t="inlineStr">
        <is>
          <t>ÄLVKARLEBY</t>
        </is>
      </c>
      <c r="G81" t="n">
        <v>1</v>
      </c>
      <c r="H81" t="n">
        <v>0</v>
      </c>
      <c r="I81" t="n">
        <v>0</v>
      </c>
      <c r="J81" t="n">
        <v>0</v>
      </c>
      <c r="K81" t="n">
        <v>0</v>
      </c>
      <c r="L81" t="n">
        <v>0</v>
      </c>
      <c r="M81" t="n">
        <v>0</v>
      </c>
      <c r="N81" t="n">
        <v>0</v>
      </c>
      <c r="O81" t="n">
        <v>0</v>
      </c>
      <c r="P81" t="n">
        <v>0</v>
      </c>
      <c r="Q81" t="n">
        <v>0</v>
      </c>
      <c r="R81" s="2" t="inlineStr"/>
    </row>
    <row r="82" ht="15" customHeight="1">
      <c r="A82" t="inlineStr">
        <is>
          <t>A 60083-2025</t>
        </is>
      </c>
      <c r="B82" s="1" t="n">
        <v>45993.69733796296</v>
      </c>
      <c r="C82" s="1" t="n">
        <v>46001</v>
      </c>
      <c r="D82" t="inlineStr">
        <is>
          <t>UPPSALA LÄN</t>
        </is>
      </c>
      <c r="E82" t="inlineStr">
        <is>
          <t>ÄLVKARLEBY</t>
        </is>
      </c>
      <c r="F82" t="inlineStr">
        <is>
          <t>Bergvik skog väst AB</t>
        </is>
      </c>
      <c r="G82" t="n">
        <v>4.7</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46001</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52498-2025</t>
        </is>
      </c>
      <c r="B84" s="1" t="n">
        <v>45954.49314814815</v>
      </c>
      <c r="C84" s="1" t="n">
        <v>46001</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53173-2025</t>
        </is>
      </c>
      <c r="B85" s="1" t="n">
        <v>45958.51738425926</v>
      </c>
      <c r="C85" s="1" t="n">
        <v>46001</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19862-2025</t>
        </is>
      </c>
      <c r="B86" s="1" t="n">
        <v>45771.53560185185</v>
      </c>
      <c r="C86" s="1" t="n">
        <v>46001</v>
      </c>
      <c r="D86" t="inlineStr">
        <is>
          <t>UPPSALA LÄN</t>
        </is>
      </c>
      <c r="E86" t="inlineStr">
        <is>
          <t>ÄLVKARLEBY</t>
        </is>
      </c>
      <c r="F86" t="inlineStr">
        <is>
          <t>Kyrkan</t>
        </is>
      </c>
      <c r="G86" t="n">
        <v>3</v>
      </c>
      <c r="H86" t="n">
        <v>0</v>
      </c>
      <c r="I86" t="n">
        <v>0</v>
      </c>
      <c r="J86" t="n">
        <v>0</v>
      </c>
      <c r="K86" t="n">
        <v>0</v>
      </c>
      <c r="L86" t="n">
        <v>0</v>
      </c>
      <c r="M86" t="n">
        <v>0</v>
      </c>
      <c r="N86" t="n">
        <v>0</v>
      </c>
      <c r="O86" t="n">
        <v>0</v>
      </c>
      <c r="P86" t="n">
        <v>0</v>
      </c>
      <c r="Q86" t="n">
        <v>0</v>
      </c>
      <c r="R86" s="2" t="inlineStr"/>
    </row>
    <row r="87" ht="15" customHeight="1">
      <c r="A87" t="inlineStr">
        <is>
          <t>A 53184-2025</t>
        </is>
      </c>
      <c r="B87" s="1" t="n">
        <v>45958</v>
      </c>
      <c r="C87" s="1" t="n">
        <v>46001</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60829-2025</t>
        </is>
      </c>
      <c r="B88" s="1" t="n">
        <v>45999.46523148148</v>
      </c>
      <c r="C88" s="1" t="n">
        <v>46001</v>
      </c>
      <c r="D88" t="inlineStr">
        <is>
          <t>UPPSALA LÄN</t>
        </is>
      </c>
      <c r="E88" t="inlineStr">
        <is>
          <t>ÄLVKARLEBY</t>
        </is>
      </c>
      <c r="F88" t="inlineStr">
        <is>
          <t>Bergvik skog väst AB</t>
        </is>
      </c>
      <c r="G88" t="n">
        <v>5.5</v>
      </c>
      <c r="H88" t="n">
        <v>0</v>
      </c>
      <c r="I88" t="n">
        <v>0</v>
      </c>
      <c r="J88" t="n">
        <v>0</v>
      </c>
      <c r="K88" t="n">
        <v>0</v>
      </c>
      <c r="L88" t="n">
        <v>0</v>
      </c>
      <c r="M88" t="n">
        <v>0</v>
      </c>
      <c r="N88" t="n">
        <v>0</v>
      </c>
      <c r="O88" t="n">
        <v>0</v>
      </c>
      <c r="P88" t="n">
        <v>0</v>
      </c>
      <c r="Q88" t="n">
        <v>0</v>
      </c>
      <c r="R88" s="2" t="inlineStr"/>
    </row>
    <row r="89" ht="15" customHeight="1">
      <c r="A89" t="inlineStr">
        <is>
          <t>A 60842-2025</t>
        </is>
      </c>
      <c r="B89" s="1" t="n">
        <v>45999.48721064815</v>
      </c>
      <c r="C89" s="1" t="n">
        <v>46001</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46001</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2183-2024</t>
        </is>
      </c>
      <c r="B91" s="1" t="n">
        <v>45309</v>
      </c>
      <c r="C91" s="1" t="n">
        <v>46001</v>
      </c>
      <c r="D91" t="inlineStr">
        <is>
          <t>UPPSALA LÄN</t>
        </is>
      </c>
      <c r="E91" t="inlineStr">
        <is>
          <t>ÄLVKARLEBY</t>
        </is>
      </c>
      <c r="G91" t="n">
        <v>0.5</v>
      </c>
      <c r="H91" t="n">
        <v>0</v>
      </c>
      <c r="I91" t="n">
        <v>0</v>
      </c>
      <c r="J91" t="n">
        <v>0</v>
      </c>
      <c r="K91" t="n">
        <v>0</v>
      </c>
      <c r="L91" t="n">
        <v>0</v>
      </c>
      <c r="M91" t="n">
        <v>0</v>
      </c>
      <c r="N91" t="n">
        <v>0</v>
      </c>
      <c r="O91" t="n">
        <v>0</v>
      </c>
      <c r="P91" t="n">
        <v>0</v>
      </c>
      <c r="Q91" t="n">
        <v>0</v>
      </c>
      <c r="R91" s="2" t="inlineStr"/>
    </row>
    <row r="92" ht="15" customHeight="1">
      <c r="A92" t="inlineStr">
        <is>
          <t>A 19304-2024</t>
        </is>
      </c>
      <c r="B92" s="1" t="n">
        <v>45428</v>
      </c>
      <c r="C92" s="1" t="n">
        <v>46001</v>
      </c>
      <c r="D92" t="inlineStr">
        <is>
          <t>UPPSALA LÄN</t>
        </is>
      </c>
      <c r="E92" t="inlineStr">
        <is>
          <t>ÄLVKARLEBY</t>
        </is>
      </c>
      <c r="G92" t="n">
        <v>0.2</v>
      </c>
      <c r="H92" t="n">
        <v>0</v>
      </c>
      <c r="I92" t="n">
        <v>0</v>
      </c>
      <c r="J92" t="n">
        <v>0</v>
      </c>
      <c r="K92" t="n">
        <v>0</v>
      </c>
      <c r="L92" t="n">
        <v>0</v>
      </c>
      <c r="M92" t="n">
        <v>0</v>
      </c>
      <c r="N92" t="n">
        <v>0</v>
      </c>
      <c r="O92" t="n">
        <v>0</v>
      </c>
      <c r="P92" t="n">
        <v>0</v>
      </c>
      <c r="Q92" t="n">
        <v>0</v>
      </c>
      <c r="R92" s="2" t="inlineStr"/>
    </row>
    <row r="93" ht="15" customHeight="1">
      <c r="A93" t="inlineStr">
        <is>
          <t>A 11553-2021</t>
        </is>
      </c>
      <c r="B93" s="1" t="n">
        <v>44264.48725694444</v>
      </c>
      <c r="C93" s="1" t="n">
        <v>46001</v>
      </c>
      <c r="D93" t="inlineStr">
        <is>
          <t>UPPSALA LÄN</t>
        </is>
      </c>
      <c r="E93" t="inlineStr">
        <is>
          <t>ÄLVKARLEBY</t>
        </is>
      </c>
      <c r="F93" t="inlineStr">
        <is>
          <t>Bergvik skog väst AB</t>
        </is>
      </c>
      <c r="G93" t="n">
        <v>1.7</v>
      </c>
      <c r="H93" t="n">
        <v>0</v>
      </c>
      <c r="I93" t="n">
        <v>0</v>
      </c>
      <c r="J93" t="n">
        <v>0</v>
      </c>
      <c r="K93" t="n">
        <v>0</v>
      </c>
      <c r="L93" t="n">
        <v>0</v>
      </c>
      <c r="M93" t="n">
        <v>0</v>
      </c>
      <c r="N93" t="n">
        <v>0</v>
      </c>
      <c r="O93" t="n">
        <v>0</v>
      </c>
      <c r="P93" t="n">
        <v>0</v>
      </c>
      <c r="Q93" t="n">
        <v>0</v>
      </c>
      <c r="R93" s="2" t="inlineStr"/>
    </row>
    <row r="94" ht="15" customHeight="1">
      <c r="A94" t="inlineStr">
        <is>
          <t>A 43285-2023</t>
        </is>
      </c>
      <c r="B94" s="1" t="n">
        <v>45183.5630787037</v>
      </c>
      <c r="C94" s="1" t="n">
        <v>46001</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3950-2025</t>
        </is>
      </c>
      <c r="B95" s="1" t="n">
        <v>45684</v>
      </c>
      <c r="C95" s="1" t="n">
        <v>46001</v>
      </c>
      <c r="D95" t="inlineStr">
        <is>
          <t>UPPSALA LÄN</t>
        </is>
      </c>
      <c r="E95" t="inlineStr">
        <is>
          <t>ÄLVKARLEBY</t>
        </is>
      </c>
      <c r="G95" t="n">
        <v>3.1</v>
      </c>
      <c r="H95" t="n">
        <v>0</v>
      </c>
      <c r="I95" t="n">
        <v>0</v>
      </c>
      <c r="J95" t="n">
        <v>0</v>
      </c>
      <c r="K95" t="n">
        <v>0</v>
      </c>
      <c r="L95" t="n">
        <v>0</v>
      </c>
      <c r="M95" t="n">
        <v>0</v>
      </c>
      <c r="N95" t="n">
        <v>0</v>
      </c>
      <c r="O95" t="n">
        <v>0</v>
      </c>
      <c r="P95" t="n">
        <v>0</v>
      </c>
      <c r="Q95" t="n">
        <v>0</v>
      </c>
      <c r="R95" s="2" t="inlineStr"/>
    </row>
    <row r="96" ht="15" customHeight="1">
      <c r="A96" t="inlineStr">
        <is>
          <t>A 8030-2025</t>
        </is>
      </c>
      <c r="B96" s="1" t="n">
        <v>45707.59064814815</v>
      </c>
      <c r="C96" s="1" t="n">
        <v>46001</v>
      </c>
      <c r="D96" t="inlineStr">
        <is>
          <t>UPPSALA LÄN</t>
        </is>
      </c>
      <c r="E96" t="inlineStr">
        <is>
          <t>ÄLVKARLEBY</t>
        </is>
      </c>
      <c r="F96" t="inlineStr">
        <is>
          <t>Bergvik skog väst AB</t>
        </is>
      </c>
      <c r="G96" t="n">
        <v>3.6</v>
      </c>
      <c r="H96" t="n">
        <v>0</v>
      </c>
      <c r="I96" t="n">
        <v>0</v>
      </c>
      <c r="J96" t="n">
        <v>0</v>
      </c>
      <c r="K96" t="n">
        <v>0</v>
      </c>
      <c r="L96" t="n">
        <v>0</v>
      </c>
      <c r="M96" t="n">
        <v>0</v>
      </c>
      <c r="N96" t="n">
        <v>0</v>
      </c>
      <c r="O96" t="n">
        <v>0</v>
      </c>
      <c r="P96" t="n">
        <v>0</v>
      </c>
      <c r="Q96" t="n">
        <v>0</v>
      </c>
      <c r="R96" s="2" t="inlineStr"/>
    </row>
    <row r="97" ht="15" customHeight="1">
      <c r="A97" t="inlineStr">
        <is>
          <t>A 46113-2023</t>
        </is>
      </c>
      <c r="B97" s="1" t="n">
        <v>45196.54938657407</v>
      </c>
      <c r="C97" s="1" t="n">
        <v>46001</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41979-2024</t>
        </is>
      </c>
      <c r="B98" s="1" t="n">
        <v>45561</v>
      </c>
      <c r="C98" s="1" t="n">
        <v>46001</v>
      </c>
      <c r="D98" t="inlineStr">
        <is>
          <t>UPPSALA LÄN</t>
        </is>
      </c>
      <c r="E98" t="inlineStr">
        <is>
          <t>ÄLVKARLEBY</t>
        </is>
      </c>
      <c r="F98" t="inlineStr">
        <is>
          <t>Bergvik skog väst AB</t>
        </is>
      </c>
      <c r="G98" t="n">
        <v>2.8</v>
      </c>
      <c r="H98" t="n">
        <v>0</v>
      </c>
      <c r="I98" t="n">
        <v>0</v>
      </c>
      <c r="J98" t="n">
        <v>0</v>
      </c>
      <c r="K98" t="n">
        <v>0</v>
      </c>
      <c r="L98" t="n">
        <v>0</v>
      </c>
      <c r="M98" t="n">
        <v>0</v>
      </c>
      <c r="N98" t="n">
        <v>0</v>
      </c>
      <c r="O98" t="n">
        <v>0</v>
      </c>
      <c r="P98" t="n">
        <v>0</v>
      </c>
      <c r="Q98" t="n">
        <v>0</v>
      </c>
      <c r="R98" s="2" t="inlineStr"/>
    </row>
    <row r="99" ht="15" customHeight="1">
      <c r="A99" t="inlineStr">
        <is>
          <t>A 39791-2021</t>
        </is>
      </c>
      <c r="B99" s="1" t="n">
        <v>44417</v>
      </c>
      <c r="C99" s="1" t="n">
        <v>46001</v>
      </c>
      <c r="D99" t="inlineStr">
        <is>
          <t>UPPSALA LÄN</t>
        </is>
      </c>
      <c r="E99" t="inlineStr">
        <is>
          <t>ÄLVKARLEBY</t>
        </is>
      </c>
      <c r="G99" t="n">
        <v>1.8</v>
      </c>
      <c r="H99" t="n">
        <v>0</v>
      </c>
      <c r="I99" t="n">
        <v>0</v>
      </c>
      <c r="J99" t="n">
        <v>0</v>
      </c>
      <c r="K99" t="n">
        <v>0</v>
      </c>
      <c r="L99" t="n">
        <v>0</v>
      </c>
      <c r="M99" t="n">
        <v>0</v>
      </c>
      <c r="N99" t="n">
        <v>0</v>
      </c>
      <c r="O99" t="n">
        <v>0</v>
      </c>
      <c r="P99" t="n">
        <v>0</v>
      </c>
      <c r="Q99" t="n">
        <v>0</v>
      </c>
      <c r="R99" s="2" t="inlineStr"/>
    </row>
    <row r="100" ht="15" customHeight="1">
      <c r="A100" t="inlineStr">
        <is>
          <t>A 41276-2023</t>
        </is>
      </c>
      <c r="B100" s="1" t="n">
        <v>45174</v>
      </c>
      <c r="C100" s="1" t="n">
        <v>46001</v>
      </c>
      <c r="D100" t="inlineStr">
        <is>
          <t>UPPSALA LÄN</t>
        </is>
      </c>
      <c r="E100" t="inlineStr">
        <is>
          <t>ÄLVKARLEBY</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41929-2024</t>
        </is>
      </c>
      <c r="B101" s="1" t="n">
        <v>45561</v>
      </c>
      <c r="C101" s="1" t="n">
        <v>46001</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18451-2025</t>
        </is>
      </c>
      <c r="B102" s="1" t="n">
        <v>45762</v>
      </c>
      <c r="C102" s="1" t="n">
        <v>46001</v>
      </c>
      <c r="D102" t="inlineStr">
        <is>
          <t>UPPSALA LÄN</t>
        </is>
      </c>
      <c r="E102" t="inlineStr">
        <is>
          <t>ÄLVKARLEBY</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14590-2023</t>
        </is>
      </c>
      <c r="B103" s="1" t="n">
        <v>45013.54621527778</v>
      </c>
      <c r="C103" s="1" t="n">
        <v>46001</v>
      </c>
      <c r="D103" t="inlineStr">
        <is>
          <t>UPPSALA LÄN</t>
        </is>
      </c>
      <c r="E103" t="inlineStr">
        <is>
          <t>ÄLVKARLEBY</t>
        </is>
      </c>
      <c r="G103" t="n">
        <v>1.8</v>
      </c>
      <c r="H103" t="n">
        <v>0</v>
      </c>
      <c r="I103" t="n">
        <v>0</v>
      </c>
      <c r="J103" t="n">
        <v>0</v>
      </c>
      <c r="K103" t="n">
        <v>0</v>
      </c>
      <c r="L103" t="n">
        <v>0</v>
      </c>
      <c r="M103" t="n">
        <v>0</v>
      </c>
      <c r="N103" t="n">
        <v>0</v>
      </c>
      <c r="O103" t="n">
        <v>0</v>
      </c>
      <c r="P103" t="n">
        <v>0</v>
      </c>
      <c r="Q103" t="n">
        <v>0</v>
      </c>
      <c r="R103" s="2" t="inlineStr"/>
    </row>
    <row r="104" ht="15" customHeight="1">
      <c r="A104" t="inlineStr">
        <is>
          <t>A 9533-2025</t>
        </is>
      </c>
      <c r="B104" s="1" t="n">
        <v>45715.57082175926</v>
      </c>
      <c r="C104" s="1" t="n">
        <v>46001</v>
      </c>
      <c r="D104" t="inlineStr">
        <is>
          <t>UPPSALA LÄN</t>
        </is>
      </c>
      <c r="E104" t="inlineStr">
        <is>
          <t>ÄLVKARLEBY</t>
        </is>
      </c>
      <c r="G104" t="n">
        <v>2.1</v>
      </c>
      <c r="H104" t="n">
        <v>0</v>
      </c>
      <c r="I104" t="n">
        <v>0</v>
      </c>
      <c r="J104" t="n">
        <v>0</v>
      </c>
      <c r="K104" t="n">
        <v>0</v>
      </c>
      <c r="L104" t="n">
        <v>0</v>
      </c>
      <c r="M104" t="n">
        <v>0</v>
      </c>
      <c r="N104" t="n">
        <v>0</v>
      </c>
      <c r="O104" t="n">
        <v>0</v>
      </c>
      <c r="P104" t="n">
        <v>0</v>
      </c>
      <c r="Q104" t="n">
        <v>0</v>
      </c>
      <c r="R104" s="2" t="inlineStr"/>
    </row>
    <row r="105" ht="15" customHeight="1">
      <c r="A105" t="inlineStr">
        <is>
          <t>A 19697-2025</t>
        </is>
      </c>
      <c r="B105" s="1" t="n">
        <v>45771</v>
      </c>
      <c r="C105" s="1" t="n">
        <v>46001</v>
      </c>
      <c r="D105" t="inlineStr">
        <is>
          <t>UPPSALA LÄN</t>
        </is>
      </c>
      <c r="E105" t="inlineStr">
        <is>
          <t>ÄLVKARLEBY</t>
        </is>
      </c>
      <c r="F105" t="inlineStr">
        <is>
          <t>Bergvik skog väst AB</t>
        </is>
      </c>
      <c r="G105" t="n">
        <v>3.3</v>
      </c>
      <c r="H105" t="n">
        <v>0</v>
      </c>
      <c r="I105" t="n">
        <v>0</v>
      </c>
      <c r="J105" t="n">
        <v>0</v>
      </c>
      <c r="K105" t="n">
        <v>0</v>
      </c>
      <c r="L105" t="n">
        <v>0</v>
      </c>
      <c r="M105" t="n">
        <v>0</v>
      </c>
      <c r="N105" t="n">
        <v>0</v>
      </c>
      <c r="O105" t="n">
        <v>0</v>
      </c>
      <c r="P105" t="n">
        <v>0</v>
      </c>
      <c r="Q105" t="n">
        <v>0</v>
      </c>
      <c r="R105" s="2" t="inlineStr"/>
    </row>
    <row r="106">
      <c r="A106" t="inlineStr">
        <is>
          <t>A 22223-2025</t>
        </is>
      </c>
      <c r="B106" s="1" t="n">
        <v>45785</v>
      </c>
      <c r="C106" s="1" t="n">
        <v>46001</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2025-12-10T10:24:44Z</dcterms:created>
  <dcterms:modified xmlns:dcterms="http://purl.org/dc/terms/" xmlns:xsi="http://www.w3.org/2001/XMLSchema-instance" xsi:type="dcterms:W3CDTF">2025-12-10T10:24:44Z</dcterms:modified>
</cp:coreProperties>
</file>