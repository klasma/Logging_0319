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45893</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45893</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45893</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45893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45893</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45893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45893</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45893</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45893</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45893</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70017-2021</t>
        </is>
      </c>
      <c r="B13" s="1" t="n">
        <v>44533</v>
      </c>
      <c r="C13" s="1" t="n">
        <v>45893</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45893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30484-2025</t>
        </is>
      </c>
      <c r="B15" s="1" t="n">
        <v>45828.75157407407</v>
      </c>
      <c r="C15" s="1" t="n">
        <v>45893</v>
      </c>
      <c r="D15" t="inlineStr">
        <is>
          <t>UPPSALA LÄN</t>
        </is>
      </c>
      <c r="E15" t="inlineStr">
        <is>
          <t>ÄLVKARLEBY</t>
        </is>
      </c>
      <c r="F15" t="inlineStr">
        <is>
          <t>Bergvik skog väst AB</t>
        </is>
      </c>
      <c r="G15" t="n">
        <v>1.6</v>
      </c>
      <c r="H15" t="n">
        <v>1</v>
      </c>
      <c r="I15" t="n">
        <v>1</v>
      </c>
      <c r="J15" t="n">
        <v>1</v>
      </c>
      <c r="K15" t="n">
        <v>0</v>
      </c>
      <c r="L15" t="n">
        <v>0</v>
      </c>
      <c r="M15" t="n">
        <v>0</v>
      </c>
      <c r="N15" t="n">
        <v>0</v>
      </c>
      <c r="O15" t="n">
        <v>1</v>
      </c>
      <c r="P15" t="n">
        <v>0</v>
      </c>
      <c r="Q15" t="n">
        <v>3</v>
      </c>
      <c r="R15" s="2" t="inlineStr">
        <is>
          <t>Slåtterfibbla
Svart trolldruva
Gullviva</t>
        </is>
      </c>
      <c r="S15">
        <f>HYPERLINK("https://klasma.github.io/Logging_0319/artfynd/A 30484-2025 artfynd.xlsx", "A 30484-2025")</f>
        <v/>
      </c>
      <c r="T15">
        <f>HYPERLINK("https://klasma.github.io/Logging_0319/kartor/A 30484-2025 karta.png", "A 30484-2025")</f>
        <v/>
      </c>
      <c r="V15">
        <f>HYPERLINK("https://klasma.github.io/Logging_0319/klagomål/A 30484-2025 FSC-klagomål.docx", "A 30484-2025")</f>
        <v/>
      </c>
      <c r="W15">
        <f>HYPERLINK("https://klasma.github.io/Logging_0319/klagomålsmail/A 30484-2025 FSC-klagomål mail.docx", "A 30484-2025")</f>
        <v/>
      </c>
      <c r="X15">
        <f>HYPERLINK("https://klasma.github.io/Logging_0319/tillsyn/A 30484-2025 tillsynsbegäran.docx", "A 30484-2025")</f>
        <v/>
      </c>
      <c r="Y15">
        <f>HYPERLINK("https://klasma.github.io/Logging_0319/tillsynsmail/A 30484-2025 tillsynsbegäran mail.docx", "A 30484-2025")</f>
        <v/>
      </c>
    </row>
    <row r="16" ht="15" customHeight="1">
      <c r="A16" t="inlineStr">
        <is>
          <t>A 55547-2024</t>
        </is>
      </c>
      <c r="B16" s="1" t="n">
        <v>45622.5105787037</v>
      </c>
      <c r="C16" s="1" t="n">
        <v>45893</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55560-2024</t>
        </is>
      </c>
      <c r="B17" s="1" t="n">
        <v>45622.53336805556</v>
      </c>
      <c r="C17" s="1" t="n">
        <v>45893</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45893</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45893</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9521-2025</t>
        </is>
      </c>
      <c r="B20" s="1" t="n">
        <v>45715.56259259259</v>
      </c>
      <c r="C20" s="1" t="n">
        <v>45893</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10455-2022</t>
        </is>
      </c>
      <c r="B21" s="1" t="n">
        <v>44623</v>
      </c>
      <c r="C21" s="1" t="n">
        <v>45893</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45893</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45893</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21700-2024</t>
        </is>
      </c>
      <c r="B24" s="1" t="n">
        <v>45442</v>
      </c>
      <c r="C24" s="1" t="n">
        <v>45893</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45893</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39902-2025</t>
        </is>
      </c>
      <c r="B26" s="1" t="n">
        <v>45891.63597222222</v>
      </c>
      <c r="C26" s="1" t="n">
        <v>45893</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45893</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45893</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45893</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45893</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45893</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45893</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967-2021</t>
        </is>
      </c>
      <c r="B33" s="1" t="n">
        <v>44207</v>
      </c>
      <c r="C33" s="1" t="n">
        <v>45893</v>
      </c>
      <c r="D33" t="inlineStr">
        <is>
          <t>UPPSALA LÄN</t>
        </is>
      </c>
      <c r="E33" t="inlineStr">
        <is>
          <t>ÄLVKARLEBY</t>
        </is>
      </c>
      <c r="G33" t="n">
        <v>0.7</v>
      </c>
      <c r="H33" t="n">
        <v>0</v>
      </c>
      <c r="I33" t="n">
        <v>0</v>
      </c>
      <c r="J33" t="n">
        <v>0</v>
      </c>
      <c r="K33" t="n">
        <v>0</v>
      </c>
      <c r="L33" t="n">
        <v>0</v>
      </c>
      <c r="M33" t="n">
        <v>0</v>
      </c>
      <c r="N33" t="n">
        <v>0</v>
      </c>
      <c r="O33" t="n">
        <v>0</v>
      </c>
      <c r="P33" t="n">
        <v>0</v>
      </c>
      <c r="Q33" t="n">
        <v>0</v>
      </c>
      <c r="R33" s="2" t="inlineStr"/>
    </row>
    <row r="34" ht="15" customHeight="1">
      <c r="A34" t="inlineStr">
        <is>
          <t>A 36216-2022</t>
        </is>
      </c>
      <c r="B34" s="1" t="n">
        <v>44803</v>
      </c>
      <c r="C34" s="1" t="n">
        <v>45893</v>
      </c>
      <c r="D34" t="inlineStr">
        <is>
          <t>UPPSALA LÄN</t>
        </is>
      </c>
      <c r="E34" t="inlineStr">
        <is>
          <t>ÄLVKARLEBY</t>
        </is>
      </c>
      <c r="F34" t="inlineStr">
        <is>
          <t>Bergvik skog väst AB</t>
        </is>
      </c>
      <c r="G34" t="n">
        <v>0.5</v>
      </c>
      <c r="H34" t="n">
        <v>0</v>
      </c>
      <c r="I34" t="n">
        <v>0</v>
      </c>
      <c r="J34" t="n">
        <v>0</v>
      </c>
      <c r="K34" t="n">
        <v>0</v>
      </c>
      <c r="L34" t="n">
        <v>0</v>
      </c>
      <c r="M34" t="n">
        <v>0</v>
      </c>
      <c r="N34" t="n">
        <v>0</v>
      </c>
      <c r="O34" t="n">
        <v>0</v>
      </c>
      <c r="P34" t="n">
        <v>0</v>
      </c>
      <c r="Q34" t="n">
        <v>0</v>
      </c>
      <c r="R34" s="2" t="inlineStr"/>
    </row>
    <row r="35" ht="15" customHeight="1">
      <c r="A35" t="inlineStr">
        <is>
          <t>A 41276-2023</t>
        </is>
      </c>
      <c r="B35" s="1" t="n">
        <v>45174</v>
      </c>
      <c r="C35" s="1" t="n">
        <v>45893</v>
      </c>
      <c r="D35" t="inlineStr">
        <is>
          <t>UPPSALA LÄN</t>
        </is>
      </c>
      <c r="E35" t="inlineStr">
        <is>
          <t>ÄLVKARLEBY</t>
        </is>
      </c>
      <c r="F35" t="inlineStr">
        <is>
          <t>Bergvik skog väst AB</t>
        </is>
      </c>
      <c r="G35" t="n">
        <v>0.3</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45893</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18451-2025</t>
        </is>
      </c>
      <c r="B37" s="1" t="n">
        <v>45762</v>
      </c>
      <c r="C37" s="1" t="n">
        <v>45893</v>
      </c>
      <c r="D37" t="inlineStr">
        <is>
          <t>UPPSALA LÄN</t>
        </is>
      </c>
      <c r="E37" t="inlineStr">
        <is>
          <t>ÄLVKARLEBY</t>
        </is>
      </c>
      <c r="F37" t="inlineStr">
        <is>
          <t>Bergvik skog väst AB</t>
        </is>
      </c>
      <c r="G37" t="n">
        <v>1.2</v>
      </c>
      <c r="H37" t="n">
        <v>0</v>
      </c>
      <c r="I37" t="n">
        <v>0</v>
      </c>
      <c r="J37" t="n">
        <v>0</v>
      </c>
      <c r="K37" t="n">
        <v>0</v>
      </c>
      <c r="L37" t="n">
        <v>0</v>
      </c>
      <c r="M37" t="n">
        <v>0</v>
      </c>
      <c r="N37" t="n">
        <v>0</v>
      </c>
      <c r="O37" t="n">
        <v>0</v>
      </c>
      <c r="P37" t="n">
        <v>0</v>
      </c>
      <c r="Q37" t="n">
        <v>0</v>
      </c>
      <c r="R37" s="2" t="inlineStr"/>
    </row>
    <row r="38" ht="15" customHeight="1">
      <c r="A38" t="inlineStr">
        <is>
          <t>A 19304-2024</t>
        </is>
      </c>
      <c r="B38" s="1" t="n">
        <v>45428</v>
      </c>
      <c r="C38" s="1" t="n">
        <v>45893</v>
      </c>
      <c r="D38" t="inlineStr">
        <is>
          <t>UPPSALA LÄN</t>
        </is>
      </c>
      <c r="E38" t="inlineStr">
        <is>
          <t>ÄLVKARLEBY</t>
        </is>
      </c>
      <c r="G38" t="n">
        <v>0.2</v>
      </c>
      <c r="H38" t="n">
        <v>0</v>
      </c>
      <c r="I38" t="n">
        <v>0</v>
      </c>
      <c r="J38" t="n">
        <v>0</v>
      </c>
      <c r="K38" t="n">
        <v>0</v>
      </c>
      <c r="L38" t="n">
        <v>0</v>
      </c>
      <c r="M38" t="n">
        <v>0</v>
      </c>
      <c r="N38" t="n">
        <v>0</v>
      </c>
      <c r="O38" t="n">
        <v>0</v>
      </c>
      <c r="P38" t="n">
        <v>0</v>
      </c>
      <c r="Q38" t="n">
        <v>0</v>
      </c>
      <c r="R38" s="2" t="inlineStr"/>
    </row>
    <row r="39" ht="15" customHeight="1">
      <c r="A39" t="inlineStr">
        <is>
          <t>A 2183-2024</t>
        </is>
      </c>
      <c r="B39" s="1" t="n">
        <v>45309</v>
      </c>
      <c r="C39" s="1" t="n">
        <v>45893</v>
      </c>
      <c r="D39" t="inlineStr">
        <is>
          <t>UPPSALA LÄN</t>
        </is>
      </c>
      <c r="E39" t="inlineStr">
        <is>
          <t>ÄLVKARLEBY</t>
        </is>
      </c>
      <c r="G39" t="n">
        <v>0.5</v>
      </c>
      <c r="H39" t="n">
        <v>0</v>
      </c>
      <c r="I39" t="n">
        <v>0</v>
      </c>
      <c r="J39" t="n">
        <v>0</v>
      </c>
      <c r="K39" t="n">
        <v>0</v>
      </c>
      <c r="L39" t="n">
        <v>0</v>
      </c>
      <c r="M39" t="n">
        <v>0</v>
      </c>
      <c r="N39" t="n">
        <v>0</v>
      </c>
      <c r="O39" t="n">
        <v>0</v>
      </c>
      <c r="P39" t="n">
        <v>0</v>
      </c>
      <c r="Q39" t="n">
        <v>0</v>
      </c>
      <c r="R39" s="2" t="inlineStr"/>
    </row>
    <row r="40" ht="15" customHeight="1">
      <c r="A40" t="inlineStr">
        <is>
          <t>A 16990-2022</t>
        </is>
      </c>
      <c r="B40" s="1" t="n">
        <v>44676.6122337963</v>
      </c>
      <c r="C40" s="1" t="n">
        <v>45893</v>
      </c>
      <c r="D40" t="inlineStr">
        <is>
          <t>UPPSALA LÄN</t>
        </is>
      </c>
      <c r="E40" t="inlineStr">
        <is>
          <t>ÄLVKARLEBY</t>
        </is>
      </c>
      <c r="F40" t="inlineStr">
        <is>
          <t>Bergvik skog väst AB</t>
        </is>
      </c>
      <c r="G40" t="n">
        <v>2.6</v>
      </c>
      <c r="H40" t="n">
        <v>0</v>
      </c>
      <c r="I40" t="n">
        <v>0</v>
      </c>
      <c r="J40" t="n">
        <v>0</v>
      </c>
      <c r="K40" t="n">
        <v>0</v>
      </c>
      <c r="L40" t="n">
        <v>0</v>
      </c>
      <c r="M40" t="n">
        <v>0</v>
      </c>
      <c r="N40" t="n">
        <v>0</v>
      </c>
      <c r="O40" t="n">
        <v>0</v>
      </c>
      <c r="P40" t="n">
        <v>0</v>
      </c>
      <c r="Q40" t="n">
        <v>0</v>
      </c>
      <c r="R40" s="2" t="inlineStr"/>
    </row>
    <row r="41" ht="15" customHeight="1">
      <c r="A41" t="inlineStr">
        <is>
          <t>A 19697-2025</t>
        </is>
      </c>
      <c r="B41" s="1" t="n">
        <v>45771</v>
      </c>
      <c r="C41" s="1" t="n">
        <v>45893</v>
      </c>
      <c r="D41" t="inlineStr">
        <is>
          <t>UPPSALA LÄN</t>
        </is>
      </c>
      <c r="E41" t="inlineStr">
        <is>
          <t>ÄLVKARLEBY</t>
        </is>
      </c>
      <c r="F41" t="inlineStr">
        <is>
          <t>Bergvik skog väst AB</t>
        </is>
      </c>
      <c r="G41" t="n">
        <v>3.3</v>
      </c>
      <c r="H41" t="n">
        <v>0</v>
      </c>
      <c r="I41" t="n">
        <v>0</v>
      </c>
      <c r="J41" t="n">
        <v>0</v>
      </c>
      <c r="K41" t="n">
        <v>0</v>
      </c>
      <c r="L41" t="n">
        <v>0</v>
      </c>
      <c r="M41" t="n">
        <v>0</v>
      </c>
      <c r="N41" t="n">
        <v>0</v>
      </c>
      <c r="O41" t="n">
        <v>0</v>
      </c>
      <c r="P41" t="n">
        <v>0</v>
      </c>
      <c r="Q41" t="n">
        <v>0</v>
      </c>
      <c r="R41" s="2" t="inlineStr"/>
    </row>
    <row r="42" ht="15" customHeight="1">
      <c r="A42" t="inlineStr">
        <is>
          <t>A 21012-2025</t>
        </is>
      </c>
      <c r="B42" s="1" t="n">
        <v>45777</v>
      </c>
      <c r="C42" s="1" t="n">
        <v>45893</v>
      </c>
      <c r="D42" t="inlineStr">
        <is>
          <t>UPPSALA LÄN</t>
        </is>
      </c>
      <c r="E42" t="inlineStr">
        <is>
          <t>ÄLVKARLEBY</t>
        </is>
      </c>
      <c r="F42" t="inlineStr">
        <is>
          <t>Bergvik skog väst AB</t>
        </is>
      </c>
      <c r="G42" t="n">
        <v>1.8</v>
      </c>
      <c r="H42" t="n">
        <v>0</v>
      </c>
      <c r="I42" t="n">
        <v>0</v>
      </c>
      <c r="J42" t="n">
        <v>0</v>
      </c>
      <c r="K42" t="n">
        <v>0</v>
      </c>
      <c r="L42" t="n">
        <v>0</v>
      </c>
      <c r="M42" t="n">
        <v>0</v>
      </c>
      <c r="N42" t="n">
        <v>0</v>
      </c>
      <c r="O42" t="n">
        <v>0</v>
      </c>
      <c r="P42" t="n">
        <v>0</v>
      </c>
      <c r="Q42" t="n">
        <v>0</v>
      </c>
      <c r="R42" s="2" t="inlineStr"/>
    </row>
    <row r="43" ht="15" customHeight="1">
      <c r="A43" t="inlineStr">
        <is>
          <t>A 22223-2025</t>
        </is>
      </c>
      <c r="B43" s="1" t="n">
        <v>45785</v>
      </c>
      <c r="C43" s="1" t="n">
        <v>45893</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56864-2024</t>
        </is>
      </c>
      <c r="B44" s="1" t="n">
        <v>45628.55212962963</v>
      </c>
      <c r="C44" s="1" t="n">
        <v>45893</v>
      </c>
      <c r="D44" t="inlineStr">
        <is>
          <t>UPPSALA LÄN</t>
        </is>
      </c>
      <c r="E44" t="inlineStr">
        <is>
          <t>ÄLVKARLEBY</t>
        </is>
      </c>
      <c r="F44" t="inlineStr">
        <is>
          <t>Bergvik skog väst AB</t>
        </is>
      </c>
      <c r="G44" t="n">
        <v>11.3</v>
      </c>
      <c r="H44" t="n">
        <v>0</v>
      </c>
      <c r="I44" t="n">
        <v>0</v>
      </c>
      <c r="J44" t="n">
        <v>0</v>
      </c>
      <c r="K44" t="n">
        <v>0</v>
      </c>
      <c r="L44" t="n">
        <v>0</v>
      </c>
      <c r="M44" t="n">
        <v>0</v>
      </c>
      <c r="N44" t="n">
        <v>0</v>
      </c>
      <c r="O44" t="n">
        <v>0</v>
      </c>
      <c r="P44" t="n">
        <v>0</v>
      </c>
      <c r="Q44" t="n">
        <v>0</v>
      </c>
      <c r="R44" s="2" t="inlineStr"/>
    </row>
    <row r="45" ht="15" customHeight="1">
      <c r="A45" t="inlineStr">
        <is>
          <t>A 38226-2023</t>
        </is>
      </c>
      <c r="B45" s="1" t="n">
        <v>45161</v>
      </c>
      <c r="C45" s="1" t="n">
        <v>45893</v>
      </c>
      <c r="D45" t="inlineStr">
        <is>
          <t>UPPSALA LÄN</t>
        </is>
      </c>
      <c r="E45" t="inlineStr">
        <is>
          <t>ÄLVKARLEBY</t>
        </is>
      </c>
      <c r="F45" t="inlineStr">
        <is>
          <t>Bergvik skog väst AB</t>
        </is>
      </c>
      <c r="G45" t="n">
        <v>4.5</v>
      </c>
      <c r="H45" t="n">
        <v>0</v>
      </c>
      <c r="I45" t="n">
        <v>0</v>
      </c>
      <c r="J45" t="n">
        <v>0</v>
      </c>
      <c r="K45" t="n">
        <v>0</v>
      </c>
      <c r="L45" t="n">
        <v>0</v>
      </c>
      <c r="M45" t="n">
        <v>0</v>
      </c>
      <c r="N45" t="n">
        <v>0</v>
      </c>
      <c r="O45" t="n">
        <v>0</v>
      </c>
      <c r="P45" t="n">
        <v>0</v>
      </c>
      <c r="Q45" t="n">
        <v>0</v>
      </c>
      <c r="R45" s="2" t="inlineStr"/>
    </row>
    <row r="46" ht="15" customHeight="1">
      <c r="A46" t="inlineStr">
        <is>
          <t>A 24592-2025</t>
        </is>
      </c>
      <c r="B46" s="1" t="n">
        <v>45798.54337962963</v>
      </c>
      <c r="C46" s="1" t="n">
        <v>45893</v>
      </c>
      <c r="D46" t="inlineStr">
        <is>
          <t>UPPSALA LÄN</t>
        </is>
      </c>
      <c r="E46" t="inlineStr">
        <is>
          <t>ÄLVKARLEBY</t>
        </is>
      </c>
      <c r="F46" t="inlineStr">
        <is>
          <t>Bergvik skog väst AB</t>
        </is>
      </c>
      <c r="G46" t="n">
        <v>2.5</v>
      </c>
      <c r="H46" t="n">
        <v>0</v>
      </c>
      <c r="I46" t="n">
        <v>0</v>
      </c>
      <c r="J46" t="n">
        <v>0</v>
      </c>
      <c r="K46" t="n">
        <v>0</v>
      </c>
      <c r="L46" t="n">
        <v>0</v>
      </c>
      <c r="M46" t="n">
        <v>0</v>
      </c>
      <c r="N46" t="n">
        <v>0</v>
      </c>
      <c r="O46" t="n">
        <v>0</v>
      </c>
      <c r="P46" t="n">
        <v>0</v>
      </c>
      <c r="Q46" t="n">
        <v>0</v>
      </c>
      <c r="R46" s="2" t="inlineStr"/>
    </row>
    <row r="47" ht="15" customHeight="1">
      <c r="A47" t="inlineStr">
        <is>
          <t>A 19303-2024</t>
        </is>
      </c>
      <c r="B47" s="1" t="n">
        <v>45428.70386574074</v>
      </c>
      <c r="C47" s="1" t="n">
        <v>45893</v>
      </c>
      <c r="D47" t="inlineStr">
        <is>
          <t>UPPSALA LÄN</t>
        </is>
      </c>
      <c r="E47" t="inlineStr">
        <is>
          <t>ÄLVKARLEBY</t>
        </is>
      </c>
      <c r="G47" t="n">
        <v>0.4</v>
      </c>
      <c r="H47" t="n">
        <v>0</v>
      </c>
      <c r="I47" t="n">
        <v>0</v>
      </c>
      <c r="J47" t="n">
        <v>0</v>
      </c>
      <c r="K47" t="n">
        <v>0</v>
      </c>
      <c r="L47" t="n">
        <v>0</v>
      </c>
      <c r="M47" t="n">
        <v>0</v>
      </c>
      <c r="N47" t="n">
        <v>0</v>
      </c>
      <c r="O47" t="n">
        <v>0</v>
      </c>
      <c r="P47" t="n">
        <v>0</v>
      </c>
      <c r="Q47" t="n">
        <v>0</v>
      </c>
      <c r="R47" s="2" t="inlineStr"/>
    </row>
    <row r="48" ht="15" customHeight="1">
      <c r="A48" t="inlineStr">
        <is>
          <t>A 24591-2025</t>
        </is>
      </c>
      <c r="B48" s="1" t="n">
        <v>45798.53666666667</v>
      </c>
      <c r="C48" s="1" t="n">
        <v>45893</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24593-2025</t>
        </is>
      </c>
      <c r="B49" s="1" t="n">
        <v>45798</v>
      </c>
      <c r="C49" s="1" t="n">
        <v>45893</v>
      </c>
      <c r="D49" t="inlineStr">
        <is>
          <t>UPPSALA LÄN</t>
        </is>
      </c>
      <c r="E49" t="inlineStr">
        <is>
          <t>ÄLVKARLEBY</t>
        </is>
      </c>
      <c r="F49" t="inlineStr">
        <is>
          <t>Bergvik skog väst AB</t>
        </is>
      </c>
      <c r="G49" t="n">
        <v>0.6</v>
      </c>
      <c r="H49" t="n">
        <v>0</v>
      </c>
      <c r="I49" t="n">
        <v>0</v>
      </c>
      <c r="J49" t="n">
        <v>0</v>
      </c>
      <c r="K49" t="n">
        <v>0</v>
      </c>
      <c r="L49" t="n">
        <v>0</v>
      </c>
      <c r="M49" t="n">
        <v>0</v>
      </c>
      <c r="N49" t="n">
        <v>0</v>
      </c>
      <c r="O49" t="n">
        <v>0</v>
      </c>
      <c r="P49" t="n">
        <v>0</v>
      </c>
      <c r="Q49" t="n">
        <v>0</v>
      </c>
      <c r="R49" s="2" t="inlineStr"/>
    </row>
    <row r="50" ht="15" customHeight="1">
      <c r="A50" t="inlineStr">
        <is>
          <t>A 3950-2025</t>
        </is>
      </c>
      <c r="B50" s="1" t="n">
        <v>45684</v>
      </c>
      <c r="C50" s="1" t="n">
        <v>45893</v>
      </c>
      <c r="D50" t="inlineStr">
        <is>
          <t>UPPSALA LÄN</t>
        </is>
      </c>
      <c r="E50" t="inlineStr">
        <is>
          <t>ÄLVKARLEBY</t>
        </is>
      </c>
      <c r="G50" t="n">
        <v>3.1</v>
      </c>
      <c r="H50" t="n">
        <v>0</v>
      </c>
      <c r="I50" t="n">
        <v>0</v>
      </c>
      <c r="J50" t="n">
        <v>0</v>
      </c>
      <c r="K50" t="n">
        <v>0</v>
      </c>
      <c r="L50" t="n">
        <v>0</v>
      </c>
      <c r="M50" t="n">
        <v>0</v>
      </c>
      <c r="N50" t="n">
        <v>0</v>
      </c>
      <c r="O50" t="n">
        <v>0</v>
      </c>
      <c r="P50" t="n">
        <v>0</v>
      </c>
      <c r="Q50" t="n">
        <v>0</v>
      </c>
      <c r="R50" s="2" t="inlineStr"/>
    </row>
    <row r="51" ht="15" customHeight="1">
      <c r="A51" t="inlineStr">
        <is>
          <t>A 25330-2025</t>
        </is>
      </c>
      <c r="B51" s="1" t="n">
        <v>45800.59114583334</v>
      </c>
      <c r="C51" s="1" t="n">
        <v>45893</v>
      </c>
      <c r="D51" t="inlineStr">
        <is>
          <t>UPPSALA LÄN</t>
        </is>
      </c>
      <c r="E51" t="inlineStr">
        <is>
          <t>ÄLVKARLEBY</t>
        </is>
      </c>
      <c r="F51" t="inlineStr">
        <is>
          <t>Bergvik skog väst AB</t>
        </is>
      </c>
      <c r="G51" t="n">
        <v>5</v>
      </c>
      <c r="H51" t="n">
        <v>0</v>
      </c>
      <c r="I51" t="n">
        <v>0</v>
      </c>
      <c r="J51" t="n">
        <v>0</v>
      </c>
      <c r="K51" t="n">
        <v>0</v>
      </c>
      <c r="L51" t="n">
        <v>0</v>
      </c>
      <c r="M51" t="n">
        <v>0</v>
      </c>
      <c r="N51" t="n">
        <v>0</v>
      </c>
      <c r="O51" t="n">
        <v>0</v>
      </c>
      <c r="P51" t="n">
        <v>0</v>
      </c>
      <c r="Q51" t="n">
        <v>0</v>
      </c>
      <c r="R51" s="2" t="inlineStr"/>
    </row>
    <row r="52" ht="15" customHeight="1">
      <c r="A52" t="inlineStr">
        <is>
          <t>A 25264-2025</t>
        </is>
      </c>
      <c r="B52" s="1" t="n">
        <v>45800.5334375</v>
      </c>
      <c r="C52" s="1" t="n">
        <v>45893</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19862-2025</t>
        </is>
      </c>
      <c r="B53" s="1" t="n">
        <v>45771.53560185185</v>
      </c>
      <c r="C53" s="1" t="n">
        <v>45893</v>
      </c>
      <c r="D53" t="inlineStr">
        <is>
          <t>UPPSALA LÄN</t>
        </is>
      </c>
      <c r="E53" t="inlineStr">
        <is>
          <t>ÄLVKARLEBY</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45372-2024</t>
        </is>
      </c>
      <c r="B54" s="1" t="n">
        <v>45576.51116898148</v>
      </c>
      <c r="C54" s="1" t="n">
        <v>45893</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26668-2025</t>
        </is>
      </c>
      <c r="B55" s="1" t="n">
        <v>45810.41017361111</v>
      </c>
      <c r="C55" s="1" t="n">
        <v>45893</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26664-2025</t>
        </is>
      </c>
      <c r="B56" s="1" t="n">
        <v>45810</v>
      </c>
      <c r="C56" s="1" t="n">
        <v>45893</v>
      </c>
      <c r="D56" t="inlineStr">
        <is>
          <t>UPPSALA LÄN</t>
        </is>
      </c>
      <c r="E56" t="inlineStr">
        <is>
          <t>ÄLVKARLEBY</t>
        </is>
      </c>
      <c r="F56" t="inlineStr">
        <is>
          <t>Bergvik skog väst AB</t>
        </is>
      </c>
      <c r="G56" t="n">
        <v>1.7</v>
      </c>
      <c r="H56" t="n">
        <v>0</v>
      </c>
      <c r="I56" t="n">
        <v>0</v>
      </c>
      <c r="J56" t="n">
        <v>0</v>
      </c>
      <c r="K56" t="n">
        <v>0</v>
      </c>
      <c r="L56" t="n">
        <v>0</v>
      </c>
      <c r="M56" t="n">
        <v>0</v>
      </c>
      <c r="N56" t="n">
        <v>0</v>
      </c>
      <c r="O56" t="n">
        <v>0</v>
      </c>
      <c r="P56" t="n">
        <v>0</v>
      </c>
      <c r="Q56" t="n">
        <v>0</v>
      </c>
      <c r="R56" s="2" t="inlineStr"/>
    </row>
    <row r="57" ht="15" customHeight="1">
      <c r="A57" t="inlineStr">
        <is>
          <t>A 26670-2025</t>
        </is>
      </c>
      <c r="B57" s="1" t="n">
        <v>45810.41489583333</v>
      </c>
      <c r="C57" s="1" t="n">
        <v>45893</v>
      </c>
      <c r="D57" t="inlineStr">
        <is>
          <t>UPPSALA LÄN</t>
        </is>
      </c>
      <c r="E57" t="inlineStr">
        <is>
          <t>ÄLVKARLEBY</t>
        </is>
      </c>
      <c r="F57" t="inlineStr">
        <is>
          <t>Bergvik skog väst AB</t>
        </is>
      </c>
      <c r="G57" t="n">
        <v>1.1</v>
      </c>
      <c r="H57" t="n">
        <v>0</v>
      </c>
      <c r="I57" t="n">
        <v>0</v>
      </c>
      <c r="J57" t="n">
        <v>0</v>
      </c>
      <c r="K57" t="n">
        <v>0</v>
      </c>
      <c r="L57" t="n">
        <v>0</v>
      </c>
      <c r="M57" t="n">
        <v>0</v>
      </c>
      <c r="N57" t="n">
        <v>0</v>
      </c>
      <c r="O57" t="n">
        <v>0</v>
      </c>
      <c r="P57" t="n">
        <v>0</v>
      </c>
      <c r="Q57" t="n">
        <v>0</v>
      </c>
      <c r="R57" s="2" t="inlineStr"/>
    </row>
    <row r="58" ht="15" customHeight="1">
      <c r="A58" t="inlineStr">
        <is>
          <t>A 15739-2025</t>
        </is>
      </c>
      <c r="B58" s="1" t="n">
        <v>45748.54612268518</v>
      </c>
      <c r="C58" s="1" t="n">
        <v>45893</v>
      </c>
      <c r="D58" t="inlineStr">
        <is>
          <t>UPPSALA LÄN</t>
        </is>
      </c>
      <c r="E58" t="inlineStr">
        <is>
          <t>ÄLVKARLEBY</t>
        </is>
      </c>
      <c r="F58" t="inlineStr">
        <is>
          <t>Kyrkan</t>
        </is>
      </c>
      <c r="G58" t="n">
        <v>2.4</v>
      </c>
      <c r="H58" t="n">
        <v>0</v>
      </c>
      <c r="I58" t="n">
        <v>0</v>
      </c>
      <c r="J58" t="n">
        <v>0</v>
      </c>
      <c r="K58" t="n">
        <v>0</v>
      </c>
      <c r="L58" t="n">
        <v>0</v>
      </c>
      <c r="M58" t="n">
        <v>0</v>
      </c>
      <c r="N58" t="n">
        <v>0</v>
      </c>
      <c r="O58" t="n">
        <v>0</v>
      </c>
      <c r="P58" t="n">
        <v>0</v>
      </c>
      <c r="Q58" t="n">
        <v>0</v>
      </c>
      <c r="R58" s="2" t="inlineStr"/>
    </row>
    <row r="59" ht="15" customHeight="1">
      <c r="A59" t="inlineStr">
        <is>
          <t>A 43285-2023</t>
        </is>
      </c>
      <c r="B59" s="1" t="n">
        <v>45183.5630787037</v>
      </c>
      <c r="C59" s="1" t="n">
        <v>45893</v>
      </c>
      <c r="D59" t="inlineStr">
        <is>
          <t>UPPSALA LÄN</t>
        </is>
      </c>
      <c r="E59" t="inlineStr">
        <is>
          <t>ÄLVKARLEBY</t>
        </is>
      </c>
      <c r="F59" t="inlineStr">
        <is>
          <t>Bergvik skog väst AB</t>
        </is>
      </c>
      <c r="G59" t="n">
        <v>1.3</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45893</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27330-2025</t>
        </is>
      </c>
      <c r="B61" s="1" t="n">
        <v>45812.60934027778</v>
      </c>
      <c r="C61" s="1" t="n">
        <v>45893</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45893</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2184-2024</t>
        </is>
      </c>
      <c r="B63" s="1" t="n">
        <v>45309</v>
      </c>
      <c r="C63" s="1" t="n">
        <v>45893</v>
      </c>
      <c r="D63" t="inlineStr">
        <is>
          <t>UPPSALA LÄN</t>
        </is>
      </c>
      <c r="E63" t="inlineStr">
        <is>
          <t>ÄLVKARLEBY</t>
        </is>
      </c>
      <c r="G63" t="n">
        <v>0.6</v>
      </c>
      <c r="H63" t="n">
        <v>0</v>
      </c>
      <c r="I63" t="n">
        <v>0</v>
      </c>
      <c r="J63" t="n">
        <v>0</v>
      </c>
      <c r="K63" t="n">
        <v>0</v>
      </c>
      <c r="L63" t="n">
        <v>0</v>
      </c>
      <c r="M63" t="n">
        <v>0</v>
      </c>
      <c r="N63" t="n">
        <v>0</v>
      </c>
      <c r="O63" t="n">
        <v>0</v>
      </c>
      <c r="P63" t="n">
        <v>0</v>
      </c>
      <c r="Q63" t="n">
        <v>0</v>
      </c>
      <c r="R63" s="2" t="inlineStr"/>
    </row>
    <row r="64" ht="15" customHeight="1">
      <c r="A64" t="inlineStr">
        <is>
          <t>A 27743-2025</t>
        </is>
      </c>
      <c r="B64" s="1" t="n">
        <v>45815.53981481482</v>
      </c>
      <c r="C64" s="1" t="n">
        <v>45893</v>
      </c>
      <c r="D64" t="inlineStr">
        <is>
          <t>UPPSALA LÄN</t>
        </is>
      </c>
      <c r="E64" t="inlineStr">
        <is>
          <t>ÄLVKARLEBY</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45893</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27741-2025</t>
        </is>
      </c>
      <c r="B66" s="1" t="n">
        <v>45815.5346875</v>
      </c>
      <c r="C66" s="1" t="n">
        <v>45893</v>
      </c>
      <c r="D66" t="inlineStr">
        <is>
          <t>UPPSALA LÄN</t>
        </is>
      </c>
      <c r="E66" t="inlineStr">
        <is>
          <t>ÄLVKARLEBY</t>
        </is>
      </c>
      <c r="F66" t="inlineStr">
        <is>
          <t>Bergvik skog väst AB</t>
        </is>
      </c>
      <c r="G66" t="n">
        <v>4.4</v>
      </c>
      <c r="H66" t="n">
        <v>0</v>
      </c>
      <c r="I66" t="n">
        <v>0</v>
      </c>
      <c r="J66" t="n">
        <v>0</v>
      </c>
      <c r="K66" t="n">
        <v>0</v>
      </c>
      <c r="L66" t="n">
        <v>0</v>
      </c>
      <c r="M66" t="n">
        <v>0</v>
      </c>
      <c r="N66" t="n">
        <v>0</v>
      </c>
      <c r="O66" t="n">
        <v>0</v>
      </c>
      <c r="P66" t="n">
        <v>0</v>
      </c>
      <c r="Q66" t="n">
        <v>0</v>
      </c>
      <c r="R66" s="2" t="inlineStr"/>
    </row>
    <row r="67" ht="15" customHeight="1">
      <c r="A67" t="inlineStr">
        <is>
          <t>A 27742-2025</t>
        </is>
      </c>
      <c r="B67" s="1" t="n">
        <v>45815.53724537037</v>
      </c>
      <c r="C67" s="1" t="n">
        <v>45893</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28670-2025</t>
        </is>
      </c>
      <c r="B68" s="1" t="n">
        <v>45819.67130787037</v>
      </c>
      <c r="C68" s="1" t="n">
        <v>45893</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28668-2025</t>
        </is>
      </c>
      <c r="B69" s="1" t="n">
        <v>45819.66650462963</v>
      </c>
      <c r="C69" s="1" t="n">
        <v>45893</v>
      </c>
      <c r="D69" t="inlineStr">
        <is>
          <t>UPPSALA LÄN</t>
        </is>
      </c>
      <c r="E69" t="inlineStr">
        <is>
          <t>ÄLVKARLEBY</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26815-2022</t>
        </is>
      </c>
      <c r="B70" s="1" t="n">
        <v>44740.44644675926</v>
      </c>
      <c r="C70" s="1" t="n">
        <v>45893</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30483-2025</t>
        </is>
      </c>
      <c r="B71" s="1" t="n">
        <v>45828.68988425926</v>
      </c>
      <c r="C71" s="1" t="n">
        <v>45893</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45893</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30936-2025</t>
        </is>
      </c>
      <c r="B73" s="1" t="n">
        <v>45832.40586805555</v>
      </c>
      <c r="C73" s="1" t="n">
        <v>45893</v>
      </c>
      <c r="D73" t="inlineStr">
        <is>
          <t>UPPSALA LÄN</t>
        </is>
      </c>
      <c r="E73" t="inlineStr">
        <is>
          <t>ÄLVKARLEBY</t>
        </is>
      </c>
      <c r="F73" t="inlineStr">
        <is>
          <t>Bergvik skog öst AB</t>
        </is>
      </c>
      <c r="G73" t="n">
        <v>7.2</v>
      </c>
      <c r="H73" t="n">
        <v>0</v>
      </c>
      <c r="I73" t="n">
        <v>0</v>
      </c>
      <c r="J73" t="n">
        <v>0</v>
      </c>
      <c r="K73" t="n">
        <v>0</v>
      </c>
      <c r="L73" t="n">
        <v>0</v>
      </c>
      <c r="M73" t="n">
        <v>0</v>
      </c>
      <c r="N73" t="n">
        <v>0</v>
      </c>
      <c r="O73" t="n">
        <v>0</v>
      </c>
      <c r="P73" t="n">
        <v>0</v>
      </c>
      <c r="Q73" t="n">
        <v>0</v>
      </c>
      <c r="R73" s="2" t="inlineStr"/>
    </row>
    <row r="74" ht="15" customHeight="1">
      <c r="A74" t="inlineStr">
        <is>
          <t>A 30944-2025</t>
        </is>
      </c>
      <c r="B74" s="1" t="n">
        <v>45832.41182870371</v>
      </c>
      <c r="C74" s="1" t="n">
        <v>45893</v>
      </c>
      <c r="D74" t="inlineStr">
        <is>
          <t>UPPSALA LÄN</t>
        </is>
      </c>
      <c r="E74" t="inlineStr">
        <is>
          <t>ÄLVKARLEBY</t>
        </is>
      </c>
      <c r="F74" t="inlineStr">
        <is>
          <t>Bergvik skog öst AB</t>
        </is>
      </c>
      <c r="G74" t="n">
        <v>3.4</v>
      </c>
      <c r="H74" t="n">
        <v>0</v>
      </c>
      <c r="I74" t="n">
        <v>0</v>
      </c>
      <c r="J74" t="n">
        <v>0</v>
      </c>
      <c r="K74" t="n">
        <v>0</v>
      </c>
      <c r="L74" t="n">
        <v>0</v>
      </c>
      <c r="M74" t="n">
        <v>0</v>
      </c>
      <c r="N74" t="n">
        <v>0</v>
      </c>
      <c r="O74" t="n">
        <v>0</v>
      </c>
      <c r="P74" t="n">
        <v>0</v>
      </c>
      <c r="Q74" t="n">
        <v>0</v>
      </c>
      <c r="R74" s="2" t="inlineStr"/>
    </row>
    <row r="75" ht="15" customHeight="1">
      <c r="A75" t="inlineStr">
        <is>
          <t>A 32187-2025</t>
        </is>
      </c>
      <c r="B75" s="1" t="n">
        <v>45835.56949074074</v>
      </c>
      <c r="C75" s="1" t="n">
        <v>45893</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19703-2025</t>
        </is>
      </c>
      <c r="B76" s="1" t="n">
        <v>45771</v>
      </c>
      <c r="C76" s="1" t="n">
        <v>45893</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32203-2025</t>
        </is>
      </c>
      <c r="B77" s="1" t="n">
        <v>45835.57951388889</v>
      </c>
      <c r="C77" s="1" t="n">
        <v>45893</v>
      </c>
      <c r="D77" t="inlineStr">
        <is>
          <t>UPPSALA LÄN</t>
        </is>
      </c>
      <c r="E77" t="inlineStr">
        <is>
          <t>ÄLVKARLEBY</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32186-2025</t>
        </is>
      </c>
      <c r="B78" s="1" t="n">
        <v>45835.5667824074</v>
      </c>
      <c r="C78" s="1" t="n">
        <v>45893</v>
      </c>
      <c r="D78" t="inlineStr">
        <is>
          <t>UPPSALA LÄN</t>
        </is>
      </c>
      <c r="E78" t="inlineStr">
        <is>
          <t>ÄLVKARLEBY</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32212-2025</t>
        </is>
      </c>
      <c r="B79" s="1" t="n">
        <v>45835.58509259259</v>
      </c>
      <c r="C79" s="1" t="n">
        <v>45893</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32221-2025</t>
        </is>
      </c>
      <c r="B80" s="1" t="n">
        <v>45835.5909837963</v>
      </c>
      <c r="C80" s="1" t="n">
        <v>45893</v>
      </c>
      <c r="D80" t="inlineStr">
        <is>
          <t>UPPSALA LÄN</t>
        </is>
      </c>
      <c r="E80" t="inlineStr">
        <is>
          <t>ÄLVKARLEBY</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50409-2020</t>
        </is>
      </c>
      <c r="B81" s="1" t="n">
        <v>44110</v>
      </c>
      <c r="C81" s="1" t="n">
        <v>45893</v>
      </c>
      <c r="D81" t="inlineStr">
        <is>
          <t>UPPSALA LÄN</t>
        </is>
      </c>
      <c r="E81" t="inlineStr">
        <is>
          <t>ÄLVKARLEBY</t>
        </is>
      </c>
      <c r="F81" t="inlineStr">
        <is>
          <t>Bergvik skog väst AB</t>
        </is>
      </c>
      <c r="G81" t="n">
        <v>4</v>
      </c>
      <c r="H81" t="n">
        <v>0</v>
      </c>
      <c r="I81" t="n">
        <v>0</v>
      </c>
      <c r="J81" t="n">
        <v>0</v>
      </c>
      <c r="K81" t="n">
        <v>0</v>
      </c>
      <c r="L81" t="n">
        <v>0</v>
      </c>
      <c r="M81" t="n">
        <v>0</v>
      </c>
      <c r="N81" t="n">
        <v>0</v>
      </c>
      <c r="O81" t="n">
        <v>0</v>
      </c>
      <c r="P81" t="n">
        <v>0</v>
      </c>
      <c r="Q81" t="n">
        <v>0</v>
      </c>
      <c r="R81" s="2" t="inlineStr"/>
    </row>
    <row r="82" ht="15" customHeight="1">
      <c r="A82" t="inlineStr">
        <is>
          <t>A 8030-2025</t>
        </is>
      </c>
      <c r="B82" s="1" t="n">
        <v>45707.59064814815</v>
      </c>
      <c r="C82" s="1" t="n">
        <v>45893</v>
      </c>
      <c r="D82" t="inlineStr">
        <is>
          <t>UPPSALA LÄN</t>
        </is>
      </c>
      <c r="E82" t="inlineStr">
        <is>
          <t>ÄLVKARLEBY</t>
        </is>
      </c>
      <c r="F82" t="inlineStr">
        <is>
          <t>Bergvik skog väst AB</t>
        </is>
      </c>
      <c r="G82" t="n">
        <v>3.6</v>
      </c>
      <c r="H82" t="n">
        <v>0</v>
      </c>
      <c r="I82" t="n">
        <v>0</v>
      </c>
      <c r="J82" t="n">
        <v>0</v>
      </c>
      <c r="K82" t="n">
        <v>0</v>
      </c>
      <c r="L82" t="n">
        <v>0</v>
      </c>
      <c r="M82" t="n">
        <v>0</v>
      </c>
      <c r="N82" t="n">
        <v>0</v>
      </c>
      <c r="O82" t="n">
        <v>0</v>
      </c>
      <c r="P82" t="n">
        <v>0</v>
      </c>
      <c r="Q82" t="n">
        <v>0</v>
      </c>
      <c r="R82" s="2" t="inlineStr"/>
    </row>
    <row r="83" ht="15" customHeight="1">
      <c r="A83" t="inlineStr">
        <is>
          <t>A 8031-2025</t>
        </is>
      </c>
      <c r="B83" s="1" t="n">
        <v>45707.59112268518</v>
      </c>
      <c r="C83" s="1" t="n">
        <v>45893</v>
      </c>
      <c r="D83" t="inlineStr">
        <is>
          <t>UPPSALA LÄN</t>
        </is>
      </c>
      <c r="E83" t="inlineStr">
        <is>
          <t>ÄLVKARLEBY</t>
        </is>
      </c>
      <c r="F83" t="inlineStr">
        <is>
          <t>Bergvik skog väst AB</t>
        </is>
      </c>
      <c r="G83" t="n">
        <v>4</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45893</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14590-2023</t>
        </is>
      </c>
      <c r="B85" s="1" t="n">
        <v>45013.54621527778</v>
      </c>
      <c r="C85" s="1" t="n">
        <v>45893</v>
      </c>
      <c r="D85" t="inlineStr">
        <is>
          <t>UPPSALA LÄN</t>
        </is>
      </c>
      <c r="E85" t="inlineStr">
        <is>
          <t>ÄLVKARLEBY</t>
        </is>
      </c>
      <c r="G85" t="n">
        <v>1.8</v>
      </c>
      <c r="H85" t="n">
        <v>0</v>
      </c>
      <c r="I85" t="n">
        <v>0</v>
      </c>
      <c r="J85" t="n">
        <v>0</v>
      </c>
      <c r="K85" t="n">
        <v>0</v>
      </c>
      <c r="L85" t="n">
        <v>0</v>
      </c>
      <c r="M85" t="n">
        <v>0</v>
      </c>
      <c r="N85" t="n">
        <v>0</v>
      </c>
      <c r="O85" t="n">
        <v>0</v>
      </c>
      <c r="P85" t="n">
        <v>0</v>
      </c>
      <c r="Q85" t="n">
        <v>0</v>
      </c>
      <c r="R85" s="2" t="inlineStr"/>
    </row>
    <row r="86" ht="15" customHeight="1">
      <c r="A86" t="inlineStr">
        <is>
          <t>A 11553-2021</t>
        </is>
      </c>
      <c r="B86" s="1" t="n">
        <v>44264.48725694444</v>
      </c>
      <c r="C86" s="1" t="n">
        <v>45893</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14004-2025</t>
        </is>
      </c>
      <c r="B87" s="1" t="n">
        <v>45740.2997337963</v>
      </c>
      <c r="C87" s="1" t="n">
        <v>45893</v>
      </c>
      <c r="D87" t="inlineStr">
        <is>
          <t>UPPSALA LÄN</t>
        </is>
      </c>
      <c r="E87" t="inlineStr">
        <is>
          <t>ÄLVKARLEBY</t>
        </is>
      </c>
      <c r="F87" t="inlineStr">
        <is>
          <t>Bergvik skog öst AB</t>
        </is>
      </c>
      <c r="G87" t="n">
        <v>10.1</v>
      </c>
      <c r="H87" t="n">
        <v>0</v>
      </c>
      <c r="I87" t="n">
        <v>0</v>
      </c>
      <c r="J87" t="n">
        <v>0</v>
      </c>
      <c r="K87" t="n">
        <v>0</v>
      </c>
      <c r="L87" t="n">
        <v>0</v>
      </c>
      <c r="M87" t="n">
        <v>0</v>
      </c>
      <c r="N87" t="n">
        <v>0</v>
      </c>
      <c r="O87" t="n">
        <v>0</v>
      </c>
      <c r="P87" t="n">
        <v>0</v>
      </c>
      <c r="Q87" t="n">
        <v>0</v>
      </c>
      <c r="R87" s="2" t="inlineStr"/>
    </row>
    <row r="88">
      <c r="A88" t="inlineStr">
        <is>
          <t>A 7286-2023</t>
        </is>
      </c>
      <c r="B88" s="1" t="n">
        <v>44970</v>
      </c>
      <c r="C88" s="1" t="n">
        <v>45893</v>
      </c>
      <c r="D88" t="inlineStr">
        <is>
          <t>UPPSALA LÄN</t>
        </is>
      </c>
      <c r="E88" t="inlineStr">
        <is>
          <t>ÄLVKARLEBY</t>
        </is>
      </c>
      <c r="F88" t="inlineStr">
        <is>
          <t>Bergvik skog väst AB</t>
        </is>
      </c>
      <c r="G88" t="n">
        <v>2.5</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2025-08-24T08:28:09Z</dcterms:created>
  <dcterms:modified xmlns:dcterms="http://purl.org/dc/terms/" xmlns:xsi="http://www.w3.org/2001/XMLSchema-instance" xsi:type="dcterms:W3CDTF">2025-08-24T08:28:09Z</dcterms:modified>
</cp:coreProperties>
</file>