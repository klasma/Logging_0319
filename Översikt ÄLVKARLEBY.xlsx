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46310</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46310</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46310</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46310</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46310</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46310</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46310</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46310</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46310</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46310</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46310</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46310</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46310</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46310</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46310</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46310</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46310</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46310</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46310</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46310</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46310</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46310</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61685-2025</t>
        </is>
      </c>
      <c r="B24" t="inlineStr">
        <is>
          <t>avverkningsanmälan</t>
        </is>
      </c>
      <c r="C24" t="inlineStr">
        <is>
          <t>Föryngringsavverkning</t>
        </is>
      </c>
      <c r="D24" s="1" t="n">
        <v>46002</v>
      </c>
      <c r="E24" s="1" t="n">
        <v>46310</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46310</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46310</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15739-2025</t>
        </is>
      </c>
      <c r="B27" t="inlineStr">
        <is>
          <t>avverkningsanmälan</t>
        </is>
      </c>
      <c r="C27" t="inlineStr">
        <is>
          <t>Föryngringsavverkning</t>
        </is>
      </c>
      <c r="D27" s="1" t="n">
        <v>45748</v>
      </c>
      <c r="E27" s="1" t="n">
        <v>46310</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46310</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46310</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46310</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46310</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7286-2023</t>
        </is>
      </c>
      <c r="B32" t="inlineStr">
        <is>
          <t>avverkningsanmälan</t>
        </is>
      </c>
      <c r="C32" t="inlineStr">
        <is>
          <t>Avverkning för annat ändamål</t>
        </is>
      </c>
      <c r="D32" s="1" t="n">
        <v>44970</v>
      </c>
      <c r="E32" s="1" t="n">
        <v>46310</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10455-2022</t>
        </is>
      </c>
      <c r="B33" t="inlineStr">
        <is>
          <t>avverkningsanmälan</t>
        </is>
      </c>
      <c r="C33" t="inlineStr">
        <is>
          <t>Föryngringsavverkning</t>
        </is>
      </c>
      <c r="D33" s="1" t="n">
        <v>44623</v>
      </c>
      <c r="E33" s="1" t="n">
        <v>46310</v>
      </c>
      <c r="F33" t="inlineStr">
        <is>
          <t>UPPSALA LÄN</t>
        </is>
      </c>
      <c r="G33" t="inlineStr">
        <is>
          <t>ÄLVKARLEBY</t>
        </is>
      </c>
      <c r="H33" t="inlineStr">
        <is>
          <t>Bergvik skog öst AB</t>
        </is>
      </c>
      <c r="I33" t="n">
        <v>1.1</v>
      </c>
      <c r="J33" t="n">
        <v>0</v>
      </c>
      <c r="K33" t="n">
        <v>0</v>
      </c>
      <c r="L33" t="n">
        <v>1</v>
      </c>
      <c r="M33" t="n">
        <v>0</v>
      </c>
      <c r="N33" t="n">
        <v>0</v>
      </c>
      <c r="O33" t="n">
        <v>0</v>
      </c>
      <c r="P33" t="n">
        <v>0</v>
      </c>
      <c r="Q33" t="n">
        <v>1</v>
      </c>
      <c r="R33" t="n">
        <v>0</v>
      </c>
      <c r="S33" t="n">
        <v>1</v>
      </c>
      <c r="T33" t="n">
        <v>4</v>
      </c>
      <c r="U33" t="n">
        <v>1</v>
      </c>
      <c r="V33" s="2" t="inlineStr">
        <is>
          <t>Sandviol</t>
        </is>
      </c>
      <c r="W33">
        <f>HYPERLINK("https://klasma.github.io/Logging_0319/artfynd/A 10455-2022 artfynd.xlsx", "A 10455-2022")</f>
        <v/>
      </c>
      <c r="X33">
        <f>HYPERLINK("https://klasma.github.io/Logging_0319/kartor/A 10455-2022 karta.png", "A 10455-2022")</f>
        <v/>
      </c>
      <c r="Y33">
        <f>HYPERLINK("https://klasma.github.io/Logging_0319/kartor_geotiff/A 10455-2022 georefererad karta.tif", "A 10455-2022")</f>
        <v/>
      </c>
      <c r="AA33">
        <f>HYPERLINK("https://klasma.github.io/Logging_0319/klagomål/A 10455-2022 FSC-klagomål.docx", "A 10455-2022")</f>
        <v/>
      </c>
      <c r="AB33">
        <f>HYPERLINK("https://klasma.github.io/Logging_0319/klagomålsmail/A 10455-2022 FSC-klagomål mail.docx", "A 10455-2022")</f>
        <v/>
      </c>
      <c r="AC33">
        <f>HYPERLINK("https://klasma.github.io/Logging_0319/tillsyn/A 10455-2022 tillsynsbegäran.docx", "A 10455-2022")</f>
        <v/>
      </c>
      <c r="AD33">
        <f>HYPERLINK("https://klasma.github.io/Logging_0319/tillsynsmail/A 10455-2022 tillsynsbegäran mail.docx", "A 10455-2022")</f>
        <v/>
      </c>
    </row>
    <row r="34" ht="15" customHeight="1">
      <c r="A34" t="inlineStr">
        <is>
          <t>A 51238-2025</t>
        </is>
      </c>
      <c r="B34" t="inlineStr">
        <is>
          <t>avverkningsanmälan</t>
        </is>
      </c>
      <c r="C34" t="inlineStr">
        <is>
          <t>Föryngringsavverkning</t>
        </is>
      </c>
      <c r="D34" s="1" t="n">
        <v>45947</v>
      </c>
      <c r="E34" s="1" t="n">
        <v>46310</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14127-2026</t>
        </is>
      </c>
      <c r="B35" t="inlineStr">
        <is>
          <t>avverkningsanmälan</t>
        </is>
      </c>
      <c r="C35" t="inlineStr">
        <is>
          <t>Föryngringsavverkning</t>
        </is>
      </c>
      <c r="D35" s="1" t="n">
        <v>46099</v>
      </c>
      <c r="E35" s="1" t="n">
        <v>46310</v>
      </c>
      <c r="F35" t="inlineStr">
        <is>
          <t>UPPSALA LÄN</t>
        </is>
      </c>
      <c r="G35" t="inlineStr">
        <is>
          <t>ÄLVKARLEBY</t>
        </is>
      </c>
      <c r="I35" t="n">
        <v>1.7</v>
      </c>
      <c r="J35" t="n">
        <v>0</v>
      </c>
      <c r="K35" t="n">
        <v>0</v>
      </c>
      <c r="L35" t="n">
        <v>0</v>
      </c>
      <c r="M35" t="n">
        <v>1</v>
      </c>
      <c r="N35" t="n">
        <v>0</v>
      </c>
      <c r="O35" t="n">
        <v>0</v>
      </c>
      <c r="P35" t="n">
        <v>0</v>
      </c>
      <c r="Q35" t="n">
        <v>1</v>
      </c>
      <c r="R35" t="n">
        <v>1</v>
      </c>
      <c r="S35" t="n">
        <v>1</v>
      </c>
      <c r="T35" t="n">
        <v>1</v>
      </c>
      <c r="U35" t="n">
        <v>0</v>
      </c>
      <c r="V35" s="2" t="inlineStr">
        <is>
          <t>Grangråticka</t>
        </is>
      </c>
      <c r="W35">
        <f>HYPERLINK("https://klasma.github.io/Logging_0319/artfynd/A 14127-2026 artfynd.xlsx", "A 14127-2026")</f>
        <v/>
      </c>
      <c r="X35">
        <f>HYPERLINK("https://klasma.github.io/Logging_0319/kartor/A 14127-2026 karta.png", "A 14127-2026")</f>
        <v/>
      </c>
      <c r="Y35">
        <f>HYPERLINK("https://klasma.github.io/Logging_0319/kartor_geotiff/A 14127-2026 georefererad karta.tif", "A 14127-2026")</f>
        <v/>
      </c>
      <c r="AA35">
        <f>HYPERLINK("https://klasma.github.io/Logging_0319/klagomål/A 14127-2026 FSC-klagomål.docx", "A 14127-2026")</f>
        <v/>
      </c>
      <c r="AB35">
        <f>HYPERLINK("https://klasma.github.io/Logging_0319/klagomålsmail/A 14127-2026 FSC-klagomål mail.docx", "A 14127-2026")</f>
        <v/>
      </c>
      <c r="AC35">
        <f>HYPERLINK("https://klasma.github.io/Logging_0319/tillsyn/A 14127-2026 tillsynsbegäran.docx", "A 14127-2026")</f>
        <v/>
      </c>
      <c r="AD35">
        <f>HYPERLINK("https://klasma.github.io/Logging_0319/tillsynsmail/A 14127-2026 tillsynsbegäran mail.docx", "A 14127-2026")</f>
        <v/>
      </c>
    </row>
    <row r="36" ht="15" customHeight="1">
      <c r="A36" t="inlineStr">
        <is>
          <t>A 57734-2025</t>
        </is>
      </c>
      <c r="B36" t="inlineStr">
        <is>
          <t>avverkningsanmälan</t>
        </is>
      </c>
      <c r="C36" t="inlineStr">
        <is>
          <t>Föryngringsavverkning</t>
        </is>
      </c>
      <c r="D36" s="1" t="n">
        <v>45981</v>
      </c>
      <c r="E36" s="1" t="n">
        <v>46310</v>
      </c>
      <c r="F36" t="inlineStr">
        <is>
          <t>UPPSALA LÄN</t>
        </is>
      </c>
      <c r="G36" t="inlineStr">
        <is>
          <t>ÄLVKARLEBY</t>
        </is>
      </c>
      <c r="H36" t="inlineStr">
        <is>
          <t>Bergvik skog väst AB</t>
        </is>
      </c>
      <c r="I36" t="n">
        <v>1.3</v>
      </c>
      <c r="J36" t="n">
        <v>1</v>
      </c>
      <c r="K36" t="n">
        <v>0</v>
      </c>
      <c r="L36" t="n">
        <v>0</v>
      </c>
      <c r="M36" t="n">
        <v>1</v>
      </c>
      <c r="N36" t="n">
        <v>0</v>
      </c>
      <c r="O36" t="n">
        <v>0</v>
      </c>
      <c r="P36" t="n">
        <v>0</v>
      </c>
      <c r="Q36" t="n">
        <v>1</v>
      </c>
      <c r="R36" t="n">
        <v>1</v>
      </c>
      <c r="S36" t="n">
        <v>1</v>
      </c>
      <c r="T36" t="n">
        <v>1</v>
      </c>
      <c r="U36" t="n">
        <v>0</v>
      </c>
      <c r="V36" s="2" t="inlineStr">
        <is>
          <t>Gölgroda</t>
        </is>
      </c>
      <c r="W36">
        <f>HYPERLINK("https://klasma.github.io/Logging_0319/artfynd/A 57734-2025 artfynd.xlsx", "A 57734-2025")</f>
        <v/>
      </c>
      <c r="X36">
        <f>HYPERLINK("https://klasma.github.io/Logging_0319/kartor/A 57734-2025 karta.png", "A 57734-2025")</f>
        <v/>
      </c>
      <c r="Y36">
        <f>HYPERLINK("https://klasma.github.io/Logging_0319/kartor_geotiff/A 57734-2025 georefererad karta.tif", "A 57734-2025")</f>
        <v/>
      </c>
      <c r="AA36">
        <f>HYPERLINK("https://klasma.github.io/Logging_0319/klagomål/A 57734-2025 FSC-klagomål.docx", "A 57734-2025")</f>
        <v/>
      </c>
      <c r="AB36">
        <f>HYPERLINK("https://klasma.github.io/Logging_0319/klagomålsmail/A 57734-2025 FSC-klagomål mail.docx", "A 57734-2025")</f>
        <v/>
      </c>
      <c r="AC36">
        <f>HYPERLINK("https://klasma.github.io/Logging_0319/tillsyn/A 57734-2025 tillsynsbegäran.docx", "A 57734-2025")</f>
        <v/>
      </c>
      <c r="AD36">
        <f>HYPERLINK("https://klasma.github.io/Logging_0319/tillsynsmail/A 57734-2025 tillsynsbegäran mail.docx", "A 57734-2025")</f>
        <v/>
      </c>
    </row>
    <row r="37" ht="15" customHeight="1">
      <c r="A37" t="inlineStr">
        <is>
          <t>A 43285-2023</t>
        </is>
      </c>
      <c r="B37" t="inlineStr">
        <is>
          <t>avverkningsanmälan</t>
        </is>
      </c>
      <c r="C37" t="inlineStr">
        <is>
          <t>Föryngringsavverkning</t>
        </is>
      </c>
      <c r="D37" s="1" t="n">
        <v>45183</v>
      </c>
      <c r="E37" s="1" t="n">
        <v>46310</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70017-2021</t>
        </is>
      </c>
      <c r="B38" t="inlineStr">
        <is>
          <t>avverkningsanmälan</t>
        </is>
      </c>
      <c r="C38" t="inlineStr">
        <is>
          <t>Föryngringsavverkning</t>
        </is>
      </c>
      <c r="D38" s="1" t="n">
        <v>44533</v>
      </c>
      <c r="E38" s="1" t="n">
        <v>46310</v>
      </c>
      <c r="F38" t="inlineStr">
        <is>
          <t>UPPSALA LÄN</t>
        </is>
      </c>
      <c r="G38" t="inlineStr">
        <is>
          <t>ÄLVKARLEBY</t>
        </is>
      </c>
      <c r="I38" t="n">
        <v>2.1</v>
      </c>
      <c r="J38" t="n">
        <v>1</v>
      </c>
      <c r="K38" t="n">
        <v>0</v>
      </c>
      <c r="L38" t="n">
        <v>0</v>
      </c>
      <c r="M38" t="n">
        <v>0</v>
      </c>
      <c r="N38" t="n">
        <v>0</v>
      </c>
      <c r="O38" t="n">
        <v>0</v>
      </c>
      <c r="P38" t="n">
        <v>0</v>
      </c>
      <c r="Q38" t="n">
        <v>0</v>
      </c>
      <c r="R38" t="n">
        <v>0</v>
      </c>
      <c r="S38" t="n">
        <v>1</v>
      </c>
      <c r="T38" t="n">
        <v>1</v>
      </c>
      <c r="U38" t="n">
        <v>1</v>
      </c>
      <c r="V38" s="2" t="inlineStr">
        <is>
          <t>Trana</t>
        </is>
      </c>
      <c r="W38">
        <f>HYPERLINK("https://klasma.github.io/Logging_0319/artfynd/A 70017-2021 artfynd.xlsx", "A 70017-2021")</f>
        <v/>
      </c>
      <c r="X38">
        <f>HYPERLINK("https://klasma.github.io/Logging_0319/kartor/A 70017-2021 karta.png", "A 70017-2021")</f>
        <v/>
      </c>
      <c r="Y38">
        <f>HYPERLINK("https://klasma.github.io/Logging_0319/kartor_geotiff/A 70017-2021 georefererad karta.tif", "A 70017-2021")</f>
        <v/>
      </c>
      <c r="AA38">
        <f>HYPERLINK("https://klasma.github.io/Logging_0319/klagomål/A 70017-2021 FSC-klagomål.docx", "A 70017-2021")</f>
        <v/>
      </c>
      <c r="AB38">
        <f>HYPERLINK("https://klasma.github.io/Logging_0319/klagomålsmail/A 70017-2021 FSC-klagomål mail.docx", "A 70017-2021")</f>
        <v/>
      </c>
      <c r="AC38">
        <f>HYPERLINK("https://klasma.github.io/Logging_0319/tillsyn/A 70017-2021 tillsynsbegäran.docx", "A 70017-2021")</f>
        <v/>
      </c>
      <c r="AD38">
        <f>HYPERLINK("https://klasma.github.io/Logging_0319/tillsynsmail/A 70017-2021 tillsynsbegäran mail.docx", "A 70017-2021")</f>
        <v/>
      </c>
      <c r="AE38">
        <f>HYPERLINK("https://klasma.github.io/Logging_0319/fåglar/A 70017-2021 prioriterade fågelarter.docx", "A 70017-2021")</f>
        <v/>
      </c>
    </row>
    <row r="39" ht="15" customHeight="1">
      <c r="A39" t="inlineStr">
        <is>
          <t>A 63004-2025</t>
        </is>
      </c>
      <c r="B39" t="inlineStr">
        <is>
          <t>avverkningsanmälan</t>
        </is>
      </c>
      <c r="C39" t="inlineStr">
        <is>
          <t>Föryngringsavverkning</t>
        </is>
      </c>
      <c r="D39" s="1" t="n">
        <v>46009</v>
      </c>
      <c r="E39" s="1" t="n">
        <v>46310</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1673-2026</t>
        </is>
      </c>
      <c r="B40" t="inlineStr">
        <is>
          <t>avverkningsanmälan</t>
        </is>
      </c>
      <c r="C40" t="inlineStr">
        <is>
          <t>Föryngringsavverkning</t>
        </is>
      </c>
      <c r="D40" s="1" t="n">
        <v>46034</v>
      </c>
      <c r="E40" s="1" t="n">
        <v>46310</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19303-2024</t>
        </is>
      </c>
      <c r="B41" t="inlineStr">
        <is>
          <t>avverkningsanmälan</t>
        </is>
      </c>
      <c r="C41" t="inlineStr">
        <is>
          <t>Föryngringsavverkning</t>
        </is>
      </c>
      <c r="D41" s="1" t="n">
        <v>45428</v>
      </c>
      <c r="E41" s="1" t="n">
        <v>46310</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46310</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46310</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19304-2024</t>
        </is>
      </c>
      <c r="B44" t="inlineStr">
        <is>
          <t>avverkningsanmälan</t>
        </is>
      </c>
      <c r="C44" t="inlineStr">
        <is>
          <t>Föryngringsavverkning</t>
        </is>
      </c>
      <c r="D44" s="1" t="n">
        <v>45428</v>
      </c>
      <c r="E44" s="1" t="n">
        <v>46310</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42379-2026</t>
        </is>
      </c>
      <c r="B45" t="inlineStr">
        <is>
          <t>avverkningsanmälan</t>
        </is>
      </c>
      <c r="C45" t="inlineStr">
        <is>
          <t>Avverkning för att bevara och utveckla /försöksver</t>
        </is>
      </c>
      <c r="D45" s="1" t="n">
        <v>46307</v>
      </c>
      <c r="E45" s="1" t="n">
        <v>46310</v>
      </c>
      <c r="F45" t="inlineStr">
        <is>
          <t>UPPSALA LÄN</t>
        </is>
      </c>
      <c r="G45" t="inlineStr">
        <is>
          <t>ÄLVKARLEBY</t>
        </is>
      </c>
      <c r="H45" t="inlineStr">
        <is>
          <t>Bergvik skog öst AB</t>
        </is>
      </c>
      <c r="I45" t="n">
        <v>2.6</v>
      </c>
      <c r="J45" t="n">
        <v>1</v>
      </c>
      <c r="K45" t="n">
        <v>0</v>
      </c>
      <c r="L45" t="n">
        <v>0</v>
      </c>
      <c r="M45" t="n">
        <v>0</v>
      </c>
      <c r="N45" t="n">
        <v>0</v>
      </c>
      <c r="O45" t="n">
        <v>0</v>
      </c>
      <c r="P45" t="n">
        <v>0</v>
      </c>
      <c r="Q45" t="n">
        <v>0</v>
      </c>
      <c r="R45" t="n">
        <v>0</v>
      </c>
      <c r="S45" t="n">
        <v>1</v>
      </c>
      <c r="T45" t="n">
        <v>1</v>
      </c>
      <c r="U45" t="n">
        <v>0</v>
      </c>
      <c r="V45" s="2" t="inlineStr">
        <is>
          <t>Lopplummer (aggregat)</t>
        </is>
      </c>
      <c r="W45">
        <f>HYPERLINK("https://klasma.github.io/Logging_0319/artfynd/A 42379-2026 artfynd.xlsx", "A 42379-2026")</f>
        <v/>
      </c>
      <c r="X45">
        <f>HYPERLINK("https://klasma.github.io/Logging_0319/kartor/A 42379-2026 karta.png", "A 42379-2026")</f>
        <v/>
      </c>
      <c r="Y45">
        <f>HYPERLINK("https://klasma.github.io/Logging_0319/kartor_geotiff/A 42379-2026 georefererad karta.tif", "A 42379-2026")</f>
        <v/>
      </c>
      <c r="AA45">
        <f>HYPERLINK("https://klasma.github.io/Logging_0319/klagomål/A 42379-2026 FSC-klagomål.docx", "A 42379-2026")</f>
        <v/>
      </c>
      <c r="AB45">
        <f>HYPERLINK("https://klasma.github.io/Logging_0319/klagomålsmail/A 42379-2026 FSC-klagomål mail.docx", "A 42379-2026")</f>
        <v/>
      </c>
      <c r="AC45">
        <f>HYPERLINK("https://klasma.github.io/Logging_0319/tillsyn/A 42379-2026 tillsynsbegäran.docx", "A 42379-2026")</f>
        <v/>
      </c>
      <c r="AD45">
        <f>HYPERLINK("https://klasma.github.io/Logging_0319/tillsynsmail/A 42379-2026 tillsynsbegäran mail.docx", "A 42379-2026")</f>
        <v/>
      </c>
    </row>
    <row r="46" ht="15" customHeight="1">
      <c r="A46" t="inlineStr">
        <is>
          <t>A 36217-2022</t>
        </is>
      </c>
      <c r="B46" t="inlineStr">
        <is>
          <t>avverkningsanmälan</t>
        </is>
      </c>
      <c r="C46" t="inlineStr">
        <is>
          <t>Avverkning för annat ändamål</t>
        </is>
      </c>
      <c r="D46" s="1" t="n">
        <v>44803</v>
      </c>
      <c r="E46" s="1" t="n">
        <v>46310</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46310</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14590-2023</t>
        </is>
      </c>
      <c r="B48" t="inlineStr">
        <is>
          <t>avverkningsanmälan</t>
        </is>
      </c>
      <c r="C48" t="inlineStr">
        <is>
          <t>Föryngringsavverkning</t>
        </is>
      </c>
      <c r="D48" s="1" t="n">
        <v>45013</v>
      </c>
      <c r="E48" s="1" t="n">
        <v>46310</v>
      </c>
      <c r="F48" t="inlineStr">
        <is>
          <t>UPPSALA LÄN</t>
        </is>
      </c>
      <c r="G48" t="inlineStr">
        <is>
          <t>ÄLVKARLEBY</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25330-2025</t>
        </is>
      </c>
      <c r="B49" t="inlineStr">
        <is>
          <t>avverkningsanmälan</t>
        </is>
      </c>
      <c r="C49" t="inlineStr">
        <is>
          <t>Föryngringsavverkning</t>
        </is>
      </c>
      <c r="D49" s="1" t="n">
        <v>45800</v>
      </c>
      <c r="E49" s="1" t="n">
        <v>46310</v>
      </c>
      <c r="F49" t="inlineStr">
        <is>
          <t>UPPSALA LÄN</t>
        </is>
      </c>
      <c r="G49" t="inlineStr">
        <is>
          <t>ÄLVKARLEBY</t>
        </is>
      </c>
      <c r="H49" t="inlineStr">
        <is>
          <t>Bergvik skog väst AB</t>
        </is>
      </c>
      <c r="I49" t="n">
        <v>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46310</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32187-2025</t>
        </is>
      </c>
      <c r="B51" t="inlineStr">
        <is>
          <t>avverkningsanmälan</t>
        </is>
      </c>
      <c r="C51" t="inlineStr">
        <is>
          <t>Föryngringsavverkning</t>
        </is>
      </c>
      <c r="D51" s="1" t="n">
        <v>45835</v>
      </c>
      <c r="E51" s="1" t="n">
        <v>46310</v>
      </c>
      <c r="F51" t="inlineStr">
        <is>
          <t>UPPSALA LÄN</t>
        </is>
      </c>
      <c r="G51" t="inlineStr">
        <is>
          <t>ÄLVKARLEBY</t>
        </is>
      </c>
      <c r="H51" t="inlineStr">
        <is>
          <t>Bergvik skog väst AB</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2183-2024</t>
        </is>
      </c>
      <c r="B52" t="inlineStr">
        <is>
          <t>avverkningsanmälan</t>
        </is>
      </c>
      <c r="C52" t="inlineStr">
        <is>
          <t>Föryngringsavverkning</t>
        </is>
      </c>
      <c r="D52" s="1" t="n">
        <v>45309</v>
      </c>
      <c r="E52" s="1" t="n">
        <v>46310</v>
      </c>
      <c r="F52" t="inlineStr">
        <is>
          <t>UPPSALA LÄN</t>
        </is>
      </c>
      <c r="G52" t="inlineStr">
        <is>
          <t>ÄLVKARLEBY</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46510-2025</t>
        </is>
      </c>
      <c r="B53" t="inlineStr">
        <is>
          <t>avverkningsanmälan</t>
        </is>
      </c>
      <c r="C53" t="inlineStr">
        <is>
          <t>Föryngringsavverkning</t>
        </is>
      </c>
      <c r="D53" s="1" t="n">
        <v>45925</v>
      </c>
      <c r="E53" s="1" t="n">
        <v>46310</v>
      </c>
      <c r="F53" t="inlineStr">
        <is>
          <t>UPPSALA LÄN</t>
        </is>
      </c>
      <c r="G53" t="inlineStr">
        <is>
          <t>ÄLVKARLEBY</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9394-2026</t>
        </is>
      </c>
      <c r="B54" t="inlineStr">
        <is>
          <t>avverkningsanmälan</t>
        </is>
      </c>
      <c r="C54" t="inlineStr">
        <is>
          <t>Föryngringsavverkning</t>
        </is>
      </c>
      <c r="D54" s="1" t="n">
        <v>46071</v>
      </c>
      <c r="E54" s="1" t="n">
        <v>46310</v>
      </c>
      <c r="F54" t="inlineStr">
        <is>
          <t>UPPSALA LÄN</t>
        </is>
      </c>
      <c r="G54" t="inlineStr">
        <is>
          <t>ÄLVKARLEBY</t>
        </is>
      </c>
      <c r="H54" t="inlineStr">
        <is>
          <t>Bergvik skog väst AB</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50398-2025</t>
        </is>
      </c>
      <c r="B55" t="inlineStr">
        <is>
          <t>avverkningsanmälan</t>
        </is>
      </c>
      <c r="C55" t="inlineStr">
        <is>
          <t>Avverkning för att bevara och utveckla /försöksver</t>
        </is>
      </c>
      <c r="D55" s="1" t="n">
        <v>45944</v>
      </c>
      <c r="E55" s="1" t="n">
        <v>46310</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t="n">
        <v>0</v>
      </c>
      <c r="V55" s="2" t="inlineStr"/>
    </row>
    <row r="56" ht="15" customHeight="1">
      <c r="A56" t="inlineStr">
        <is>
          <t>A 50371-2025</t>
        </is>
      </c>
      <c r="B56" t="inlineStr">
        <is>
          <t>avverkningsanmälan</t>
        </is>
      </c>
      <c r="C56" t="inlineStr">
        <is>
          <t>Föryngringsavverkning</t>
        </is>
      </c>
      <c r="D56" s="1" t="n">
        <v>45944</v>
      </c>
      <c r="E56" s="1" t="n">
        <v>46310</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51237-2025</t>
        </is>
      </c>
      <c r="B57" t="inlineStr">
        <is>
          <t>avverkningsanmälan</t>
        </is>
      </c>
      <c r="C57" t="inlineStr">
        <is>
          <t>Föryngringsavverkning</t>
        </is>
      </c>
      <c r="D57" s="1" t="n">
        <v>45947</v>
      </c>
      <c r="E57" s="1" t="n">
        <v>46310</v>
      </c>
      <c r="F57" t="inlineStr">
        <is>
          <t>UPPSALA LÄN</t>
        </is>
      </c>
      <c r="G57" t="inlineStr">
        <is>
          <t>ÄLVKARLEBY</t>
        </is>
      </c>
      <c r="H57" t="inlineStr">
        <is>
          <t>Bergvik skog väst AB</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36216-2022</t>
        </is>
      </c>
      <c r="B58" t="inlineStr">
        <is>
          <t>avverkningsanmälan</t>
        </is>
      </c>
      <c r="C58" t="inlineStr">
        <is>
          <t>Avverkning för annat ändamål</t>
        </is>
      </c>
      <c r="D58" s="1" t="n">
        <v>44803</v>
      </c>
      <c r="E58" s="1" t="n">
        <v>46310</v>
      </c>
      <c r="F58" t="inlineStr">
        <is>
          <t>UPPSALA LÄN</t>
        </is>
      </c>
      <c r="G58" t="inlineStr">
        <is>
          <t>ÄLVKARLEBY</t>
        </is>
      </c>
      <c r="H58" t="inlineStr">
        <is>
          <t>Bergvik skog väst AB</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11467-2026</t>
        </is>
      </c>
      <c r="B59" t="inlineStr">
        <is>
          <t>avverkningsanmälan</t>
        </is>
      </c>
      <c r="C59" t="inlineStr">
        <is>
          <t>Föryngringsavverkning</t>
        </is>
      </c>
      <c r="D59" s="1" t="n">
        <v>46083</v>
      </c>
      <c r="E59" s="1" t="n">
        <v>46310</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11848-2026</t>
        </is>
      </c>
      <c r="B60" t="inlineStr">
        <is>
          <t>avverkningsanmälan</t>
        </is>
      </c>
      <c r="C60" t="inlineStr">
        <is>
          <t>Föryngringsavverkning</t>
        </is>
      </c>
      <c r="D60" s="1" t="n">
        <v>46085</v>
      </c>
      <c r="E60" s="1" t="n">
        <v>46310</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46310</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46310</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46310</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46310</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14091-2026</t>
        </is>
      </c>
      <c r="B65" t="inlineStr">
        <is>
          <t>avverkningsanmälan</t>
        </is>
      </c>
      <c r="C65" t="inlineStr">
        <is>
          <t>Föryngringsavverkning</t>
        </is>
      </c>
      <c r="D65" s="1" t="n">
        <v>46099</v>
      </c>
      <c r="E65" s="1" t="n">
        <v>46310</v>
      </c>
      <c r="F65" t="inlineStr">
        <is>
          <t>UPPSALA LÄN</t>
        </is>
      </c>
      <c r="G65" t="inlineStr">
        <is>
          <t>ÄLVKARLEBY</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56861-2025</t>
        </is>
      </c>
      <c r="B66" t="inlineStr">
        <is>
          <t>avverkningsanmälan</t>
        </is>
      </c>
      <c r="C66" t="inlineStr">
        <is>
          <t>Avverkning för att bevara och utveckla /försöksver</t>
        </is>
      </c>
      <c r="D66" s="1" t="n">
        <v>45978</v>
      </c>
      <c r="E66" s="1" t="n">
        <v>46310</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46310</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9533-2025</t>
        </is>
      </c>
      <c r="B68" t="inlineStr">
        <is>
          <t>avverkningsanmälan</t>
        </is>
      </c>
      <c r="C68" t="inlineStr">
        <is>
          <t>Föryngringsavverkning</t>
        </is>
      </c>
      <c r="D68" s="1" t="n">
        <v>45715</v>
      </c>
      <c r="E68" s="1" t="n">
        <v>46310</v>
      </c>
      <c r="F68" t="inlineStr">
        <is>
          <t>UPPSALA LÄN</t>
        </is>
      </c>
      <c r="G68" t="inlineStr">
        <is>
          <t>ÄLVKARLEBY</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17851-2026</t>
        </is>
      </c>
      <c r="B69" t="inlineStr">
        <is>
          <t>avverkningsanmälan</t>
        </is>
      </c>
      <c r="C69" t="inlineStr">
        <is>
          <t>Föryngringsavverkning</t>
        </is>
      </c>
      <c r="D69" s="1" t="n">
        <v>46122</v>
      </c>
      <c r="E69" s="1" t="n">
        <v>46310</v>
      </c>
      <c r="F69" t="inlineStr">
        <is>
          <t>UPPSALA LÄN</t>
        </is>
      </c>
      <c r="G69" t="inlineStr">
        <is>
          <t>ÄLVKARLEBY</t>
        </is>
      </c>
      <c r="H69" t="inlineStr">
        <is>
          <t>Bergvik skog öst AB</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2184-2024</t>
        </is>
      </c>
      <c r="B70" t="inlineStr">
        <is>
          <t>avverkningsanmälan</t>
        </is>
      </c>
      <c r="C70" t="inlineStr">
        <is>
          <t>Föryngringsavverkning</t>
        </is>
      </c>
      <c r="D70" s="1" t="n">
        <v>45309</v>
      </c>
      <c r="E70" s="1" t="n">
        <v>46310</v>
      </c>
      <c r="F70" t="inlineStr">
        <is>
          <t>UPPSALA LÄN</t>
        </is>
      </c>
      <c r="G70" t="inlineStr">
        <is>
          <t>ÄLVKARLEBY</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46310</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46310</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61694-2025</t>
        </is>
      </c>
      <c r="B73" t="inlineStr">
        <is>
          <t>avverkningsanmälan</t>
        </is>
      </c>
      <c r="C73" t="inlineStr">
        <is>
          <t>Föryngringsavverkning</t>
        </is>
      </c>
      <c r="D73" s="1" t="n">
        <v>46002</v>
      </c>
      <c r="E73" s="1" t="n">
        <v>46310</v>
      </c>
      <c r="F73" t="inlineStr">
        <is>
          <t>UPPSALA LÄN</t>
        </is>
      </c>
      <c r="G73" t="inlineStr">
        <is>
          <t>ÄLVKARLEBY</t>
        </is>
      </c>
      <c r="H73" t="inlineStr">
        <is>
          <t>Bergvik skog öst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61691-2025</t>
        </is>
      </c>
      <c r="B74" t="inlineStr">
        <is>
          <t>avverkningsanmälan</t>
        </is>
      </c>
      <c r="C74" t="inlineStr">
        <is>
          <t>Föryngringsavverkning</t>
        </is>
      </c>
      <c r="D74" s="1" t="n">
        <v>46002</v>
      </c>
      <c r="E74" s="1" t="n">
        <v>46310</v>
      </c>
      <c r="F74" t="inlineStr">
        <is>
          <t>UPPSALA LÄN</t>
        </is>
      </c>
      <c r="G74" t="inlineStr">
        <is>
          <t>ÄLVKARLEBY</t>
        </is>
      </c>
      <c r="H74" t="inlineStr">
        <is>
          <t>Bergvik skog öst AB</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63365-2025</t>
        </is>
      </c>
      <c r="B75" t="inlineStr">
        <is>
          <t>avverkningsanmälan</t>
        </is>
      </c>
      <c r="C75" t="inlineStr">
        <is>
          <t>Föryngringsavverkning</t>
        </is>
      </c>
      <c r="D75" s="1" t="n">
        <v>46010</v>
      </c>
      <c r="E75" s="1" t="n">
        <v>46310</v>
      </c>
      <c r="F75" t="inlineStr">
        <is>
          <t>UPPSALA LÄN</t>
        </is>
      </c>
      <c r="G75" t="inlineStr">
        <is>
          <t>ÄLVKARLEBY</t>
        </is>
      </c>
      <c r="H75" t="inlineStr">
        <is>
          <t>Bergvik skog väst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61839-2025</t>
        </is>
      </c>
      <c r="B76" t="inlineStr">
        <is>
          <t>avverkningsanmälan</t>
        </is>
      </c>
      <c r="C76" t="inlineStr">
        <is>
          <t>Föryngringsavverkning</t>
        </is>
      </c>
      <c r="D76" s="1" t="n">
        <v>46003</v>
      </c>
      <c r="E76" s="1" t="n">
        <v>46310</v>
      </c>
      <c r="F76" t="inlineStr">
        <is>
          <t>UPPSALA LÄN</t>
        </is>
      </c>
      <c r="G76" t="inlineStr">
        <is>
          <t>ÄLVKARLEBY</t>
        </is>
      </c>
      <c r="H76" t="inlineStr">
        <is>
          <t>Bergvik skog väst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28670-2025</t>
        </is>
      </c>
      <c r="B77" t="inlineStr">
        <is>
          <t>avverkningsanmälan</t>
        </is>
      </c>
      <c r="C77" t="inlineStr">
        <is>
          <t>Föryngringsavverkning</t>
        </is>
      </c>
      <c r="D77" s="1" t="n">
        <v>45819</v>
      </c>
      <c r="E77" s="1" t="n">
        <v>46310</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16990-2022</t>
        </is>
      </c>
      <c r="B78" t="inlineStr">
        <is>
          <t>avverkningsanmälan</t>
        </is>
      </c>
      <c r="C78" t="inlineStr">
        <is>
          <t>Föryngringsavverkning</t>
        </is>
      </c>
      <c r="D78" s="1" t="n">
        <v>44676</v>
      </c>
      <c r="E78" s="1" t="n">
        <v>46310</v>
      </c>
      <c r="F78" t="inlineStr">
        <is>
          <t>UPPSALA LÄN</t>
        </is>
      </c>
      <c r="G78" t="inlineStr">
        <is>
          <t>ÄLVKARLEBY</t>
        </is>
      </c>
      <c r="H78" t="inlineStr">
        <is>
          <t>Bergvik skog väst AB</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38226-2023</t>
        </is>
      </c>
      <c r="B79" t="inlineStr">
        <is>
          <t>avverkningsanmälan</t>
        </is>
      </c>
      <c r="C79" t="inlineStr">
        <is>
          <t>Föryngringsavverkning</t>
        </is>
      </c>
      <c r="D79" s="1" t="n">
        <v>45161</v>
      </c>
      <c r="E79" s="1" t="n">
        <v>46310</v>
      </c>
      <c r="F79" t="inlineStr">
        <is>
          <t>UPPSALA LÄN</t>
        </is>
      </c>
      <c r="G79" t="inlineStr">
        <is>
          <t>ÄLVKARLEBY</t>
        </is>
      </c>
      <c r="H79" t="inlineStr">
        <is>
          <t>Bergvik skog väst AB</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45372-2024</t>
        </is>
      </c>
      <c r="B80" t="inlineStr">
        <is>
          <t>avverkningsanmälan</t>
        </is>
      </c>
      <c r="C80" t="inlineStr">
        <is>
          <t>Föryngringsavverkning</t>
        </is>
      </c>
      <c r="D80" s="1" t="n">
        <v>45576</v>
      </c>
      <c r="E80" s="1" t="n">
        <v>46310</v>
      </c>
      <c r="F80" t="inlineStr">
        <is>
          <t>UPPSALA LÄN</t>
        </is>
      </c>
      <c r="G80" t="inlineStr">
        <is>
          <t>ÄLVKARLEBY</t>
        </is>
      </c>
      <c r="H80" t="inlineStr">
        <is>
          <t>Bergvik skog väst AB</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41929-2024</t>
        </is>
      </c>
      <c r="B81" t="inlineStr">
        <is>
          <t>avverkningsanmälan</t>
        </is>
      </c>
      <c r="C81" t="inlineStr">
        <is>
          <t>Föryngringsavverkning</t>
        </is>
      </c>
      <c r="D81" s="1" t="n">
        <v>45561</v>
      </c>
      <c r="E81" s="1" t="n">
        <v>46310</v>
      </c>
      <c r="F81" t="inlineStr">
        <is>
          <t>UPPSALA LÄN</t>
        </is>
      </c>
      <c r="G81" t="inlineStr">
        <is>
          <t>ÄLVKARLEBY</t>
        </is>
      </c>
      <c r="H81" t="inlineStr">
        <is>
          <t>Bergvik skog väst AB</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30234-2026</t>
        </is>
      </c>
      <c r="B82" t="inlineStr">
        <is>
          <t>avverkningsanmälan</t>
        </is>
      </c>
      <c r="C82" t="inlineStr">
        <is>
          <t>Föryngringsavverkning</t>
        </is>
      </c>
      <c r="D82" s="1" t="n">
        <v>46206</v>
      </c>
      <c r="E82" s="1" t="n">
        <v>46310</v>
      </c>
      <c r="F82" t="inlineStr">
        <is>
          <t>UPPSALA LÄN</t>
        </is>
      </c>
      <c r="G82" t="inlineStr">
        <is>
          <t>ÄLVKARLEBY</t>
        </is>
      </c>
      <c r="H82" t="inlineStr">
        <is>
          <t>Bergvik skog öst AB</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26815-2022</t>
        </is>
      </c>
      <c r="B83" t="inlineStr">
        <is>
          <t>avverkningsanmälan</t>
        </is>
      </c>
      <c r="C83" t="inlineStr">
        <is>
          <t>Föryngringsavverkning</t>
        </is>
      </c>
      <c r="D83" s="1" t="n">
        <v>44740</v>
      </c>
      <c r="E83" s="1" t="n">
        <v>46310</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38636-2026</t>
        </is>
      </c>
      <c r="B84" t="inlineStr">
        <is>
          <t>avverkningsanmälan</t>
        </is>
      </c>
      <c r="C84" t="inlineStr">
        <is>
          <t>Föryngringsavverkning</t>
        </is>
      </c>
      <c r="D84" s="1" t="n">
        <v>46283</v>
      </c>
      <c r="E84" s="1" t="n">
        <v>46310</v>
      </c>
      <c r="F84" t="inlineStr">
        <is>
          <t>UPPSALA LÄN</t>
        </is>
      </c>
      <c r="G84" t="inlineStr">
        <is>
          <t>ÄLVKARLEBY</t>
        </is>
      </c>
      <c r="H84" t="inlineStr">
        <is>
          <t>Bergvik skog väst AB</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41272-2023</t>
        </is>
      </c>
      <c r="B85" t="inlineStr">
        <is>
          <t>avverkningsanmälan</t>
        </is>
      </c>
      <c r="C85" t="inlineStr">
        <is>
          <t>Föryngringsavverkning</t>
        </is>
      </c>
      <c r="D85" s="1" t="n">
        <v>45174</v>
      </c>
      <c r="E85" s="1" t="n">
        <v>46310</v>
      </c>
      <c r="F85" t="inlineStr">
        <is>
          <t>UPPSALA LÄN</t>
        </is>
      </c>
      <c r="G85" t="inlineStr">
        <is>
          <t>ÄLVKARLEBY</t>
        </is>
      </c>
      <c r="H85" t="inlineStr">
        <is>
          <t>Bergvik skog väst AB</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40057-2026</t>
        </is>
      </c>
      <c r="B86" t="inlineStr">
        <is>
          <t>avverkningsanmälan</t>
        </is>
      </c>
      <c r="C86" t="inlineStr">
        <is>
          <t>Föryngringsavverkning</t>
        </is>
      </c>
      <c r="D86" s="1" t="n">
        <v>46293</v>
      </c>
      <c r="E86" s="1" t="n">
        <v>46310</v>
      </c>
      <c r="F86" t="inlineStr">
        <is>
          <t>UPPSALA LÄN</t>
        </is>
      </c>
      <c r="G86" t="inlineStr">
        <is>
          <t>ÄLVKARLEBY</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38617-2026</t>
        </is>
      </c>
      <c r="B87" t="inlineStr">
        <is>
          <t>avverkningsanmälan</t>
        </is>
      </c>
      <c r="C87" t="inlineStr">
        <is>
          <t>Föryngringsavverkning</t>
        </is>
      </c>
      <c r="D87" s="1" t="n">
        <v>46283</v>
      </c>
      <c r="E87" s="1" t="n">
        <v>46310</v>
      </c>
      <c r="F87" t="inlineStr">
        <is>
          <t>UPPSALA LÄN</t>
        </is>
      </c>
      <c r="G87" t="inlineStr">
        <is>
          <t>ÄLVKARLEBY</t>
        </is>
      </c>
      <c r="H87" t="inlineStr">
        <is>
          <t>Bergvik skog väst AB</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45033-2025</t>
        </is>
      </c>
      <c r="B88" t="inlineStr">
        <is>
          <t>avverkningsanmälan</t>
        </is>
      </c>
      <c r="C88" t="inlineStr">
        <is>
          <t>Föryngringsavverkning</t>
        </is>
      </c>
      <c r="D88" s="1" t="n">
        <v>45918</v>
      </c>
      <c r="E88" s="1" t="n">
        <v>46310</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33485-2026</t>
        </is>
      </c>
      <c r="B89" t="inlineStr">
        <is>
          <t>avverkningsanmälan</t>
        </is>
      </c>
      <c r="C89" t="inlineStr">
        <is>
          <t>Föryngringsavverkning</t>
        </is>
      </c>
      <c r="D89" s="1" t="n">
        <v>46247</v>
      </c>
      <c r="E89" s="1" t="n">
        <v>46310</v>
      </c>
      <c r="F89" t="inlineStr">
        <is>
          <t>UPPSALA LÄN</t>
        </is>
      </c>
      <c r="G89" t="inlineStr">
        <is>
          <t>ÄLVKARLEBY</t>
        </is>
      </c>
      <c r="H89" t="inlineStr">
        <is>
          <t>Bergvik skog öst AB</t>
        </is>
      </c>
      <c r="I89" t="n">
        <v>4.3</v>
      </c>
      <c r="J89" t="n">
        <v>0</v>
      </c>
      <c r="K89" t="n">
        <v>0</v>
      </c>
      <c r="L89" t="n">
        <v>0</v>
      </c>
      <c r="M89" t="n">
        <v>0</v>
      </c>
      <c r="N89" t="n">
        <v>0</v>
      </c>
      <c r="O89" t="n">
        <v>0</v>
      </c>
      <c r="P89" t="n">
        <v>0</v>
      </c>
      <c r="Q89" t="n">
        <v>0</v>
      </c>
      <c r="R89" t="n">
        <v>0</v>
      </c>
      <c r="S89" t="n">
        <v>0</v>
      </c>
      <c r="T89" t="n">
        <v>0</v>
      </c>
      <c r="U89" t="n">
        <v>0</v>
      </c>
      <c r="V89" s="2" t="inlineStr"/>
    </row>
    <row r="90" ht="15" customHeight="1">
      <c r="A90" t="inlineStr">
        <is>
          <t>A 34575-2026</t>
        </is>
      </c>
      <c r="B90" t="inlineStr">
        <is>
          <t>avverkningsanmälan</t>
        </is>
      </c>
      <c r="C90" t="inlineStr">
        <is>
          <t>Föryngringsavverkning</t>
        </is>
      </c>
      <c r="D90" s="1" t="n">
        <v>46255</v>
      </c>
      <c r="E90" s="1" t="n">
        <v>46310</v>
      </c>
      <c r="F90" t="inlineStr">
        <is>
          <t>UPPSALA LÄN</t>
        </is>
      </c>
      <c r="G90" t="inlineStr">
        <is>
          <t>ÄLVKARLEBY</t>
        </is>
      </c>
      <c r="H90" t="inlineStr">
        <is>
          <t>Bergvik skog öst AB</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46310</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35356-2026</t>
        </is>
      </c>
      <c r="B92" t="inlineStr">
        <is>
          <t>avverkningsanmälan</t>
        </is>
      </c>
      <c r="C92" t="inlineStr">
        <is>
          <t>Föryngringsavverkning</t>
        </is>
      </c>
      <c r="D92" s="1" t="n">
        <v>46261</v>
      </c>
      <c r="E92" s="1" t="n">
        <v>46310</v>
      </c>
      <c r="F92" t="inlineStr">
        <is>
          <t>UPPSALA LÄN</t>
        </is>
      </c>
      <c r="G92" t="inlineStr">
        <is>
          <t>ÄLVKARLEBY</t>
        </is>
      </c>
      <c r="H92" t="inlineStr">
        <is>
          <t>Bergvik skog öst AB</t>
        </is>
      </c>
      <c r="I92" t="n">
        <v>2.1</v>
      </c>
      <c r="J92" t="n">
        <v>0</v>
      </c>
      <c r="K92" t="n">
        <v>0</v>
      </c>
      <c r="L92" t="n">
        <v>0</v>
      </c>
      <c r="M92" t="n">
        <v>0</v>
      </c>
      <c r="N92" t="n">
        <v>0</v>
      </c>
      <c r="O92" t="n">
        <v>0</v>
      </c>
      <c r="P92" t="n">
        <v>0</v>
      </c>
      <c r="Q92" t="n">
        <v>0</v>
      </c>
      <c r="R92" t="n">
        <v>0</v>
      </c>
      <c r="S92" t="n">
        <v>0</v>
      </c>
      <c r="T92" t="n">
        <v>0</v>
      </c>
      <c r="U92" t="n">
        <v>0</v>
      </c>
      <c r="V92" s="2" t="inlineStr"/>
    </row>
    <row r="93">
      <c r="A93" t="inlineStr">
        <is>
          <t>A 4134-2026</t>
        </is>
      </c>
      <c r="B93" t="inlineStr">
        <is>
          <t>avverkningsanmälan</t>
        </is>
      </c>
      <c r="C93" t="inlineStr">
        <is>
          <t>Föryngringsavverkning</t>
        </is>
      </c>
      <c r="D93" s="1" t="n">
        <v>46044</v>
      </c>
      <c r="E93" s="1" t="n">
        <v>46310</v>
      </c>
      <c r="F93" t="inlineStr">
        <is>
          <t>UPPSALA LÄN</t>
        </is>
      </c>
      <c r="G93" t="inlineStr">
        <is>
          <t>ÄLVKARLEBY</t>
        </is>
      </c>
      <c r="H93" t="inlineStr">
        <is>
          <t>Bergvik skog öst AB</t>
        </is>
      </c>
      <c r="I93" t="n">
        <v>5.1</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2026-10-15T02:05:10Z</dcterms:created>
  <dcterms:modified xmlns:dcterms="http://purl.org/dc/terms/" xmlns:xsi="http://www.w3.org/2001/XMLSchema-instance" xsi:type="dcterms:W3CDTF">2026-10-15T02:05:10Z</dcterms:modified>
</cp:coreProperties>
</file>