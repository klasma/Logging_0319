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46235</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46235</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46235</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46235</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46235</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46235</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46235</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46235</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46235</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46235</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46235</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46235</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39791-2021</t>
        </is>
      </c>
      <c r="B17" t="inlineStr">
        <is>
          <t>avverkningsanmälan</t>
        </is>
      </c>
      <c r="C17" t="inlineStr">
        <is>
          <t>Avverkning för annat ändamål</t>
        </is>
      </c>
      <c r="D17" s="1" t="n">
        <v>44417</v>
      </c>
      <c r="E17" s="1" t="n">
        <v>46235</v>
      </c>
      <c r="F17" t="inlineStr">
        <is>
          <t>UPPSALA LÄN</t>
        </is>
      </c>
      <c r="G17" t="inlineStr">
        <is>
          <t>ÄLVKARLEBY</t>
        </is>
      </c>
      <c r="I17" t="n">
        <v>1.8</v>
      </c>
      <c r="J17" t="n">
        <v>3</v>
      </c>
      <c r="K17" t="n">
        <v>2</v>
      </c>
      <c r="L17" t="n">
        <v>1</v>
      </c>
      <c r="M17" t="n">
        <v>0</v>
      </c>
      <c r="N17" t="n">
        <v>0</v>
      </c>
      <c r="O17" t="n">
        <v>0</v>
      </c>
      <c r="P17" t="n">
        <v>0</v>
      </c>
      <c r="Q17" t="n">
        <v>1</v>
      </c>
      <c r="R17" t="n">
        <v>0</v>
      </c>
      <c r="S17" t="n">
        <v>4</v>
      </c>
      <c r="T17" t="n">
        <v>7</v>
      </c>
      <c r="U17" t="n">
        <v>5</v>
      </c>
      <c r="V17" s="2" t="inlineStr">
        <is>
          <t>Klasefibbla
Skogsknipprot
Tvåblad
Blåsippa</t>
        </is>
      </c>
      <c r="W17">
        <f>HYPERLINK("https://klasma.github.io/Logging_0319/artfynd/A 39791-2021 artfynd.xlsx", "A 39791-2021")</f>
        <v/>
      </c>
      <c r="X17">
        <f>HYPERLINK("https://klasma.github.io/Logging_0319/kartor/A 39791-2021 karta.png", "A 39791-2021")</f>
        <v/>
      </c>
      <c r="Y17">
        <f>HYPERLINK("https://klasma.github.io/Logging_0319/kartor_geotiff/A 39791-2021 georefererad karta.tif", "A 39791-2021")</f>
        <v/>
      </c>
      <c r="AA17">
        <f>HYPERLINK("https://klasma.github.io/Logging_0319/klagomål/A 39791-2021 FSC-klagomål.docx", "A 39791-2021")</f>
        <v/>
      </c>
      <c r="AB17">
        <f>HYPERLINK("https://klasma.github.io/Logging_0319/klagomålsmail/A 39791-2021 FSC-klagomål mail.docx", "A 39791-2021")</f>
        <v/>
      </c>
      <c r="AC17">
        <f>HYPERLINK("https://klasma.github.io/Logging_0319/tillsyn/A 39791-2021 tillsynsbegäran.docx", "A 39791-2021")</f>
        <v/>
      </c>
      <c r="AD17">
        <f>HYPERLINK("https://klasma.github.io/Logging_0319/tillsynsmail/A 39791-2021 tillsynsbegäran mail.docx", "A 39791-2021")</f>
        <v/>
      </c>
    </row>
    <row r="18" ht="15" customHeight="1">
      <c r="A18" t="inlineStr">
        <is>
          <t>A 58480-2025</t>
        </is>
      </c>
      <c r="B18" t="inlineStr">
        <is>
          <t>avverkningsanmälan</t>
        </is>
      </c>
      <c r="C18" t="inlineStr">
        <is>
          <t>Föryngringsavverkning</t>
        </is>
      </c>
      <c r="D18" s="1" t="n">
        <v>45985</v>
      </c>
      <c r="E18" s="1" t="n">
        <v>46235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46235</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46235</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46235</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46235</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46235</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46235</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46235</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46235</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46235</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46235</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46235</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51238-2025</t>
        </is>
      </c>
      <c r="B30" t="inlineStr">
        <is>
          <t>avverkningsanmälan</t>
        </is>
      </c>
      <c r="C30" t="inlineStr">
        <is>
          <t>Föryngringsavverkning</t>
        </is>
      </c>
      <c r="D30" s="1" t="n">
        <v>45947</v>
      </c>
      <c r="E30" s="1" t="n">
        <v>46235</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t="n">
        <v>0</v>
      </c>
      <c r="V30" s="2" t="inlineStr">
        <is>
          <t>Lopplummer (aggregat)</t>
        </is>
      </c>
      <c r="W30">
        <f>HYPERLINK("https://klasma.github.io/Logging_0319/artfynd/A 51238-2025 artfynd.xlsx", "A 51238-2025")</f>
        <v/>
      </c>
      <c r="X30">
        <f>HYPERLINK("https://klasma.github.io/Logging_0319/kartor/A 51238-2025 karta.png", "A 51238-2025")</f>
        <v/>
      </c>
      <c r="Y30">
        <f>HYPERLINK("https://klasma.github.io/Logging_0319/kartor_geotiff/A 51238-2025 georefererad karta.tif", "A 51238-2025")</f>
        <v/>
      </c>
      <c r="AA30">
        <f>HYPERLINK("https://klasma.github.io/Logging_0319/klagomål/A 51238-2025 FSC-klagomål.docx", "A 51238-2025")</f>
        <v/>
      </c>
      <c r="AB30">
        <f>HYPERLINK("https://klasma.github.io/Logging_0319/klagomålsmail/A 51238-2025 FSC-klagomål mail.docx", "A 51238-2025")</f>
        <v/>
      </c>
      <c r="AC30">
        <f>HYPERLINK("https://klasma.github.io/Logging_0319/tillsyn/A 51238-2025 tillsynsbegäran.docx", "A 51238-2025")</f>
        <v/>
      </c>
      <c r="AD30">
        <f>HYPERLINK("https://klasma.github.io/Logging_0319/tillsynsmail/A 51238-2025 tillsynsbegäran mail.docx", "A 51238-2025")</f>
        <v/>
      </c>
    </row>
    <row r="31" ht="15" customHeight="1">
      <c r="A31" t="inlineStr">
        <is>
          <t>A 7286-2023</t>
        </is>
      </c>
      <c r="B31" t="inlineStr">
        <is>
          <t>avverkningsanmälan</t>
        </is>
      </c>
      <c r="C31" t="inlineStr">
        <is>
          <t>Avverkning för annat ändamål</t>
        </is>
      </c>
      <c r="D31" s="1" t="n">
        <v>44970</v>
      </c>
      <c r="E31" s="1" t="n">
        <v>46235</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57734-2025</t>
        </is>
      </c>
      <c r="B32" t="inlineStr">
        <is>
          <t>avverkningsanmälan</t>
        </is>
      </c>
      <c r="C32" t="inlineStr">
        <is>
          <t>Föryngringsavverkning</t>
        </is>
      </c>
      <c r="D32" s="1" t="n">
        <v>45981</v>
      </c>
      <c r="E32" s="1" t="n">
        <v>46235</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10455-2022</t>
        </is>
      </c>
      <c r="B33" t="inlineStr">
        <is>
          <t>avverkningsanmälan</t>
        </is>
      </c>
      <c r="C33" t="inlineStr">
        <is>
          <t>Föryngringsavverkning</t>
        </is>
      </c>
      <c r="D33" s="1" t="n">
        <v>44623</v>
      </c>
      <c r="E33" s="1" t="n">
        <v>46235</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30236-2026</t>
        </is>
      </c>
      <c r="B34" t="inlineStr">
        <is>
          <t>avverkningsanmälan</t>
        </is>
      </c>
      <c r="C34" t="inlineStr">
        <is>
          <t>Föryngringsavverkning</t>
        </is>
      </c>
      <c r="D34" s="1" t="n">
        <v>46206</v>
      </c>
      <c r="E34" s="1" t="n">
        <v>46235</v>
      </c>
      <c r="F34" t="inlineStr">
        <is>
          <t>UPPSALA LÄN</t>
        </is>
      </c>
      <c r="G34" t="inlineStr">
        <is>
          <t>ÄLVKARLEBY</t>
        </is>
      </c>
      <c r="H34" t="inlineStr">
        <is>
          <t>Bergvik skog öst AB</t>
        </is>
      </c>
      <c r="I34" t="n">
        <v>4.8</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30236-2026 artfynd.xlsx", "A 30236-2026")</f>
        <v/>
      </c>
      <c r="X34">
        <f>HYPERLINK("https://klasma.github.io/Logging_0319/kartor/A 30236-2026 karta.png", "A 30236-2026")</f>
        <v/>
      </c>
      <c r="Y34">
        <f>HYPERLINK("https://klasma.github.io/Logging_0319/kartor_geotiff/A 30236-2026 georefererad karta.tif", "A 30236-2026")</f>
        <v/>
      </c>
      <c r="AA34">
        <f>HYPERLINK("https://klasma.github.io/Logging_0319/klagomål/A 30236-2026 FSC-klagomål.docx", "A 30236-2026")</f>
        <v/>
      </c>
      <c r="AB34">
        <f>HYPERLINK("https://klasma.github.io/Logging_0319/klagomålsmail/A 30236-2026 FSC-klagomål mail.docx", "A 30236-2026")</f>
        <v/>
      </c>
      <c r="AC34">
        <f>HYPERLINK("https://klasma.github.io/Logging_0319/tillsyn/A 30236-2026 tillsynsbegäran.docx", "A 30236-2026")</f>
        <v/>
      </c>
      <c r="AD34">
        <f>HYPERLINK("https://klasma.github.io/Logging_0319/tillsynsmail/A 30236-2026 tillsynsbegäran mail.docx", "A 30236-2026")</f>
        <v/>
      </c>
    </row>
    <row r="35" ht="15" customHeight="1">
      <c r="A35" t="inlineStr">
        <is>
          <t>A 30233-2026</t>
        </is>
      </c>
      <c r="B35" t="inlineStr">
        <is>
          <t>avverkningsanmälan</t>
        </is>
      </c>
      <c r="C35" t="inlineStr">
        <is>
          <t>Föryngringsavverkning</t>
        </is>
      </c>
      <c r="D35" s="1" t="n">
        <v>46206</v>
      </c>
      <c r="E35" s="1" t="n">
        <v>46235</v>
      </c>
      <c r="F35" t="inlineStr">
        <is>
          <t>UPPSALA LÄN</t>
        </is>
      </c>
      <c r="G35" t="inlineStr">
        <is>
          <t>ÄLVKARLEBY</t>
        </is>
      </c>
      <c r="H35" t="inlineStr">
        <is>
          <t>Bergvik skog öst AB</t>
        </is>
      </c>
      <c r="I35" t="n">
        <v>6.8</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HYPERLINK("https://klasma.github.io/Logging_0319/artfynd/A 30233-2026 artfynd.xlsx", "A 30233-2026")</f>
        <v/>
      </c>
      <c r="X35">
        <f>HYPERLINK("https://klasma.github.io/Logging_0319/kartor/A 30233-2026 karta.png", "A 30233-2026")</f>
        <v/>
      </c>
      <c r="Y35">
        <f>HYPERLINK("https://klasma.github.io/Logging_0319/kartor_geotiff/A 30233-2026 georefererad karta.tif", "A 30233-2026")</f>
        <v/>
      </c>
      <c r="AA35">
        <f>HYPERLINK("https://klasma.github.io/Logging_0319/klagomål/A 30233-2026 FSC-klagomål.docx", "A 30233-2026")</f>
        <v/>
      </c>
      <c r="AB35">
        <f>HYPERLINK("https://klasma.github.io/Logging_0319/klagomålsmail/A 30233-2026 FSC-klagomål mail.docx", "A 30233-2026")</f>
        <v/>
      </c>
      <c r="AC35">
        <f>HYPERLINK("https://klasma.github.io/Logging_0319/tillsyn/A 30233-2026 tillsynsbegäran.docx", "A 30233-2026")</f>
        <v/>
      </c>
      <c r="AD35">
        <f>HYPERLINK("https://klasma.github.io/Logging_0319/tillsynsmail/A 30233-2026 tillsynsbegäran mail.docx", "A 30233-2026")</f>
        <v/>
      </c>
    </row>
    <row r="36" ht="15" customHeight="1">
      <c r="A36" t="inlineStr">
        <is>
          <t>A 59993-2025</t>
        </is>
      </c>
      <c r="B36" t="inlineStr">
        <is>
          <t>avverkningsanmälan</t>
        </is>
      </c>
      <c r="C36" t="inlineStr">
        <is>
          <t>Avverkning för att bevara och utveckla /försöksver</t>
        </is>
      </c>
      <c r="D36" s="1" t="n">
        <v>45993</v>
      </c>
      <c r="E36" s="1" t="n">
        <v>46235</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46235</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46235</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46235</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46235</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46235</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46235</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14127-2026</t>
        </is>
      </c>
      <c r="B43" t="inlineStr">
        <is>
          <t>avverkningsanmälan</t>
        </is>
      </c>
      <c r="C43" t="inlineStr">
        <is>
          <t>Föryngringsavverkning</t>
        </is>
      </c>
      <c r="D43" s="1" t="n">
        <v>46099</v>
      </c>
      <c r="E43" s="1" t="n">
        <v>46235</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43285-2023</t>
        </is>
      </c>
      <c r="B44" t="inlineStr">
        <is>
          <t>avverkningsanmälan</t>
        </is>
      </c>
      <c r="C44" t="inlineStr">
        <is>
          <t>Föryngringsavverkning</t>
        </is>
      </c>
      <c r="D44" s="1" t="n">
        <v>45183</v>
      </c>
      <c r="E44" s="1" t="n">
        <v>46235</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46235</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36217-2022</t>
        </is>
      </c>
      <c r="B46" t="inlineStr">
        <is>
          <t>avverkningsanmälan</t>
        </is>
      </c>
      <c r="C46" t="inlineStr">
        <is>
          <t>Avverkning för annat ändamål</t>
        </is>
      </c>
      <c r="D46" s="1" t="n">
        <v>44803</v>
      </c>
      <c r="E46" s="1" t="n">
        <v>46235</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46235</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2184-2024</t>
        </is>
      </c>
      <c r="B48" t="inlineStr">
        <is>
          <t>avverkningsanmälan</t>
        </is>
      </c>
      <c r="C48" t="inlineStr">
        <is>
          <t>Föryngringsavverkning</t>
        </is>
      </c>
      <c r="D48" s="1" t="n">
        <v>45309</v>
      </c>
      <c r="E48" s="1" t="n">
        <v>46235</v>
      </c>
      <c r="F48" t="inlineStr">
        <is>
          <t>UPPSALA LÄN</t>
        </is>
      </c>
      <c r="G48" t="inlineStr">
        <is>
          <t>ÄLVKARLEBY</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41276-2023</t>
        </is>
      </c>
      <c r="B49" t="inlineStr">
        <is>
          <t>avverkningsanmälan</t>
        </is>
      </c>
      <c r="C49" t="inlineStr">
        <is>
          <t>Föryngringsavverkning</t>
        </is>
      </c>
      <c r="D49" s="1" t="n">
        <v>45174</v>
      </c>
      <c r="E49" s="1" t="n">
        <v>46235</v>
      </c>
      <c r="F49" t="inlineStr">
        <is>
          <t>UPPSALA LÄN</t>
        </is>
      </c>
      <c r="G49" t="inlineStr">
        <is>
          <t>ÄLVKARLEBY</t>
        </is>
      </c>
      <c r="H49" t="inlineStr">
        <is>
          <t>Bergvik skog väst AB</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46235</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46235</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41929-2024</t>
        </is>
      </c>
      <c r="B52" t="inlineStr">
        <is>
          <t>avverkningsanmälan</t>
        </is>
      </c>
      <c r="C52" t="inlineStr">
        <is>
          <t>Föryngringsavverkning</t>
        </is>
      </c>
      <c r="D52" s="1" t="n">
        <v>45561</v>
      </c>
      <c r="E52" s="1" t="n">
        <v>46235</v>
      </c>
      <c r="F52" t="inlineStr">
        <is>
          <t>UPPSALA LÄN</t>
        </is>
      </c>
      <c r="G52" t="inlineStr">
        <is>
          <t>ÄLVKARLEBY</t>
        </is>
      </c>
      <c r="H52" t="inlineStr">
        <is>
          <t>Bergvik skog väst AB</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46235</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46235</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46235</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46235</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46235</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28670-2025</t>
        </is>
      </c>
      <c r="B58" t="inlineStr">
        <is>
          <t>avverkningsanmälan</t>
        </is>
      </c>
      <c r="C58" t="inlineStr">
        <is>
          <t>Föryngringsavverkning</t>
        </is>
      </c>
      <c r="D58" s="1" t="n">
        <v>45819</v>
      </c>
      <c r="E58" s="1" t="n">
        <v>46235</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46235</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46235</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46235</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46235</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46235</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46235</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46235</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46235</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46235</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46235</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58497-2025</t>
        </is>
      </c>
      <c r="B69" t="inlineStr">
        <is>
          <t>avverkningsanmälan</t>
        </is>
      </c>
      <c r="C69" t="inlineStr">
        <is>
          <t>Föryngringsavverkning</t>
        </is>
      </c>
      <c r="D69" s="1" t="n">
        <v>45985</v>
      </c>
      <c r="E69" s="1" t="n">
        <v>46235</v>
      </c>
      <c r="F69" t="inlineStr">
        <is>
          <t>UPPSALA LÄN</t>
        </is>
      </c>
      <c r="G69" t="inlineStr">
        <is>
          <t>ÄLVKARLEBY</t>
        </is>
      </c>
      <c r="H69" t="inlineStr">
        <is>
          <t>Bergvik skog väst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30234-2026</t>
        </is>
      </c>
      <c r="B70" t="inlineStr">
        <is>
          <t>avverkningsanmälan</t>
        </is>
      </c>
      <c r="C70" t="inlineStr">
        <is>
          <t>Föryngringsavverkning</t>
        </is>
      </c>
      <c r="D70" s="1" t="n">
        <v>46206</v>
      </c>
      <c r="E70" s="1" t="n">
        <v>46235</v>
      </c>
      <c r="F70" t="inlineStr">
        <is>
          <t>UPPSALA LÄN</t>
        </is>
      </c>
      <c r="G70" t="inlineStr">
        <is>
          <t>ÄLVKARLEBY</t>
        </is>
      </c>
      <c r="H70" t="inlineStr">
        <is>
          <t>Bergvik skog öst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46235</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30238-2026</t>
        </is>
      </c>
      <c r="B72" t="inlineStr">
        <is>
          <t>avverkningsanmälan</t>
        </is>
      </c>
      <c r="C72" t="inlineStr">
        <is>
          <t>Föryngringsavverkning</t>
        </is>
      </c>
      <c r="D72" s="1" t="n">
        <v>46206</v>
      </c>
      <c r="E72" s="1" t="n">
        <v>46235</v>
      </c>
      <c r="F72" t="inlineStr">
        <is>
          <t>UPPSALA LÄN</t>
        </is>
      </c>
      <c r="G72" t="inlineStr">
        <is>
          <t>ÄLVKARLEBY</t>
        </is>
      </c>
      <c r="H72" t="inlineStr">
        <is>
          <t>Bergvik skog öst AB</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46235</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46235</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46235</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46235</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46235</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46235</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46235</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14590-2023</t>
        </is>
      </c>
      <c r="B80" t="inlineStr">
        <is>
          <t>avverkningsanmälan</t>
        </is>
      </c>
      <c r="C80" t="inlineStr">
        <is>
          <t>Föryngringsavverkning</t>
        </is>
      </c>
      <c r="D80" s="1" t="n">
        <v>45013</v>
      </c>
      <c r="E80" s="1" t="n">
        <v>46235</v>
      </c>
      <c r="F80" t="inlineStr">
        <is>
          <t>UPPSALA LÄN</t>
        </is>
      </c>
      <c r="G80" t="inlineStr">
        <is>
          <t>ÄLVKARLEBY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41272-2023</t>
        </is>
      </c>
      <c r="B81" t="inlineStr">
        <is>
          <t>avverkningsanmälan</t>
        </is>
      </c>
      <c r="C81" t="inlineStr">
        <is>
          <t>Föryngringsavverkning</t>
        </is>
      </c>
      <c r="D81" s="1" t="n">
        <v>45174</v>
      </c>
      <c r="E81" s="1" t="n">
        <v>46235</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46235</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9394-2026</t>
        </is>
      </c>
      <c r="B83" t="inlineStr">
        <is>
          <t>avverkningsanmälan</t>
        </is>
      </c>
      <c r="C83" t="inlineStr">
        <is>
          <t>Föryngringsavverkning</t>
        </is>
      </c>
      <c r="D83" s="1" t="n">
        <v>46071</v>
      </c>
      <c r="E83" s="1" t="n">
        <v>46235</v>
      </c>
      <c r="F83" t="inlineStr">
        <is>
          <t>UPPSALA LÄN</t>
        </is>
      </c>
      <c r="G83" t="inlineStr">
        <is>
          <t>ÄLVKARLEBY</t>
        </is>
      </c>
      <c r="H83" t="inlineStr">
        <is>
          <t>Bergvik skog väst AB</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46235</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11848-2026</t>
        </is>
      </c>
      <c r="B85" t="inlineStr">
        <is>
          <t>avverkningsanmälan</t>
        </is>
      </c>
      <c r="C85" t="inlineStr">
        <is>
          <t>Föryngringsavverkning</t>
        </is>
      </c>
      <c r="D85" s="1" t="n">
        <v>46085</v>
      </c>
      <c r="E85" s="1" t="n">
        <v>46235</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46235</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9533-2025</t>
        </is>
      </c>
      <c r="B87" t="inlineStr">
        <is>
          <t>avverkningsanmälan</t>
        </is>
      </c>
      <c r="C87" t="inlineStr">
        <is>
          <t>Föryngringsavverkning</t>
        </is>
      </c>
      <c r="D87" s="1" t="n">
        <v>45715</v>
      </c>
      <c r="E87" s="1" t="n">
        <v>46235</v>
      </c>
      <c r="F87" t="inlineStr">
        <is>
          <t>UPPSALA LÄN</t>
        </is>
      </c>
      <c r="G87" t="inlineStr">
        <is>
          <t>ÄLVKARLEBY</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17851-2026</t>
        </is>
      </c>
      <c r="B88" t="inlineStr">
        <is>
          <t>avverkningsanmälan</t>
        </is>
      </c>
      <c r="C88" t="inlineStr">
        <is>
          <t>Föryngringsavverkning</t>
        </is>
      </c>
      <c r="D88" s="1" t="n">
        <v>46122</v>
      </c>
      <c r="E88" s="1" t="n">
        <v>46235</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46113-2023</t>
        </is>
      </c>
      <c r="B89" t="inlineStr">
        <is>
          <t>avverkningsanmälan</t>
        </is>
      </c>
      <c r="C89" t="inlineStr">
        <is>
          <t>Föryngringsavverkning</t>
        </is>
      </c>
      <c r="D89" s="1" t="n">
        <v>45196</v>
      </c>
      <c r="E89" s="1" t="n">
        <v>46235</v>
      </c>
      <c r="F89" t="inlineStr">
        <is>
          <t>UPPSALA LÄN</t>
        </is>
      </c>
      <c r="G89" t="inlineStr">
        <is>
          <t>ÄLVKARLEBY</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46235</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46235</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2026-08-01T01:50:29Z</dcterms:created>
  <dcterms:modified xmlns:dcterms="http://purl.org/dc/terms/" xmlns:xsi="http://www.w3.org/2001/XMLSchema-instance" xsi:type="dcterms:W3CDTF">2026-08-01T01:50:29Z</dcterms:modified>
</cp:coreProperties>
</file>