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45923</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45923</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45923</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3954-2025</t>
        </is>
      </c>
      <c r="B6" s="1" t="n">
        <v>45684</v>
      </c>
      <c r="C6" s="1" t="n">
        <v>45923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55561-2024</t>
        </is>
      </c>
      <c r="B7" s="1" t="n">
        <v>45622</v>
      </c>
      <c r="C7" s="1" t="n">
        <v>45923</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27330-2025</t>
        </is>
      </c>
      <c r="B8" s="1" t="n">
        <v>45812.60934027778</v>
      </c>
      <c r="C8" s="1" t="n">
        <v>45923</v>
      </c>
      <c r="D8" t="inlineStr">
        <is>
          <t>UPPSALA LÄN</t>
        </is>
      </c>
      <c r="E8" t="inlineStr">
        <is>
          <t>ÄLVKARLEBY</t>
        </is>
      </c>
      <c r="F8" t="inlineStr">
        <is>
          <t>Bergvik skog väst AB</t>
        </is>
      </c>
      <c r="G8" t="n">
        <v>0.5</v>
      </c>
      <c r="H8" t="n">
        <v>0</v>
      </c>
      <c r="I8" t="n">
        <v>2</v>
      </c>
      <c r="J8" t="n">
        <v>2</v>
      </c>
      <c r="K8" t="n">
        <v>3</v>
      </c>
      <c r="L8" t="n">
        <v>0</v>
      </c>
      <c r="M8" t="n">
        <v>0</v>
      </c>
      <c r="N8" t="n">
        <v>0</v>
      </c>
      <c r="O8" t="n">
        <v>5</v>
      </c>
      <c r="P8" t="n">
        <v>3</v>
      </c>
      <c r="Q8" t="n">
        <v>7</v>
      </c>
      <c r="R8" s="2" t="inlineStr">
        <is>
          <t>Bitter taggsvamp
Grangråticka
Tvillingspindling
Frygisk spindling
Rosenticka
Skarp dropptaggsvamp
Tallfingersvamp</t>
        </is>
      </c>
      <c r="S8">
        <f>HYPERLINK("https://klasma.github.io/Logging_0319/artfynd/A 27330-2025 artfynd.xlsx", "A 27330-2025")</f>
        <v/>
      </c>
      <c r="T8">
        <f>HYPERLINK("https://klasma.github.io/Logging_0319/kartor/A 27330-2025 karta.png", "A 27330-2025")</f>
        <v/>
      </c>
      <c r="V8">
        <f>HYPERLINK("https://klasma.github.io/Logging_0319/klagomål/A 27330-2025 FSC-klagomål.docx", "A 27330-2025")</f>
        <v/>
      </c>
      <c r="W8">
        <f>HYPERLINK("https://klasma.github.io/Logging_0319/klagomålsmail/A 27330-2025 FSC-klagomål mail.docx", "A 27330-2025")</f>
        <v/>
      </c>
      <c r="X8">
        <f>HYPERLINK("https://klasma.github.io/Logging_0319/tillsyn/A 27330-2025 tillsynsbegäran.docx", "A 27330-2025")</f>
        <v/>
      </c>
      <c r="Y8">
        <f>HYPERLINK("https://klasma.github.io/Logging_0319/tillsynsmail/A 27330-2025 tillsynsbegäran mail.docx", "A 27330-2025")</f>
        <v/>
      </c>
    </row>
    <row r="9" ht="15" customHeight="1">
      <c r="A9" t="inlineStr">
        <is>
          <t>A 3949-2025</t>
        </is>
      </c>
      <c r="B9" s="1" t="n">
        <v>45684</v>
      </c>
      <c r="C9" s="1" t="n">
        <v>45923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45923</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3952-2025</t>
        </is>
      </c>
      <c r="B11" s="1" t="n">
        <v>45684</v>
      </c>
      <c r="C11" s="1" t="n">
        <v>45923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45923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55555-2024</t>
        </is>
      </c>
      <c r="B13" s="1" t="n">
        <v>45622.51762731482</v>
      </c>
      <c r="C13" s="1" t="n">
        <v>45923</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55554-2024</t>
        </is>
      </c>
      <c r="B14" s="1" t="n">
        <v>45622</v>
      </c>
      <c r="C14" s="1" t="n">
        <v>45923</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34798-2024</t>
        </is>
      </c>
      <c r="B15" s="1" t="n">
        <v>45526</v>
      </c>
      <c r="C15" s="1" t="n">
        <v>45923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45923</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70017-2021</t>
        </is>
      </c>
      <c r="B17" s="1" t="n">
        <v>44533</v>
      </c>
      <c r="C17" s="1" t="n">
        <v>45923</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55560-2024</t>
        </is>
      </c>
      <c r="B18" s="1" t="n">
        <v>45622.53336805556</v>
      </c>
      <c r="C18" s="1" t="n">
        <v>45923</v>
      </c>
      <c r="D18" t="inlineStr">
        <is>
          <t>UPPSALA LÄN</t>
        </is>
      </c>
      <c r="E18" t="inlineStr">
        <is>
          <t>ÄLVKARLEBY</t>
        </is>
      </c>
      <c r="F18" t="inlineStr">
        <is>
          <t>Bergvik skog väst AB</t>
        </is>
      </c>
      <c r="G18" t="n">
        <v>1</v>
      </c>
      <c r="H18" t="n">
        <v>2</v>
      </c>
      <c r="I18" t="n">
        <v>1</v>
      </c>
      <c r="J18" t="n">
        <v>0</v>
      </c>
      <c r="K18" t="n">
        <v>1</v>
      </c>
      <c r="L18" t="n">
        <v>0</v>
      </c>
      <c r="M18" t="n">
        <v>0</v>
      </c>
      <c r="N18" t="n">
        <v>0</v>
      </c>
      <c r="O18" t="n">
        <v>1</v>
      </c>
      <c r="P18" t="n">
        <v>1</v>
      </c>
      <c r="Q18" t="n">
        <v>2</v>
      </c>
      <c r="R18" s="2" t="inlineStr">
        <is>
          <t>Knärot
Grön sköldmossa</t>
        </is>
      </c>
      <c r="S18">
        <f>HYPERLINK("https://klasma.github.io/Logging_0319/artfynd/A 55560-2024 artfynd.xlsx", "A 55560-2024")</f>
        <v/>
      </c>
      <c r="T18">
        <f>HYPERLINK("https://klasma.github.io/Logging_0319/kartor/A 55560-2024 karta.png", "A 55560-2024")</f>
        <v/>
      </c>
      <c r="U18">
        <f>HYPERLINK("https://klasma.github.io/Logging_0319/knärot/A 55560-2024 karta knärot.png", "A 55560-2024")</f>
        <v/>
      </c>
      <c r="V18">
        <f>HYPERLINK("https://klasma.github.io/Logging_0319/klagomål/A 55560-2024 FSC-klagomål.docx", "A 55560-2024")</f>
        <v/>
      </c>
      <c r="W18">
        <f>HYPERLINK("https://klasma.github.io/Logging_0319/klagomålsmail/A 55560-2024 FSC-klagomål mail.docx", "A 55560-2024")</f>
        <v/>
      </c>
      <c r="X18">
        <f>HYPERLINK("https://klasma.github.io/Logging_0319/tillsyn/A 55560-2024 tillsynsbegäran.docx", "A 55560-2024")</f>
        <v/>
      </c>
      <c r="Y18">
        <f>HYPERLINK("https://klasma.github.io/Logging_0319/tillsynsmail/A 55560-2024 tillsynsbegäran mail.docx", "A 55560-2024")</f>
        <v/>
      </c>
    </row>
    <row r="19" ht="15" customHeight="1">
      <c r="A19" t="inlineStr">
        <is>
          <t>A 21007-2025</t>
        </is>
      </c>
      <c r="B19" s="1" t="n">
        <v>45777</v>
      </c>
      <c r="C19" s="1" t="n">
        <v>45923</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45923</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19300-2024</t>
        </is>
      </c>
      <c r="B21" s="1" t="n">
        <v>45428.70128472222</v>
      </c>
      <c r="C21" s="1" t="n">
        <v>45923</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45923</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45923</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66277-2020</t>
        </is>
      </c>
      <c r="B24" s="1" t="n">
        <v>44176</v>
      </c>
      <c r="C24" s="1" t="n">
        <v>45923</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45923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12427-2025</t>
        </is>
      </c>
      <c r="B26" s="1" t="n">
        <v>45730.45799768518</v>
      </c>
      <c r="C26" s="1" t="n">
        <v>45923</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9521-2025</t>
        </is>
      </c>
      <c r="B27" s="1" t="n">
        <v>45715.56259259259</v>
      </c>
      <c r="C27" s="1" t="n">
        <v>45923</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50416-2020</t>
        </is>
      </c>
      <c r="B28" s="1" t="n">
        <v>44110</v>
      </c>
      <c r="C28" s="1" t="n">
        <v>45923</v>
      </c>
      <c r="D28" t="inlineStr">
        <is>
          <t>UPPSALA LÄN</t>
        </is>
      </c>
      <c r="E28" t="inlineStr">
        <is>
          <t>ÄLVKARLEBY</t>
        </is>
      </c>
      <c r="F28" t="inlineStr">
        <is>
          <t>Bergvik skog väst AB</t>
        </is>
      </c>
      <c r="G28" t="n">
        <v>0.8</v>
      </c>
      <c r="H28" t="n">
        <v>0</v>
      </c>
      <c r="I28" t="n">
        <v>0</v>
      </c>
      <c r="J28" t="n">
        <v>0</v>
      </c>
      <c r="K28" t="n">
        <v>0</v>
      </c>
      <c r="L28" t="n">
        <v>0</v>
      </c>
      <c r="M28" t="n">
        <v>0</v>
      </c>
      <c r="N28" t="n">
        <v>0</v>
      </c>
      <c r="O28" t="n">
        <v>0</v>
      </c>
      <c r="P28" t="n">
        <v>0</v>
      </c>
      <c r="Q28" t="n">
        <v>0</v>
      </c>
      <c r="R28" s="2" t="inlineStr"/>
    </row>
    <row r="29" ht="15" customHeight="1">
      <c r="A29" t="inlineStr">
        <is>
          <t>A 36217-2022</t>
        </is>
      </c>
      <c r="B29" s="1" t="n">
        <v>44803</v>
      </c>
      <c r="C29" s="1" t="n">
        <v>45923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45923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45923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45923</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45923</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39791-2021</t>
        </is>
      </c>
      <c r="B34" s="1" t="n">
        <v>44417</v>
      </c>
      <c r="C34" s="1" t="n">
        <v>45923</v>
      </c>
      <c r="D34" t="inlineStr">
        <is>
          <t>UPPSALA LÄN</t>
        </is>
      </c>
      <c r="E34" t="inlineStr">
        <is>
          <t>ÄLVKARLEBY</t>
        </is>
      </c>
      <c r="G34" t="n">
        <v>1.8</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45923</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41847-2025</t>
        </is>
      </c>
      <c r="B36" s="1" t="n">
        <v>45902.75265046296</v>
      </c>
      <c r="C36" s="1" t="n">
        <v>45923</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45923</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45923</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2184-2024</t>
        </is>
      </c>
      <c r="B39" s="1" t="n">
        <v>45309</v>
      </c>
      <c r="C39" s="1" t="n">
        <v>45923</v>
      </c>
      <c r="D39" t="inlineStr">
        <is>
          <t>UPPSALA LÄN</t>
        </is>
      </c>
      <c r="E39" t="inlineStr">
        <is>
          <t>ÄLVKARLEBY</t>
        </is>
      </c>
      <c r="G39" t="n">
        <v>0.6</v>
      </c>
      <c r="H39" t="n">
        <v>0</v>
      </c>
      <c r="I39" t="n">
        <v>0</v>
      </c>
      <c r="J39" t="n">
        <v>0</v>
      </c>
      <c r="K39" t="n">
        <v>0</v>
      </c>
      <c r="L39" t="n">
        <v>0</v>
      </c>
      <c r="M39" t="n">
        <v>0</v>
      </c>
      <c r="N39" t="n">
        <v>0</v>
      </c>
      <c r="O39" t="n">
        <v>0</v>
      </c>
      <c r="P39" t="n">
        <v>0</v>
      </c>
      <c r="Q39" t="n">
        <v>0</v>
      </c>
      <c r="R39" s="2" t="inlineStr"/>
    </row>
    <row r="40" ht="15" customHeight="1">
      <c r="A40" t="inlineStr">
        <is>
          <t>A 36626-2025</t>
        </is>
      </c>
      <c r="B40" s="1" t="n">
        <v>45870.66732638889</v>
      </c>
      <c r="C40" s="1" t="n">
        <v>45923</v>
      </c>
      <c r="D40" t="inlineStr">
        <is>
          <t>UPPSALA LÄN</t>
        </is>
      </c>
      <c r="E40" t="inlineStr">
        <is>
          <t>ÄLVKARLEBY</t>
        </is>
      </c>
      <c r="F40" t="inlineStr">
        <is>
          <t>Bergvik skog väst AB</t>
        </is>
      </c>
      <c r="G40" t="n">
        <v>2.7</v>
      </c>
      <c r="H40" t="n">
        <v>0</v>
      </c>
      <c r="I40" t="n">
        <v>0</v>
      </c>
      <c r="J40" t="n">
        <v>0</v>
      </c>
      <c r="K40" t="n">
        <v>0</v>
      </c>
      <c r="L40" t="n">
        <v>0</v>
      </c>
      <c r="M40" t="n">
        <v>0</v>
      </c>
      <c r="N40" t="n">
        <v>0</v>
      </c>
      <c r="O40" t="n">
        <v>0</v>
      </c>
      <c r="P40" t="n">
        <v>0</v>
      </c>
      <c r="Q40" t="n">
        <v>0</v>
      </c>
      <c r="R40" s="2" t="inlineStr"/>
    </row>
    <row r="41" ht="15" customHeight="1">
      <c r="A41" t="inlineStr">
        <is>
          <t>A 19303-2024</t>
        </is>
      </c>
      <c r="B41" s="1" t="n">
        <v>45428.70386574074</v>
      </c>
      <c r="C41" s="1" t="n">
        <v>45923</v>
      </c>
      <c r="D41" t="inlineStr">
        <is>
          <t>UPPSALA LÄN</t>
        </is>
      </c>
      <c r="E41" t="inlineStr">
        <is>
          <t>ÄLVKARLEBY</t>
        </is>
      </c>
      <c r="G41" t="n">
        <v>0.4</v>
      </c>
      <c r="H41" t="n">
        <v>0</v>
      </c>
      <c r="I41" t="n">
        <v>0</v>
      </c>
      <c r="J41" t="n">
        <v>0</v>
      </c>
      <c r="K41" t="n">
        <v>0</v>
      </c>
      <c r="L41" t="n">
        <v>0</v>
      </c>
      <c r="M41" t="n">
        <v>0</v>
      </c>
      <c r="N41" t="n">
        <v>0</v>
      </c>
      <c r="O41" t="n">
        <v>0</v>
      </c>
      <c r="P41" t="n">
        <v>0</v>
      </c>
      <c r="Q41" t="n">
        <v>0</v>
      </c>
      <c r="R41" s="2" t="inlineStr"/>
    </row>
    <row r="42" ht="15" customHeight="1">
      <c r="A42" t="inlineStr">
        <is>
          <t>A 43662-2025</t>
        </is>
      </c>
      <c r="B42" s="1" t="n">
        <v>45912.34446759259</v>
      </c>
      <c r="C42" s="1" t="n">
        <v>45923</v>
      </c>
      <c r="D42" t="inlineStr">
        <is>
          <t>UPPSALA LÄN</t>
        </is>
      </c>
      <c r="E42" t="inlineStr">
        <is>
          <t>ÄLVKARLEBY</t>
        </is>
      </c>
      <c r="F42" t="inlineStr">
        <is>
          <t>Kyrkan</t>
        </is>
      </c>
      <c r="G42" t="n">
        <v>4.5</v>
      </c>
      <c r="H42" t="n">
        <v>0</v>
      </c>
      <c r="I42" t="n">
        <v>0</v>
      </c>
      <c r="J42" t="n">
        <v>0</v>
      </c>
      <c r="K42" t="n">
        <v>0</v>
      </c>
      <c r="L42" t="n">
        <v>0</v>
      </c>
      <c r="M42" t="n">
        <v>0</v>
      </c>
      <c r="N42" t="n">
        <v>0</v>
      </c>
      <c r="O42" t="n">
        <v>0</v>
      </c>
      <c r="P42" t="n">
        <v>0</v>
      </c>
      <c r="Q42" t="n">
        <v>0</v>
      </c>
      <c r="R42" s="2" t="inlineStr"/>
    </row>
    <row r="43" ht="15" customHeight="1">
      <c r="A43" t="inlineStr">
        <is>
          <t>A 43577-2025</t>
        </is>
      </c>
      <c r="B43" s="1" t="n">
        <v>45911.64219907407</v>
      </c>
      <c r="C43" s="1" t="n">
        <v>45923</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41929-2024</t>
        </is>
      </c>
      <c r="B44" s="1" t="n">
        <v>45561</v>
      </c>
      <c r="C44" s="1" t="n">
        <v>45923</v>
      </c>
      <c r="D44" t="inlineStr">
        <is>
          <t>UPPSALA LÄN</t>
        </is>
      </c>
      <c r="E44" t="inlineStr">
        <is>
          <t>ÄLVKARLEBY</t>
        </is>
      </c>
      <c r="F44" t="inlineStr">
        <is>
          <t>Bergvik skog väst AB</t>
        </is>
      </c>
      <c r="G44" t="n">
        <v>4.9</v>
      </c>
      <c r="H44" t="n">
        <v>0</v>
      </c>
      <c r="I44" t="n">
        <v>0</v>
      </c>
      <c r="J44" t="n">
        <v>0</v>
      </c>
      <c r="K44" t="n">
        <v>0</v>
      </c>
      <c r="L44" t="n">
        <v>0</v>
      </c>
      <c r="M44" t="n">
        <v>0</v>
      </c>
      <c r="N44" t="n">
        <v>0</v>
      </c>
      <c r="O44" t="n">
        <v>0</v>
      </c>
      <c r="P44" t="n">
        <v>0</v>
      </c>
      <c r="Q44" t="n">
        <v>0</v>
      </c>
      <c r="R44" s="2" t="inlineStr"/>
    </row>
    <row r="45" ht="15" customHeight="1">
      <c r="A45" t="inlineStr">
        <is>
          <t>A 967-2021</t>
        </is>
      </c>
      <c r="B45" s="1" t="n">
        <v>44207</v>
      </c>
      <c r="C45" s="1" t="n">
        <v>45923</v>
      </c>
      <c r="D45" t="inlineStr">
        <is>
          <t>UPPSALA LÄN</t>
        </is>
      </c>
      <c r="E45" t="inlineStr">
        <is>
          <t>ÄLVKARLEBY</t>
        </is>
      </c>
      <c r="G45" t="n">
        <v>0.7</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45923</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38226-2023</t>
        </is>
      </c>
      <c r="B47" s="1" t="n">
        <v>45161</v>
      </c>
      <c r="C47" s="1" t="n">
        <v>45923</v>
      </c>
      <c r="D47" t="inlineStr">
        <is>
          <t>UPPSALA LÄN</t>
        </is>
      </c>
      <c r="E47" t="inlineStr">
        <is>
          <t>ÄLVKARLEBY</t>
        </is>
      </c>
      <c r="F47" t="inlineStr">
        <is>
          <t>Bergvik skog väst AB</t>
        </is>
      </c>
      <c r="G47" t="n">
        <v>4.5</v>
      </c>
      <c r="H47" t="n">
        <v>0</v>
      </c>
      <c r="I47" t="n">
        <v>0</v>
      </c>
      <c r="J47" t="n">
        <v>0</v>
      </c>
      <c r="K47" t="n">
        <v>0</v>
      </c>
      <c r="L47" t="n">
        <v>0</v>
      </c>
      <c r="M47" t="n">
        <v>0</v>
      </c>
      <c r="N47" t="n">
        <v>0</v>
      </c>
      <c r="O47" t="n">
        <v>0</v>
      </c>
      <c r="P47" t="n">
        <v>0</v>
      </c>
      <c r="Q47" t="n">
        <v>0</v>
      </c>
      <c r="R47" s="2" t="inlineStr"/>
    </row>
    <row r="48" ht="15" customHeight="1">
      <c r="A48" t="inlineStr">
        <is>
          <t>A 18451-2025</t>
        </is>
      </c>
      <c r="B48" s="1" t="n">
        <v>45762</v>
      </c>
      <c r="C48" s="1" t="n">
        <v>45923</v>
      </c>
      <c r="D48" t="inlineStr">
        <is>
          <t>UPPSALA LÄN</t>
        </is>
      </c>
      <c r="E48" t="inlineStr">
        <is>
          <t>ÄLVKARLEBY</t>
        </is>
      </c>
      <c r="F48" t="inlineStr">
        <is>
          <t>Bergvik skog väst AB</t>
        </is>
      </c>
      <c r="G48" t="n">
        <v>1.2</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45923</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8031-2025</t>
        </is>
      </c>
      <c r="B50" s="1" t="n">
        <v>45707.59112268518</v>
      </c>
      <c r="C50" s="1" t="n">
        <v>45923</v>
      </c>
      <c r="D50" t="inlineStr">
        <is>
          <t>UPPSALA LÄN</t>
        </is>
      </c>
      <c r="E50" t="inlineStr">
        <is>
          <t>ÄLVKARLEBY</t>
        </is>
      </c>
      <c r="F50" t="inlineStr">
        <is>
          <t>Bergvik skog väst AB</t>
        </is>
      </c>
      <c r="G50" t="n">
        <v>4</v>
      </c>
      <c r="H50" t="n">
        <v>0</v>
      </c>
      <c r="I50" t="n">
        <v>0</v>
      </c>
      <c r="J50" t="n">
        <v>0</v>
      </c>
      <c r="K50" t="n">
        <v>0</v>
      </c>
      <c r="L50" t="n">
        <v>0</v>
      </c>
      <c r="M50" t="n">
        <v>0</v>
      </c>
      <c r="N50" t="n">
        <v>0</v>
      </c>
      <c r="O50" t="n">
        <v>0</v>
      </c>
      <c r="P50" t="n">
        <v>0</v>
      </c>
      <c r="Q50" t="n">
        <v>0</v>
      </c>
      <c r="R50" s="2" t="inlineStr"/>
    </row>
    <row r="51" ht="15" customHeight="1">
      <c r="A51" t="inlineStr">
        <is>
          <t>A 7286-2023</t>
        </is>
      </c>
      <c r="B51" s="1" t="n">
        <v>44970</v>
      </c>
      <c r="C51" s="1" t="n">
        <v>45923</v>
      </c>
      <c r="D51" t="inlineStr">
        <is>
          <t>UPPSALA LÄN</t>
        </is>
      </c>
      <c r="E51" t="inlineStr">
        <is>
          <t>ÄLVKARLEBY</t>
        </is>
      </c>
      <c r="F51" t="inlineStr">
        <is>
          <t>Bergvik skog väst AB</t>
        </is>
      </c>
      <c r="G51" t="n">
        <v>2.5</v>
      </c>
      <c r="H51" t="n">
        <v>0</v>
      </c>
      <c r="I51" t="n">
        <v>0</v>
      </c>
      <c r="J51" t="n">
        <v>0</v>
      </c>
      <c r="K51" t="n">
        <v>0</v>
      </c>
      <c r="L51" t="n">
        <v>0</v>
      </c>
      <c r="M51" t="n">
        <v>0</v>
      </c>
      <c r="N51" t="n">
        <v>0</v>
      </c>
      <c r="O51" t="n">
        <v>0</v>
      </c>
      <c r="P51" t="n">
        <v>0</v>
      </c>
      <c r="Q51" t="n">
        <v>0</v>
      </c>
      <c r="R51" s="2" t="inlineStr"/>
    </row>
    <row r="52" ht="15" customHeight="1">
      <c r="A52" t="inlineStr">
        <is>
          <t>A 26815-2022</t>
        </is>
      </c>
      <c r="B52" s="1" t="n">
        <v>44740.44644675926</v>
      </c>
      <c r="C52" s="1" t="n">
        <v>45923</v>
      </c>
      <c r="D52" t="inlineStr">
        <is>
          <t>UPPSALA LÄN</t>
        </is>
      </c>
      <c r="E52" t="inlineStr">
        <is>
          <t>ÄLVKARLEBY</t>
        </is>
      </c>
      <c r="G52" t="n">
        <v>5.8</v>
      </c>
      <c r="H52" t="n">
        <v>0</v>
      </c>
      <c r="I52" t="n">
        <v>0</v>
      </c>
      <c r="J52" t="n">
        <v>0</v>
      </c>
      <c r="K52" t="n">
        <v>0</v>
      </c>
      <c r="L52" t="n">
        <v>0</v>
      </c>
      <c r="M52" t="n">
        <v>0</v>
      </c>
      <c r="N52" t="n">
        <v>0</v>
      </c>
      <c r="O52" t="n">
        <v>0</v>
      </c>
      <c r="P52" t="n">
        <v>0</v>
      </c>
      <c r="Q52" t="n">
        <v>0</v>
      </c>
      <c r="R52" s="2" t="inlineStr"/>
    </row>
    <row r="53" ht="15" customHeight="1">
      <c r="A53" t="inlineStr">
        <is>
          <t>A 45512-2025</t>
        </is>
      </c>
      <c r="B53" s="1" t="n">
        <v>45922.58106481482</v>
      </c>
      <c r="C53" s="1" t="n">
        <v>45923</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45372-2024</t>
        </is>
      </c>
      <c r="B54" s="1" t="n">
        <v>45576.51116898148</v>
      </c>
      <c r="C54" s="1" t="n">
        <v>45923</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19740-2025</t>
        </is>
      </c>
      <c r="B55" s="1" t="n">
        <v>45771</v>
      </c>
      <c r="C55" s="1" t="n">
        <v>45923</v>
      </c>
      <c r="D55" t="inlineStr">
        <is>
          <t>UPPSALA LÄN</t>
        </is>
      </c>
      <c r="E55" t="inlineStr">
        <is>
          <t>ÄLVKARLEBY</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16990-2022</t>
        </is>
      </c>
      <c r="B56" s="1" t="n">
        <v>44676.6122337963</v>
      </c>
      <c r="C56" s="1" t="n">
        <v>45923</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19862-2025</t>
        </is>
      </c>
      <c r="B57" s="1" t="n">
        <v>45771.53560185185</v>
      </c>
      <c r="C57" s="1" t="n">
        <v>45923</v>
      </c>
      <c r="D57" t="inlineStr">
        <is>
          <t>UPPSALA LÄN</t>
        </is>
      </c>
      <c r="E57" t="inlineStr">
        <is>
          <t>ÄLVKARLEBY</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14590-2023</t>
        </is>
      </c>
      <c r="B58" s="1" t="n">
        <v>45013.54621527778</v>
      </c>
      <c r="C58" s="1" t="n">
        <v>45923</v>
      </c>
      <c r="D58" t="inlineStr">
        <is>
          <t>UPPSALA LÄN</t>
        </is>
      </c>
      <c r="E58" t="inlineStr">
        <is>
          <t>ÄLVKARLEBY</t>
        </is>
      </c>
      <c r="G58" t="n">
        <v>1.8</v>
      </c>
      <c r="H58" t="n">
        <v>0</v>
      </c>
      <c r="I58" t="n">
        <v>0</v>
      </c>
      <c r="J58" t="n">
        <v>0</v>
      </c>
      <c r="K58" t="n">
        <v>0</v>
      </c>
      <c r="L58" t="n">
        <v>0</v>
      </c>
      <c r="M58" t="n">
        <v>0</v>
      </c>
      <c r="N58" t="n">
        <v>0</v>
      </c>
      <c r="O58" t="n">
        <v>0</v>
      </c>
      <c r="P58" t="n">
        <v>0</v>
      </c>
      <c r="Q58" t="n">
        <v>0</v>
      </c>
      <c r="R58" s="2" t="inlineStr"/>
    </row>
    <row r="59" ht="15" customHeight="1">
      <c r="A59" t="inlineStr">
        <is>
          <t>A 9533-2025</t>
        </is>
      </c>
      <c r="B59" s="1" t="n">
        <v>45715.57082175926</v>
      </c>
      <c r="C59" s="1" t="n">
        <v>45923</v>
      </c>
      <c r="D59" t="inlineStr">
        <is>
          <t>UPPSALA LÄN</t>
        </is>
      </c>
      <c r="E59" t="inlineStr">
        <is>
          <t>ÄLVKARLEBY</t>
        </is>
      </c>
      <c r="G59" t="n">
        <v>2.1</v>
      </c>
      <c r="H59" t="n">
        <v>0</v>
      </c>
      <c r="I59" t="n">
        <v>0</v>
      </c>
      <c r="J59" t="n">
        <v>0</v>
      </c>
      <c r="K59" t="n">
        <v>0</v>
      </c>
      <c r="L59" t="n">
        <v>0</v>
      </c>
      <c r="M59" t="n">
        <v>0</v>
      </c>
      <c r="N59" t="n">
        <v>0</v>
      </c>
      <c r="O59" t="n">
        <v>0</v>
      </c>
      <c r="P59" t="n">
        <v>0</v>
      </c>
      <c r="Q59" t="n">
        <v>0</v>
      </c>
      <c r="R59" s="2" t="inlineStr"/>
    </row>
    <row r="60" ht="15" customHeight="1">
      <c r="A60" t="inlineStr">
        <is>
          <t>A 19697-2025</t>
        </is>
      </c>
      <c r="B60" s="1" t="n">
        <v>45771</v>
      </c>
      <c r="C60" s="1" t="n">
        <v>45923</v>
      </c>
      <c r="D60" t="inlineStr">
        <is>
          <t>UPPSALA LÄN</t>
        </is>
      </c>
      <c r="E60" t="inlineStr">
        <is>
          <t>ÄLVKARLEBY</t>
        </is>
      </c>
      <c r="F60" t="inlineStr">
        <is>
          <t>Bergvik skog väst AB</t>
        </is>
      </c>
      <c r="G60" t="n">
        <v>3.3</v>
      </c>
      <c r="H60" t="n">
        <v>0</v>
      </c>
      <c r="I60" t="n">
        <v>0</v>
      </c>
      <c r="J60" t="n">
        <v>0</v>
      </c>
      <c r="K60" t="n">
        <v>0</v>
      </c>
      <c r="L60" t="n">
        <v>0</v>
      </c>
      <c r="M60" t="n">
        <v>0</v>
      </c>
      <c r="N60" t="n">
        <v>0</v>
      </c>
      <c r="O60" t="n">
        <v>0</v>
      </c>
      <c r="P60" t="n">
        <v>0</v>
      </c>
      <c r="Q60" t="n">
        <v>0</v>
      </c>
      <c r="R60" s="2" t="inlineStr"/>
    </row>
    <row r="61" ht="15" customHeight="1">
      <c r="A61" t="inlineStr">
        <is>
          <t>A 41272-2023</t>
        </is>
      </c>
      <c r="B61" s="1" t="n">
        <v>45174</v>
      </c>
      <c r="C61" s="1" t="n">
        <v>45923</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21012-2025</t>
        </is>
      </c>
      <c r="B62" s="1" t="n">
        <v>45777</v>
      </c>
      <c r="C62" s="1" t="n">
        <v>45923</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2183-2024</t>
        </is>
      </c>
      <c r="B63" s="1" t="n">
        <v>45309</v>
      </c>
      <c r="C63" s="1" t="n">
        <v>45923</v>
      </c>
      <c r="D63" t="inlineStr">
        <is>
          <t>UPPSALA LÄN</t>
        </is>
      </c>
      <c r="E63" t="inlineStr">
        <is>
          <t>ÄLVKARLEBY</t>
        </is>
      </c>
      <c r="G63" t="n">
        <v>0.5</v>
      </c>
      <c r="H63" t="n">
        <v>0</v>
      </c>
      <c r="I63" t="n">
        <v>0</v>
      </c>
      <c r="J63" t="n">
        <v>0</v>
      </c>
      <c r="K63" t="n">
        <v>0</v>
      </c>
      <c r="L63" t="n">
        <v>0</v>
      </c>
      <c r="M63" t="n">
        <v>0</v>
      </c>
      <c r="N63" t="n">
        <v>0</v>
      </c>
      <c r="O63" t="n">
        <v>0</v>
      </c>
      <c r="P63" t="n">
        <v>0</v>
      </c>
      <c r="Q63" t="n">
        <v>0</v>
      </c>
      <c r="R63" s="2" t="inlineStr"/>
    </row>
    <row r="64" ht="15" customHeight="1">
      <c r="A64" t="inlineStr">
        <is>
          <t>A 22223-2025</t>
        </is>
      </c>
      <c r="B64" s="1" t="n">
        <v>45785</v>
      </c>
      <c r="C64" s="1" t="n">
        <v>45923</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19304-2024</t>
        </is>
      </c>
      <c r="B65" s="1" t="n">
        <v>45428</v>
      </c>
      <c r="C65" s="1" t="n">
        <v>45923</v>
      </c>
      <c r="D65" t="inlineStr">
        <is>
          <t>UPPSALA LÄN</t>
        </is>
      </c>
      <c r="E65" t="inlineStr">
        <is>
          <t>ÄLVKARLEBY</t>
        </is>
      </c>
      <c r="G65" t="n">
        <v>0.2</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45923</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24591-2025</t>
        </is>
      </c>
      <c r="B67" s="1" t="n">
        <v>45798.53666666667</v>
      </c>
      <c r="C67" s="1" t="n">
        <v>45923</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24592-2025</t>
        </is>
      </c>
      <c r="B68" s="1" t="n">
        <v>45798.54337962963</v>
      </c>
      <c r="C68" s="1" t="n">
        <v>45923</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25330-2025</t>
        </is>
      </c>
      <c r="B69" s="1" t="n">
        <v>45800.59114583334</v>
      </c>
      <c r="C69" s="1" t="n">
        <v>45923</v>
      </c>
      <c r="D69" t="inlineStr">
        <is>
          <t>UPPSALA LÄN</t>
        </is>
      </c>
      <c r="E69" t="inlineStr">
        <is>
          <t>ÄLVKARLEBY</t>
        </is>
      </c>
      <c r="F69" t="inlineStr">
        <is>
          <t>Bergvik skog väst AB</t>
        </is>
      </c>
      <c r="G69" t="n">
        <v>5</v>
      </c>
      <c r="H69" t="n">
        <v>0</v>
      </c>
      <c r="I69" t="n">
        <v>0</v>
      </c>
      <c r="J69" t="n">
        <v>0</v>
      </c>
      <c r="K69" t="n">
        <v>0</v>
      </c>
      <c r="L69" t="n">
        <v>0</v>
      </c>
      <c r="M69" t="n">
        <v>0</v>
      </c>
      <c r="N69" t="n">
        <v>0</v>
      </c>
      <c r="O69" t="n">
        <v>0</v>
      </c>
      <c r="P69" t="n">
        <v>0</v>
      </c>
      <c r="Q69" t="n">
        <v>0</v>
      </c>
      <c r="R69" s="2" t="inlineStr"/>
    </row>
    <row r="70" ht="15" customHeight="1">
      <c r="A70" t="inlineStr">
        <is>
          <t>A 25264-2025</t>
        </is>
      </c>
      <c r="B70" s="1" t="n">
        <v>45800.5334375</v>
      </c>
      <c r="C70" s="1" t="n">
        <v>45923</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11553-2021</t>
        </is>
      </c>
      <c r="B71" s="1" t="n">
        <v>44264.48725694444</v>
      </c>
      <c r="C71" s="1" t="n">
        <v>45923</v>
      </c>
      <c r="D71" t="inlineStr">
        <is>
          <t>UPPSALA LÄN</t>
        </is>
      </c>
      <c r="E71" t="inlineStr">
        <is>
          <t>ÄLVKARLEBY</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43285-2023</t>
        </is>
      </c>
      <c r="B72" s="1" t="n">
        <v>45183.5630787037</v>
      </c>
      <c r="C72" s="1" t="n">
        <v>45923</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15739-2025</t>
        </is>
      </c>
      <c r="B73" s="1" t="n">
        <v>45748.54612268518</v>
      </c>
      <c r="C73" s="1" t="n">
        <v>45923</v>
      </c>
      <c r="D73" t="inlineStr">
        <is>
          <t>UPPSALA LÄN</t>
        </is>
      </c>
      <c r="E73" t="inlineStr">
        <is>
          <t>ÄLVKARLEBY</t>
        </is>
      </c>
      <c r="F73" t="inlineStr">
        <is>
          <t>Kyrkan</t>
        </is>
      </c>
      <c r="G73" t="n">
        <v>2.4</v>
      </c>
      <c r="H73" t="n">
        <v>0</v>
      </c>
      <c r="I73" t="n">
        <v>0</v>
      </c>
      <c r="J73" t="n">
        <v>0</v>
      </c>
      <c r="K73" t="n">
        <v>0</v>
      </c>
      <c r="L73" t="n">
        <v>0</v>
      </c>
      <c r="M73" t="n">
        <v>0</v>
      </c>
      <c r="N73" t="n">
        <v>0</v>
      </c>
      <c r="O73" t="n">
        <v>0</v>
      </c>
      <c r="P73" t="n">
        <v>0</v>
      </c>
      <c r="Q73" t="n">
        <v>0</v>
      </c>
      <c r="R73" s="2" t="inlineStr"/>
    </row>
    <row r="74" ht="15" customHeight="1">
      <c r="A74" t="inlineStr">
        <is>
          <t>A 3950-2025</t>
        </is>
      </c>
      <c r="B74" s="1" t="n">
        <v>45684</v>
      </c>
      <c r="C74" s="1" t="n">
        <v>45923</v>
      </c>
      <c r="D74" t="inlineStr">
        <is>
          <t>UPPSALA LÄN</t>
        </is>
      </c>
      <c r="E74" t="inlineStr">
        <is>
          <t>ÄLVKARLEBY</t>
        </is>
      </c>
      <c r="G74" t="n">
        <v>3.1</v>
      </c>
      <c r="H74" t="n">
        <v>0</v>
      </c>
      <c r="I74" t="n">
        <v>0</v>
      </c>
      <c r="J74" t="n">
        <v>0</v>
      </c>
      <c r="K74" t="n">
        <v>0</v>
      </c>
      <c r="L74" t="n">
        <v>0</v>
      </c>
      <c r="M74" t="n">
        <v>0</v>
      </c>
      <c r="N74" t="n">
        <v>0</v>
      </c>
      <c r="O74" t="n">
        <v>0</v>
      </c>
      <c r="P74" t="n">
        <v>0</v>
      </c>
      <c r="Q74" t="n">
        <v>0</v>
      </c>
      <c r="R74" s="2" t="inlineStr"/>
    </row>
    <row r="75" ht="15" customHeight="1">
      <c r="A75" t="inlineStr">
        <is>
          <t>A 26670-2025</t>
        </is>
      </c>
      <c r="B75" s="1" t="n">
        <v>45810.41489583333</v>
      </c>
      <c r="C75" s="1" t="n">
        <v>45923</v>
      </c>
      <c r="D75" t="inlineStr">
        <is>
          <t>UPPSALA LÄN</t>
        </is>
      </c>
      <c r="E75" t="inlineStr">
        <is>
          <t>ÄLVKARLEBY</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26668-2025</t>
        </is>
      </c>
      <c r="B76" s="1" t="n">
        <v>45810.41017361111</v>
      </c>
      <c r="C76" s="1" t="n">
        <v>45923</v>
      </c>
      <c r="D76" t="inlineStr">
        <is>
          <t>UPPSALA LÄN</t>
        </is>
      </c>
      <c r="E76" t="inlineStr">
        <is>
          <t>ÄLVKARLEBY</t>
        </is>
      </c>
      <c r="F76" t="inlineStr">
        <is>
          <t>Bergvik skog väst AB</t>
        </is>
      </c>
      <c r="G76" t="n">
        <v>2.6</v>
      </c>
      <c r="H76" t="n">
        <v>0</v>
      </c>
      <c r="I76" t="n">
        <v>0</v>
      </c>
      <c r="J76" t="n">
        <v>0</v>
      </c>
      <c r="K76" t="n">
        <v>0</v>
      </c>
      <c r="L76" t="n">
        <v>0</v>
      </c>
      <c r="M76" t="n">
        <v>0</v>
      </c>
      <c r="N76" t="n">
        <v>0</v>
      </c>
      <c r="O76" t="n">
        <v>0</v>
      </c>
      <c r="P76" t="n">
        <v>0</v>
      </c>
      <c r="Q76" t="n">
        <v>0</v>
      </c>
      <c r="R76" s="2" t="inlineStr"/>
    </row>
    <row r="77" ht="15" customHeight="1">
      <c r="A77" t="inlineStr">
        <is>
          <t>A 8030-2025</t>
        </is>
      </c>
      <c r="B77" s="1" t="n">
        <v>45707.59064814815</v>
      </c>
      <c r="C77" s="1" t="n">
        <v>45923</v>
      </c>
      <c r="D77" t="inlineStr">
        <is>
          <t>UPPSALA LÄN</t>
        </is>
      </c>
      <c r="E77" t="inlineStr">
        <is>
          <t>ÄLVKARLEBY</t>
        </is>
      </c>
      <c r="F77" t="inlineStr">
        <is>
          <t>Bergvik skog väst AB</t>
        </is>
      </c>
      <c r="G77" t="n">
        <v>3.6</v>
      </c>
      <c r="H77" t="n">
        <v>0</v>
      </c>
      <c r="I77" t="n">
        <v>0</v>
      </c>
      <c r="J77" t="n">
        <v>0</v>
      </c>
      <c r="K77" t="n">
        <v>0</v>
      </c>
      <c r="L77" t="n">
        <v>0</v>
      </c>
      <c r="M77" t="n">
        <v>0</v>
      </c>
      <c r="N77" t="n">
        <v>0</v>
      </c>
      <c r="O77" t="n">
        <v>0</v>
      </c>
      <c r="P77" t="n">
        <v>0</v>
      </c>
      <c r="Q77" t="n">
        <v>0</v>
      </c>
      <c r="R77" s="2" t="inlineStr"/>
    </row>
    <row r="78" ht="15" customHeight="1">
      <c r="A78" t="inlineStr">
        <is>
          <t>A 27743-2025</t>
        </is>
      </c>
      <c r="B78" s="1" t="n">
        <v>45815.53981481482</v>
      </c>
      <c r="C78" s="1" t="n">
        <v>45923</v>
      </c>
      <c r="D78" t="inlineStr">
        <is>
          <t>UPPSALA LÄN</t>
        </is>
      </c>
      <c r="E78" t="inlineStr">
        <is>
          <t>ÄLVKARLEBY</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27742-2025</t>
        </is>
      </c>
      <c r="B79" s="1" t="n">
        <v>45815.53724537037</v>
      </c>
      <c r="C79" s="1" t="n">
        <v>45923</v>
      </c>
      <c r="D79" t="inlineStr">
        <is>
          <t>UPPSALA LÄN</t>
        </is>
      </c>
      <c r="E79" t="inlineStr">
        <is>
          <t>ÄLVKARLEBY</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27741-2025</t>
        </is>
      </c>
      <c r="B80" s="1" t="n">
        <v>45815.5346875</v>
      </c>
      <c r="C80" s="1" t="n">
        <v>45923</v>
      </c>
      <c r="D80" t="inlineStr">
        <is>
          <t>UPPSALA LÄN</t>
        </is>
      </c>
      <c r="E80" t="inlineStr">
        <is>
          <t>ÄLVKARLEBY</t>
        </is>
      </c>
      <c r="F80" t="inlineStr">
        <is>
          <t>Bergvik skog väst AB</t>
        </is>
      </c>
      <c r="G80" t="n">
        <v>4.4</v>
      </c>
      <c r="H80" t="n">
        <v>0</v>
      </c>
      <c r="I80" t="n">
        <v>0</v>
      </c>
      <c r="J80" t="n">
        <v>0</v>
      </c>
      <c r="K80" t="n">
        <v>0</v>
      </c>
      <c r="L80" t="n">
        <v>0</v>
      </c>
      <c r="M80" t="n">
        <v>0</v>
      </c>
      <c r="N80" t="n">
        <v>0</v>
      </c>
      <c r="O80" t="n">
        <v>0</v>
      </c>
      <c r="P80" t="n">
        <v>0</v>
      </c>
      <c r="Q80" t="n">
        <v>0</v>
      </c>
      <c r="R80" s="2" t="inlineStr"/>
    </row>
    <row r="81" ht="15" customHeight="1">
      <c r="A81" t="inlineStr">
        <is>
          <t>A 28670-2025</t>
        </is>
      </c>
      <c r="B81" s="1" t="n">
        <v>45819.67130787037</v>
      </c>
      <c r="C81" s="1" t="n">
        <v>45923</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28668-2025</t>
        </is>
      </c>
      <c r="B82" s="1" t="n">
        <v>45819.66650462963</v>
      </c>
      <c r="C82" s="1" t="n">
        <v>45923</v>
      </c>
      <c r="D82" t="inlineStr">
        <is>
          <t>UPPSALA LÄN</t>
        </is>
      </c>
      <c r="E82" t="inlineStr">
        <is>
          <t>ÄLVKARLEBY</t>
        </is>
      </c>
      <c r="F82" t="inlineStr">
        <is>
          <t>Bergvik skog väst AB</t>
        </is>
      </c>
      <c r="G82" t="n">
        <v>8.300000000000001</v>
      </c>
      <c r="H82" t="n">
        <v>0</v>
      </c>
      <c r="I82" t="n">
        <v>0</v>
      </c>
      <c r="J82" t="n">
        <v>0</v>
      </c>
      <c r="K82" t="n">
        <v>0</v>
      </c>
      <c r="L82" t="n">
        <v>0</v>
      </c>
      <c r="M82" t="n">
        <v>0</v>
      </c>
      <c r="N82" t="n">
        <v>0</v>
      </c>
      <c r="O82" t="n">
        <v>0</v>
      </c>
      <c r="P82" t="n">
        <v>0</v>
      </c>
      <c r="Q82" t="n">
        <v>0</v>
      </c>
      <c r="R82" s="2" t="inlineStr"/>
    </row>
    <row r="83" ht="15" customHeight="1">
      <c r="A83" t="inlineStr">
        <is>
          <t>A 19703-2025</t>
        </is>
      </c>
      <c r="B83" s="1" t="n">
        <v>45771</v>
      </c>
      <c r="C83" s="1" t="n">
        <v>45923</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46113-2023</t>
        </is>
      </c>
      <c r="B84" s="1" t="n">
        <v>45196.54938657407</v>
      </c>
      <c r="C84" s="1" t="n">
        <v>45923</v>
      </c>
      <c r="D84" t="inlineStr">
        <is>
          <t>UPPSALA LÄN</t>
        </is>
      </c>
      <c r="E84" t="inlineStr">
        <is>
          <t>ÄLVKARLEBY</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50409-2020</t>
        </is>
      </c>
      <c r="B85" s="1" t="n">
        <v>44110</v>
      </c>
      <c r="C85" s="1" t="n">
        <v>45923</v>
      </c>
      <c r="D85" t="inlineStr">
        <is>
          <t>UPPSALA LÄN</t>
        </is>
      </c>
      <c r="E85" t="inlineStr">
        <is>
          <t>ÄLVKARLEBY</t>
        </is>
      </c>
      <c r="F85" t="inlineStr">
        <is>
          <t>Bergvik skog väst AB</t>
        </is>
      </c>
      <c r="G85" t="n">
        <v>4</v>
      </c>
      <c r="H85" t="n">
        <v>0</v>
      </c>
      <c r="I85" t="n">
        <v>0</v>
      </c>
      <c r="J85" t="n">
        <v>0</v>
      </c>
      <c r="K85" t="n">
        <v>0</v>
      </c>
      <c r="L85" t="n">
        <v>0</v>
      </c>
      <c r="M85" t="n">
        <v>0</v>
      </c>
      <c r="N85" t="n">
        <v>0</v>
      </c>
      <c r="O85" t="n">
        <v>0</v>
      </c>
      <c r="P85" t="n">
        <v>0</v>
      </c>
      <c r="Q85" t="n">
        <v>0</v>
      </c>
      <c r="R85" s="2" t="inlineStr"/>
    </row>
    <row r="86" ht="15" customHeight="1">
      <c r="A86" t="inlineStr">
        <is>
          <t>A 30483-2025</t>
        </is>
      </c>
      <c r="B86" s="1" t="n">
        <v>45828.68988425926</v>
      </c>
      <c r="C86" s="1" t="n">
        <v>45923</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30944-2025</t>
        </is>
      </c>
      <c r="B87" s="1" t="n">
        <v>45832.41182870371</v>
      </c>
      <c r="C87" s="1" t="n">
        <v>45923</v>
      </c>
      <c r="D87" t="inlineStr">
        <is>
          <t>UPPSALA LÄN</t>
        </is>
      </c>
      <c r="E87" t="inlineStr">
        <is>
          <t>ÄLVKARLEBY</t>
        </is>
      </c>
      <c r="F87" t="inlineStr">
        <is>
          <t>Bergvik skog öst AB</t>
        </is>
      </c>
      <c r="G87" t="n">
        <v>3.4</v>
      </c>
      <c r="H87" t="n">
        <v>0</v>
      </c>
      <c r="I87" t="n">
        <v>0</v>
      </c>
      <c r="J87" t="n">
        <v>0</v>
      </c>
      <c r="K87" t="n">
        <v>0</v>
      </c>
      <c r="L87" t="n">
        <v>0</v>
      </c>
      <c r="M87" t="n">
        <v>0</v>
      </c>
      <c r="N87" t="n">
        <v>0</v>
      </c>
      <c r="O87" t="n">
        <v>0</v>
      </c>
      <c r="P87" t="n">
        <v>0</v>
      </c>
      <c r="Q87" t="n">
        <v>0</v>
      </c>
      <c r="R87" s="2" t="inlineStr"/>
    </row>
    <row r="88" ht="15" customHeight="1">
      <c r="A88" t="inlineStr">
        <is>
          <t>A 30936-2025</t>
        </is>
      </c>
      <c r="B88" s="1" t="n">
        <v>45832.40586805555</v>
      </c>
      <c r="C88" s="1" t="n">
        <v>45923</v>
      </c>
      <c r="D88" t="inlineStr">
        <is>
          <t>UPPSALA LÄN</t>
        </is>
      </c>
      <c r="E88" t="inlineStr">
        <is>
          <t>ÄLVKARLEBY</t>
        </is>
      </c>
      <c r="F88" t="inlineStr">
        <is>
          <t>Bergvik skog öst AB</t>
        </is>
      </c>
      <c r="G88" t="n">
        <v>7.2</v>
      </c>
      <c r="H88" t="n">
        <v>0</v>
      </c>
      <c r="I88" t="n">
        <v>0</v>
      </c>
      <c r="J88" t="n">
        <v>0</v>
      </c>
      <c r="K88" t="n">
        <v>0</v>
      </c>
      <c r="L88" t="n">
        <v>0</v>
      </c>
      <c r="M88" t="n">
        <v>0</v>
      </c>
      <c r="N88" t="n">
        <v>0</v>
      </c>
      <c r="O88" t="n">
        <v>0</v>
      </c>
      <c r="P88" t="n">
        <v>0</v>
      </c>
      <c r="Q88" t="n">
        <v>0</v>
      </c>
      <c r="R88" s="2" t="inlineStr"/>
    </row>
    <row r="89" ht="15" customHeight="1">
      <c r="A89" t="inlineStr">
        <is>
          <t>A 32221-2025</t>
        </is>
      </c>
      <c r="B89" s="1" t="n">
        <v>45835.5909837963</v>
      </c>
      <c r="C89" s="1" t="n">
        <v>45923</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32203-2025</t>
        </is>
      </c>
      <c r="B90" s="1" t="n">
        <v>45835.57951388889</v>
      </c>
      <c r="C90" s="1" t="n">
        <v>45923</v>
      </c>
      <c r="D90" t="inlineStr">
        <is>
          <t>UPPSALA LÄN</t>
        </is>
      </c>
      <c r="E90" t="inlineStr">
        <is>
          <t>ÄLVKARLEBY</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32186-2025</t>
        </is>
      </c>
      <c r="B91" s="1" t="n">
        <v>45835.5667824074</v>
      </c>
      <c r="C91" s="1" t="n">
        <v>45923</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32187-2025</t>
        </is>
      </c>
      <c r="B92" s="1" t="n">
        <v>45835.56949074074</v>
      </c>
      <c r="C92" s="1" t="n">
        <v>45923</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c r="A93" t="inlineStr">
        <is>
          <t>A 32212-2025</t>
        </is>
      </c>
      <c r="B93" s="1" t="n">
        <v>45835.58509259259</v>
      </c>
      <c r="C93" s="1" t="n">
        <v>45923</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2025-09-23T10:19:11Z</dcterms:created>
  <dcterms:modified xmlns:dcterms="http://purl.org/dc/terms/" xmlns:xsi="http://www.w3.org/2001/XMLSchema-instance" xsi:type="dcterms:W3CDTF">2025-09-23T10:19:11Z</dcterms:modified>
</cp:coreProperties>
</file>