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46233</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46233</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46233</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46233</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46233</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46233</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46233</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46233</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46233</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46233</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46233</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46233</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46233</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46233</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46233</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46233</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46233</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46233</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21700-2024</t>
        </is>
      </c>
      <c r="B20" t="inlineStr">
        <is>
          <t>avverkningsanmälan</t>
        </is>
      </c>
      <c r="C20" t="inlineStr">
        <is>
          <t>Föryngringsavverkning</t>
        </is>
      </c>
      <c r="D20" s="1" t="n">
        <v>45442</v>
      </c>
      <c r="E20" s="1" t="n">
        <v>46233</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46233</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46233</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15739-2025</t>
        </is>
      </c>
      <c r="B23" t="inlineStr">
        <is>
          <t>avverkningsanmälan</t>
        </is>
      </c>
      <c r="C23" t="inlineStr">
        <is>
          <t>Föryngringsavverkning</t>
        </is>
      </c>
      <c r="D23" s="1" t="n">
        <v>45748</v>
      </c>
      <c r="E23" s="1" t="n">
        <v>46233</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t="n">
        <v>0</v>
      </c>
      <c r="V23" s="2" t="inlineStr">
        <is>
          <t>Brunklöver
Slåtterfibbla</t>
        </is>
      </c>
      <c r="W23">
        <f>HYPERLINK("https://klasma.github.io/Logging_0319/artfynd/A 15739-2025 artfynd.xlsx", "A 15739-2025")</f>
        <v/>
      </c>
      <c r="X23">
        <f>HYPERLINK("https://klasma.github.io/Logging_0319/kartor/A 15739-2025 karta.png", "A 15739-2025")</f>
        <v/>
      </c>
      <c r="Y23">
        <f>HYPERLINK("https://klasma.github.io/Logging_0319/kartor_geotiff/A 15739-2025 georefererad karta.tif", "A 15739-2025")</f>
        <v/>
      </c>
      <c r="AA23">
        <f>HYPERLINK("https://klasma.github.io/Logging_0319/klagomål/A 15739-2025 FSC-klagomål.docx", "A 15739-2025")</f>
        <v/>
      </c>
      <c r="AB23">
        <f>HYPERLINK("https://klasma.github.io/Logging_0319/klagomålsmail/A 15739-2025 FSC-klagomål mail.docx", "A 15739-2025")</f>
        <v/>
      </c>
      <c r="AC23">
        <f>HYPERLINK("https://klasma.github.io/Logging_0319/tillsyn/A 15739-2025 tillsynsbegäran.docx", "A 15739-2025")</f>
        <v/>
      </c>
      <c r="AD23">
        <f>HYPERLINK("https://klasma.github.io/Logging_0319/tillsynsmail/A 15739-2025 tillsynsbegäran mail.docx", "A 15739-2025")</f>
        <v/>
      </c>
    </row>
    <row r="24" ht="15" customHeight="1">
      <c r="A24" t="inlineStr">
        <is>
          <t>A 4132-2026</t>
        </is>
      </c>
      <c r="B24" t="inlineStr">
        <is>
          <t>avverkningsanmälan</t>
        </is>
      </c>
      <c r="C24" t="inlineStr">
        <is>
          <t>Föryngringsavverkning</t>
        </is>
      </c>
      <c r="D24" s="1" t="n">
        <v>46044</v>
      </c>
      <c r="E24" s="1" t="n">
        <v>46233</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46233</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58485-2025</t>
        </is>
      </c>
      <c r="B26" t="inlineStr">
        <is>
          <t>avverkningsanmälan</t>
        </is>
      </c>
      <c r="C26" t="inlineStr">
        <is>
          <t>Föryngringsavverkning</t>
        </is>
      </c>
      <c r="D26" s="1" t="n">
        <v>45985</v>
      </c>
      <c r="E26" s="1" t="n">
        <v>46233</v>
      </c>
      <c r="F26" t="inlineStr">
        <is>
          <t>UPPSALA LÄN</t>
        </is>
      </c>
      <c r="G26" t="inlineStr">
        <is>
          <t>ÄLVKARLEBY</t>
        </is>
      </c>
      <c r="H26" t="inlineStr">
        <is>
          <t>Bergvik skog väst AB</t>
        </is>
      </c>
      <c r="I26" t="n">
        <v>2</v>
      </c>
      <c r="J26" t="n">
        <v>1</v>
      </c>
      <c r="K26" t="n">
        <v>1</v>
      </c>
      <c r="L26" t="n">
        <v>0</v>
      </c>
      <c r="M26" t="n">
        <v>1</v>
      </c>
      <c r="N26" t="n">
        <v>0</v>
      </c>
      <c r="O26" t="n">
        <v>0</v>
      </c>
      <c r="P26" t="n">
        <v>0</v>
      </c>
      <c r="Q26" t="n">
        <v>1</v>
      </c>
      <c r="R26" t="n">
        <v>1</v>
      </c>
      <c r="S26" t="n">
        <v>2</v>
      </c>
      <c r="T26" t="n">
        <v>2</v>
      </c>
      <c r="U26" t="n">
        <v>1</v>
      </c>
      <c r="V26" s="2" t="inlineStr">
        <is>
          <t>Knärot
Myskmadra</t>
        </is>
      </c>
      <c r="W26">
        <f>HYPERLINK("https://klasma.github.io/Logging_0319/artfynd/A 58485-2025 artfynd.xlsx", "A 58485-2025")</f>
        <v/>
      </c>
      <c r="X26">
        <f>HYPERLINK("https://klasma.github.io/Logging_0319/kartor/A 58485-2025 karta.png", "A 58485-2025")</f>
        <v/>
      </c>
      <c r="Y26">
        <f>HYPERLINK("https://klasma.github.io/Logging_0319/kartor_geotiff/A 58485-2025 georefererad karta.tif", "A 58485-2025")</f>
        <v/>
      </c>
      <c r="Z26">
        <f>HYPERLINK("https://klasma.github.io/Logging_0319/knärot/A 58485-2025 karta knärot.png", "A 58485-2025")</f>
        <v/>
      </c>
      <c r="AA26">
        <f>HYPERLINK("https://klasma.github.io/Logging_0319/klagomål/A 58485-2025 FSC-klagomål.docx", "A 58485-2025")</f>
        <v/>
      </c>
      <c r="AB26">
        <f>HYPERLINK("https://klasma.github.io/Logging_0319/klagomålsmail/A 58485-2025 FSC-klagomål mail.docx", "A 58485-2025")</f>
        <v/>
      </c>
      <c r="AC26">
        <f>HYPERLINK("https://klasma.github.io/Logging_0319/tillsyn/A 58485-2025 tillsynsbegäran.docx", "A 58485-2025")</f>
        <v/>
      </c>
      <c r="AD26">
        <f>HYPERLINK("https://klasma.github.io/Logging_0319/tillsynsmail/A 58485-2025 tillsynsbegäran mail.docx", "A 58485-2025")</f>
        <v/>
      </c>
    </row>
    <row r="27" ht="15" customHeight="1">
      <c r="A27" t="inlineStr">
        <is>
          <t>S 780-2024</t>
        </is>
      </c>
      <c r="B27" t="inlineStr">
        <is>
          <t>samrådsanmälan</t>
        </is>
      </c>
      <c r="C27" t="inlineStr">
        <is>
          <t>Annan skogsbruksåtgärd</t>
        </is>
      </c>
      <c r="D27" s="1" t="n">
        <v>45369</v>
      </c>
      <c r="E27" s="1" t="n">
        <v>46233</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46233</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t="n">
        <v>1</v>
      </c>
      <c r="V28" s="2" t="inlineStr">
        <is>
          <t>Gölgroda</t>
        </is>
      </c>
      <c r="W28">
        <f>HYPERLINK("https://klasma.github.io/Logging_0319/artfynd/A 19303-2024 artfynd.xlsx", "A 19303-2024")</f>
        <v/>
      </c>
      <c r="X28">
        <f>HYPERLINK("https://klasma.github.io/Logging_0319/kartor/A 19303-2024 karta.png", "A 19303-2024")</f>
        <v/>
      </c>
      <c r="Y28">
        <f>HYPERLINK("https://klasma.github.io/Logging_0319/kartor_geotiff/A 19303-2024 georefererad karta.tif", "A 19303-2024")</f>
        <v/>
      </c>
      <c r="AA28">
        <f>HYPERLINK("https://klasma.github.io/Logging_0319/klagomål/A 19303-2024 FSC-klagomål.docx", "A 19303-2024")</f>
        <v/>
      </c>
      <c r="AB28">
        <f>HYPERLINK("https://klasma.github.io/Logging_0319/klagomålsmail/A 19303-2024 FSC-klagomål mail.docx", "A 19303-2024")</f>
        <v/>
      </c>
      <c r="AC28">
        <f>HYPERLINK("https://klasma.github.io/Logging_0319/tillsyn/A 19303-2024 tillsynsbegäran.docx", "A 19303-2024")</f>
        <v/>
      </c>
      <c r="AD28">
        <f>HYPERLINK("https://klasma.github.io/Logging_0319/tillsynsmail/A 19303-2024 tillsynsbegäran mail.docx", "A 19303-2024")</f>
        <v/>
      </c>
    </row>
    <row r="29" ht="15" customHeight="1">
      <c r="A29" t="inlineStr">
        <is>
          <t>A 4131-2026</t>
        </is>
      </c>
      <c r="B29" t="inlineStr">
        <is>
          <t>avverkningsanmälan</t>
        </is>
      </c>
      <c r="C29" t="inlineStr">
        <is>
          <t>Föryngringsavverkning</t>
        </is>
      </c>
      <c r="D29" s="1" t="n">
        <v>46044</v>
      </c>
      <c r="E29" s="1" t="n">
        <v>46233</v>
      </c>
      <c r="F29" t="inlineStr">
        <is>
          <t>UPPSALA LÄN</t>
        </is>
      </c>
      <c r="G29" t="inlineStr">
        <is>
          <t>ÄLVKARLEBY</t>
        </is>
      </c>
      <c r="H29" t="inlineStr">
        <is>
          <t>Bergvik skog öst AB</t>
        </is>
      </c>
      <c r="I29" t="n">
        <v>2.4</v>
      </c>
      <c r="J29" t="n">
        <v>1</v>
      </c>
      <c r="K29" t="n">
        <v>1</v>
      </c>
      <c r="L29" t="n">
        <v>0</v>
      </c>
      <c r="M29" t="n">
        <v>0</v>
      </c>
      <c r="N29" t="n">
        <v>0</v>
      </c>
      <c r="O29" t="n">
        <v>0</v>
      </c>
      <c r="P29" t="n">
        <v>0</v>
      </c>
      <c r="Q29" t="n">
        <v>0</v>
      </c>
      <c r="R29" t="n">
        <v>0</v>
      </c>
      <c r="S29" t="n">
        <v>1</v>
      </c>
      <c r="T29" t="n">
        <v>1</v>
      </c>
      <c r="U29" t="n">
        <v>0</v>
      </c>
      <c r="V29" s="2" t="inlineStr">
        <is>
          <t>Nästrot</t>
        </is>
      </c>
      <c r="W29">
        <f>HYPERLINK("https://klasma.github.io/Logging_0319/artfynd/A 4131-2026 artfynd.xlsx", "A 4131-2026")</f>
        <v/>
      </c>
      <c r="X29">
        <f>HYPERLINK("https://klasma.github.io/Logging_0319/kartor/A 4131-2026 karta.png", "A 4131-2026")</f>
        <v/>
      </c>
      <c r="Y29">
        <f>HYPERLINK("https://klasma.github.io/Logging_0319/kartor_geotiff/A 4131-2026 georefererad karta.tif", "A 4131-2026")</f>
        <v/>
      </c>
      <c r="AA29">
        <f>HYPERLINK("https://klasma.github.io/Logging_0319/klagomål/A 4131-2026 FSC-klagomål.docx", "A 4131-2026")</f>
        <v/>
      </c>
      <c r="AB29">
        <f>HYPERLINK("https://klasma.github.io/Logging_0319/klagomålsmail/A 4131-2026 FSC-klagomål mail.docx", "A 4131-2026")</f>
        <v/>
      </c>
      <c r="AC29">
        <f>HYPERLINK("https://klasma.github.io/Logging_0319/tillsyn/A 4131-2026 tillsynsbegäran.docx", "A 4131-2026")</f>
        <v/>
      </c>
      <c r="AD29">
        <f>HYPERLINK("https://klasma.github.io/Logging_0319/tillsynsmail/A 4131-2026 tillsynsbegäran mail.docx", "A 4131-2026")</f>
        <v/>
      </c>
    </row>
    <row r="30" ht="15" customHeight="1">
      <c r="A30" t="inlineStr">
        <is>
          <t>A 19300-2024</t>
        </is>
      </c>
      <c r="B30" t="inlineStr">
        <is>
          <t>avverkningsanmälan</t>
        </is>
      </c>
      <c r="C30" t="inlineStr">
        <is>
          <t>Föryngringsavverkning</t>
        </is>
      </c>
      <c r="D30" s="1" t="n">
        <v>45428</v>
      </c>
      <c r="E30" s="1" t="n">
        <v>46233</v>
      </c>
      <c r="F30" t="inlineStr">
        <is>
          <t>UPPSALA LÄN</t>
        </is>
      </c>
      <c r="G30" t="inlineStr">
        <is>
          <t>ÄLVKARLEBY</t>
        </is>
      </c>
      <c r="I30" t="n">
        <v>0.9</v>
      </c>
      <c r="J30" t="n">
        <v>1</v>
      </c>
      <c r="K30" t="n">
        <v>0</v>
      </c>
      <c r="L30" t="n">
        <v>1</v>
      </c>
      <c r="M30" t="n">
        <v>0</v>
      </c>
      <c r="N30" t="n">
        <v>0</v>
      </c>
      <c r="O30" t="n">
        <v>0</v>
      </c>
      <c r="P30" t="n">
        <v>0</v>
      </c>
      <c r="Q30" t="n">
        <v>1</v>
      </c>
      <c r="R30" t="n">
        <v>0</v>
      </c>
      <c r="S30" t="n">
        <v>1</v>
      </c>
      <c r="T30" t="n">
        <v>1</v>
      </c>
      <c r="U30" t="n">
        <v>1</v>
      </c>
      <c r="V30" s="2" t="inlineStr">
        <is>
          <t>Kricka</t>
        </is>
      </c>
      <c r="W30">
        <f>HYPERLINK("https://klasma.github.io/Logging_0319/artfynd/A 19300-2024 artfynd.xlsx", "A 19300-2024")</f>
        <v/>
      </c>
      <c r="X30">
        <f>HYPERLINK("https://klasma.github.io/Logging_0319/kartor/A 19300-2024 karta.png", "A 19300-2024")</f>
        <v/>
      </c>
      <c r="Y30">
        <f>HYPERLINK("https://klasma.github.io/Logging_0319/kartor_geotiff/A 19300-2024 georefererad karta.tif", "A 19300-2024")</f>
        <v/>
      </c>
      <c r="AA30">
        <f>HYPERLINK("https://klasma.github.io/Logging_0319/klagomål/A 19300-2024 FSC-klagomål.docx", "A 19300-2024")</f>
        <v/>
      </c>
      <c r="AB30">
        <f>HYPERLINK("https://klasma.github.io/Logging_0319/klagomålsmail/A 19300-2024 FSC-klagomål mail.docx", "A 19300-2024")</f>
        <v/>
      </c>
      <c r="AC30">
        <f>HYPERLINK("https://klasma.github.io/Logging_0319/tillsyn/A 19300-2024 tillsynsbegäran.docx", "A 19300-2024")</f>
        <v/>
      </c>
      <c r="AD30">
        <f>HYPERLINK("https://klasma.github.io/Logging_0319/tillsynsmail/A 19300-2024 tillsynsbegäran mail.docx", "A 19300-2024")</f>
        <v/>
      </c>
      <c r="AE30">
        <f>HYPERLINK("https://klasma.github.io/Logging_0319/fåglar/A 19300-2024 prioriterade fågelarter.docx", "A 19300-2024")</f>
        <v/>
      </c>
    </row>
    <row r="31" ht="15" customHeight="1">
      <c r="A31" t="inlineStr">
        <is>
          <t>A 51238-2025</t>
        </is>
      </c>
      <c r="B31" t="inlineStr">
        <is>
          <t>avverkningsanmälan</t>
        </is>
      </c>
      <c r="C31" t="inlineStr">
        <is>
          <t>Föryngringsavverkning</t>
        </is>
      </c>
      <c r="D31" s="1" t="n">
        <v>45947</v>
      </c>
      <c r="E31" s="1" t="n">
        <v>46233</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7286-2023</t>
        </is>
      </c>
      <c r="B32" t="inlineStr">
        <is>
          <t>avverkningsanmälan</t>
        </is>
      </c>
      <c r="C32" t="inlineStr">
        <is>
          <t>Avverkning för annat ändamål</t>
        </is>
      </c>
      <c r="D32" s="1" t="n">
        <v>44970</v>
      </c>
      <c r="E32" s="1" t="n">
        <v>46233</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t="n">
        <v>0</v>
      </c>
      <c r="V32" s="2" t="inlineStr">
        <is>
          <t>Grönpyrola</t>
        </is>
      </c>
      <c r="W32">
        <f>HYPERLINK("https://klasma.github.io/Logging_0319/artfynd/A 7286-2023 artfynd.xlsx", "A 7286-2023")</f>
        <v/>
      </c>
      <c r="X32">
        <f>HYPERLINK("https://klasma.github.io/Logging_0319/kartor/A 7286-2023 karta.png", "A 7286-2023")</f>
        <v/>
      </c>
      <c r="Y32">
        <f>HYPERLINK("https://klasma.github.io/Logging_0319/kartor_geotiff/A 7286-2023 georefererad karta.tif", "A 7286-2023")</f>
        <v/>
      </c>
      <c r="AA32">
        <f>HYPERLINK("https://klasma.github.io/Logging_0319/klagomål/A 7286-2023 FSC-klagomål.docx", "A 7286-2023")</f>
        <v/>
      </c>
      <c r="AB32">
        <f>HYPERLINK("https://klasma.github.io/Logging_0319/klagomålsmail/A 7286-2023 FSC-klagomål mail.docx", "A 7286-2023")</f>
        <v/>
      </c>
      <c r="AC32">
        <f>HYPERLINK("https://klasma.github.io/Logging_0319/tillsyn/A 7286-2023 tillsynsbegäran.docx", "A 7286-2023")</f>
        <v/>
      </c>
      <c r="AD32">
        <f>HYPERLINK("https://klasma.github.io/Logging_0319/tillsynsmail/A 7286-2023 tillsynsbegäran mail.docx", "A 7286-2023")</f>
        <v/>
      </c>
    </row>
    <row r="33" ht="15" customHeight="1">
      <c r="A33" t="inlineStr">
        <is>
          <t>A 57734-2025</t>
        </is>
      </c>
      <c r="B33" t="inlineStr">
        <is>
          <t>avverkningsanmälan</t>
        </is>
      </c>
      <c r="C33" t="inlineStr">
        <is>
          <t>Föryngringsavverkning</t>
        </is>
      </c>
      <c r="D33" s="1" t="n">
        <v>45981</v>
      </c>
      <c r="E33" s="1" t="n">
        <v>46233</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59993-2025</t>
        </is>
      </c>
      <c r="B34" t="inlineStr">
        <is>
          <t>avverkningsanmälan</t>
        </is>
      </c>
      <c r="C34" t="inlineStr">
        <is>
          <t>Avverkning för att bevara och utveckla /försöksver</t>
        </is>
      </c>
      <c r="D34" s="1" t="n">
        <v>45993</v>
      </c>
      <c r="E34" s="1" t="n">
        <v>46233</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14127-2026</t>
        </is>
      </c>
      <c r="B35" t="inlineStr">
        <is>
          <t>avverkningsanmälan</t>
        </is>
      </c>
      <c r="C35" t="inlineStr">
        <is>
          <t>Föryngringsavverkning</t>
        </is>
      </c>
      <c r="D35" s="1" t="n">
        <v>46099</v>
      </c>
      <c r="E35" s="1" t="n">
        <v>46233</v>
      </c>
      <c r="F35" t="inlineStr">
        <is>
          <t>UPPSALA LÄN</t>
        </is>
      </c>
      <c r="G35" t="inlineStr">
        <is>
          <t>ÄLVKARLEBY</t>
        </is>
      </c>
      <c r="I35" t="n">
        <v>1.7</v>
      </c>
      <c r="J35" t="n">
        <v>0</v>
      </c>
      <c r="K35" t="n">
        <v>0</v>
      </c>
      <c r="L35" t="n">
        <v>0</v>
      </c>
      <c r="M35" t="n">
        <v>1</v>
      </c>
      <c r="N35" t="n">
        <v>0</v>
      </c>
      <c r="O35" t="n">
        <v>0</v>
      </c>
      <c r="P35" t="n">
        <v>0</v>
      </c>
      <c r="Q35" t="n">
        <v>1</v>
      </c>
      <c r="R35" t="n">
        <v>1</v>
      </c>
      <c r="S35" t="n">
        <v>1</v>
      </c>
      <c r="T35" t="n">
        <v>1</v>
      </c>
      <c r="U35" t="n">
        <v>0</v>
      </c>
      <c r="V35" s="2" t="inlineStr">
        <is>
          <t>Grangråticka</t>
        </is>
      </c>
      <c r="W35">
        <f>HYPERLINK("https://klasma.github.io/Logging_0319/artfynd/A 14127-2026 artfynd.xlsx", "A 14127-2026")</f>
        <v/>
      </c>
      <c r="X35">
        <f>HYPERLINK("https://klasma.github.io/Logging_0319/kartor/A 14127-2026 karta.png", "A 14127-2026")</f>
        <v/>
      </c>
      <c r="Y35">
        <f>HYPERLINK("https://klasma.github.io/Logging_0319/kartor_geotiff/A 14127-2026 georefererad karta.tif", "A 14127-2026")</f>
        <v/>
      </c>
      <c r="AA35">
        <f>HYPERLINK("https://klasma.github.io/Logging_0319/klagomål/A 14127-2026 FSC-klagomål.docx", "A 14127-2026")</f>
        <v/>
      </c>
      <c r="AB35">
        <f>HYPERLINK("https://klasma.github.io/Logging_0319/klagomålsmail/A 14127-2026 FSC-klagomål mail.docx", "A 14127-2026")</f>
        <v/>
      </c>
      <c r="AC35">
        <f>HYPERLINK("https://klasma.github.io/Logging_0319/tillsyn/A 14127-2026 tillsynsbegäran.docx", "A 14127-2026")</f>
        <v/>
      </c>
      <c r="AD35">
        <f>HYPERLINK("https://klasma.github.io/Logging_0319/tillsynsmail/A 14127-2026 tillsynsbegäran mail.docx", "A 14127-2026")</f>
        <v/>
      </c>
    </row>
    <row r="36" ht="15" customHeight="1">
      <c r="A36" t="inlineStr">
        <is>
          <t>A 10455-2022</t>
        </is>
      </c>
      <c r="B36" t="inlineStr">
        <is>
          <t>avverkningsanmälan</t>
        </is>
      </c>
      <c r="C36" t="inlineStr">
        <is>
          <t>Föryngringsavverkning</t>
        </is>
      </c>
      <c r="D36" s="1" t="n">
        <v>44623</v>
      </c>
      <c r="E36" s="1" t="n">
        <v>46233</v>
      </c>
      <c r="F36" t="inlineStr">
        <is>
          <t>UPPSALA LÄN</t>
        </is>
      </c>
      <c r="G36" t="inlineStr">
        <is>
          <t>ÄLVKARLEBY</t>
        </is>
      </c>
      <c r="H36" t="inlineStr">
        <is>
          <t>Bergvik skog öst AB</t>
        </is>
      </c>
      <c r="I36" t="n">
        <v>1.1</v>
      </c>
      <c r="J36" t="n">
        <v>0</v>
      </c>
      <c r="K36" t="n">
        <v>0</v>
      </c>
      <c r="L36" t="n">
        <v>1</v>
      </c>
      <c r="M36" t="n">
        <v>0</v>
      </c>
      <c r="N36" t="n">
        <v>0</v>
      </c>
      <c r="O36" t="n">
        <v>0</v>
      </c>
      <c r="P36" t="n">
        <v>0</v>
      </c>
      <c r="Q36" t="n">
        <v>1</v>
      </c>
      <c r="R36" t="n">
        <v>0</v>
      </c>
      <c r="S36" t="n">
        <v>1</v>
      </c>
      <c r="T36" t="n">
        <v>4</v>
      </c>
      <c r="U36" t="n">
        <v>1</v>
      </c>
      <c r="V36" s="2" t="inlineStr">
        <is>
          <t>Sandviol</t>
        </is>
      </c>
      <c r="W36">
        <f>HYPERLINK("https://klasma.github.io/Logging_0319/artfynd/A 10455-2022 artfynd.xlsx", "A 10455-2022")</f>
        <v/>
      </c>
      <c r="X36">
        <f>HYPERLINK("https://klasma.github.io/Logging_0319/kartor/A 10455-2022 karta.png", "A 10455-2022")</f>
        <v/>
      </c>
      <c r="Y36">
        <f>HYPERLINK("https://klasma.github.io/Logging_0319/kartor_geotiff/A 10455-2022 georefererad karta.tif", "A 10455-2022")</f>
        <v/>
      </c>
      <c r="AA36">
        <f>HYPERLINK("https://klasma.github.io/Logging_0319/klagomål/A 10455-2022 FSC-klagomål.docx", "A 10455-2022")</f>
        <v/>
      </c>
      <c r="AB36">
        <f>HYPERLINK("https://klasma.github.io/Logging_0319/klagomålsmail/A 10455-2022 FSC-klagomål mail.docx", "A 10455-2022")</f>
        <v/>
      </c>
      <c r="AC36">
        <f>HYPERLINK("https://klasma.github.io/Logging_0319/tillsyn/A 10455-2022 tillsynsbegäran.docx", "A 10455-2022")</f>
        <v/>
      </c>
      <c r="AD36">
        <f>HYPERLINK("https://klasma.github.io/Logging_0319/tillsynsmail/A 10455-2022 tillsynsbegäran mail.docx", "A 10455-2022")</f>
        <v/>
      </c>
    </row>
    <row r="37" ht="15" customHeight="1">
      <c r="A37" t="inlineStr">
        <is>
          <t>A 60829-2025</t>
        </is>
      </c>
      <c r="B37" t="inlineStr">
        <is>
          <t>avverkningsanmälan</t>
        </is>
      </c>
      <c r="C37" t="inlineStr">
        <is>
          <t>Avverkning för att bevara och utveckla /försöksver</t>
        </is>
      </c>
      <c r="D37" s="1" t="n">
        <v>45999</v>
      </c>
      <c r="E37" s="1" t="n">
        <v>46233</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63004-2025</t>
        </is>
      </c>
      <c r="B38" t="inlineStr">
        <is>
          <t>avverkningsanmälan</t>
        </is>
      </c>
      <c r="C38" t="inlineStr">
        <is>
          <t>Föryngringsavverkning</t>
        </is>
      </c>
      <c r="D38" s="1" t="n">
        <v>46009</v>
      </c>
      <c r="E38" s="1" t="n">
        <v>46233</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70017-2021</t>
        </is>
      </c>
      <c r="B39" t="inlineStr">
        <is>
          <t>avverkningsanmälan</t>
        </is>
      </c>
      <c r="C39" t="inlineStr">
        <is>
          <t>Föryngringsavverkning</t>
        </is>
      </c>
      <c r="D39" s="1" t="n">
        <v>44533</v>
      </c>
      <c r="E39" s="1" t="n">
        <v>46233</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t="n">
        <v>1</v>
      </c>
      <c r="V39" s="2" t="inlineStr">
        <is>
          <t>Trana</t>
        </is>
      </c>
      <c r="W39">
        <f>HYPERLINK("https://klasma.github.io/Logging_0319/artfynd/A 70017-2021 artfynd.xlsx", "A 70017-2021")</f>
        <v/>
      </c>
      <c r="X39">
        <f>HYPERLINK("https://klasma.github.io/Logging_0319/kartor/A 70017-2021 karta.png", "A 70017-2021")</f>
        <v/>
      </c>
      <c r="Y39">
        <f>HYPERLINK("https://klasma.github.io/Logging_0319/kartor_geotiff/A 70017-2021 georefererad karta.tif", "A 70017-2021")</f>
        <v/>
      </c>
      <c r="AA39">
        <f>HYPERLINK("https://klasma.github.io/Logging_0319/klagomål/A 70017-2021 FSC-klagomål.docx", "A 70017-2021")</f>
        <v/>
      </c>
      <c r="AB39">
        <f>HYPERLINK("https://klasma.github.io/Logging_0319/klagomålsmail/A 70017-2021 FSC-klagomål mail.docx", "A 70017-2021")</f>
        <v/>
      </c>
      <c r="AC39">
        <f>HYPERLINK("https://klasma.github.io/Logging_0319/tillsyn/A 70017-2021 tillsynsbegäran.docx", "A 70017-2021")</f>
        <v/>
      </c>
      <c r="AD39">
        <f>HYPERLINK("https://klasma.github.io/Logging_0319/tillsynsmail/A 70017-2021 tillsynsbegäran mail.docx", "A 70017-2021")</f>
        <v/>
      </c>
      <c r="AE39">
        <f>HYPERLINK("https://klasma.github.io/Logging_0319/fåglar/A 70017-2021 prioriterade fågelarter.docx", "A 70017-2021")</f>
        <v/>
      </c>
    </row>
    <row r="40" ht="15" customHeight="1">
      <c r="A40" t="inlineStr">
        <is>
          <t>A 1673-2026</t>
        </is>
      </c>
      <c r="B40" t="inlineStr">
        <is>
          <t>avverkningsanmälan</t>
        </is>
      </c>
      <c r="C40" t="inlineStr">
        <is>
          <t>Föryngringsavverkning</t>
        </is>
      </c>
      <c r="D40" s="1" t="n">
        <v>46034</v>
      </c>
      <c r="E40" s="1" t="n">
        <v>46233</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19304-2024</t>
        </is>
      </c>
      <c r="B41" t="inlineStr">
        <is>
          <t>avverkningsanmälan</t>
        </is>
      </c>
      <c r="C41" t="inlineStr">
        <is>
          <t>Föryngringsavverkning</t>
        </is>
      </c>
      <c r="D41" s="1" t="n">
        <v>45428</v>
      </c>
      <c r="E41" s="1" t="n">
        <v>46233</v>
      </c>
      <c r="F41" t="inlineStr">
        <is>
          <t>UPPSALA LÄN</t>
        </is>
      </c>
      <c r="G41" t="inlineStr">
        <is>
          <t>ÄLVKARLEBY</t>
        </is>
      </c>
      <c r="I41" t="n">
        <v>0.2</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HYPERLINK("https://klasma.github.io/Logging_0319/artfynd/A 19304-2024 artfynd.xlsx", "A 19304-2024")</f>
        <v/>
      </c>
      <c r="X41">
        <f>HYPERLINK("https://klasma.github.io/Logging_0319/kartor/A 19304-2024 karta.png", "A 19304-2024")</f>
        <v/>
      </c>
      <c r="Y41">
        <f>HYPERLINK("https://klasma.github.io/Logging_0319/kartor_geotiff/A 19304-2024 georefererad karta.tif", "A 19304-2024")</f>
        <v/>
      </c>
      <c r="AA41">
        <f>HYPERLINK("https://klasma.github.io/Logging_0319/klagomål/A 19304-2024 FSC-klagomål.docx", "A 19304-2024")</f>
        <v/>
      </c>
      <c r="AB41">
        <f>HYPERLINK("https://klasma.github.io/Logging_0319/klagomålsmail/A 19304-2024 FSC-klagomål mail.docx", "A 19304-2024")</f>
        <v/>
      </c>
      <c r="AC41">
        <f>HYPERLINK("https://klasma.github.io/Logging_0319/tillsyn/A 19304-2024 tillsynsbegäran.docx", "A 19304-2024")</f>
        <v/>
      </c>
      <c r="AD41">
        <f>HYPERLINK("https://klasma.github.io/Logging_0319/tillsynsmail/A 19304-2024 tillsynsbegäran mail.docx", "A 19304-2024")</f>
        <v/>
      </c>
    </row>
    <row r="42" ht="15" customHeight="1">
      <c r="A42" t="inlineStr">
        <is>
          <t>A 43285-2023</t>
        </is>
      </c>
      <c r="B42" t="inlineStr">
        <is>
          <t>avverkningsanmälan</t>
        </is>
      </c>
      <c r="C42" t="inlineStr">
        <is>
          <t>Föryngringsavverkning</t>
        </is>
      </c>
      <c r="D42" s="1" t="n">
        <v>45183</v>
      </c>
      <c r="E42" s="1" t="n">
        <v>46233</v>
      </c>
      <c r="F42" t="inlineStr">
        <is>
          <t>UPPSALA LÄN</t>
        </is>
      </c>
      <c r="G42" t="inlineStr">
        <is>
          <t>ÄLVKARLEBY</t>
        </is>
      </c>
      <c r="H42" t="inlineStr">
        <is>
          <t>Bergvik skog väst AB</t>
        </is>
      </c>
      <c r="I42" t="n">
        <v>1.3</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HYPERLINK("https://klasma.github.io/Logging_0319/artfynd/A 43285-2023 artfynd.xlsx", "A 43285-2023")</f>
        <v/>
      </c>
      <c r="X42">
        <f>HYPERLINK("https://klasma.github.io/Logging_0319/kartor/A 43285-2023 karta.png", "A 43285-2023")</f>
        <v/>
      </c>
      <c r="Y42">
        <f>HYPERLINK("https://klasma.github.io/Logging_0319/kartor_geotiff/A 43285-2023 georefererad karta.tif", "A 43285-2023")</f>
        <v/>
      </c>
      <c r="AA42">
        <f>HYPERLINK("https://klasma.github.io/Logging_0319/klagomål/A 43285-2023 FSC-klagomål.docx", "A 43285-2023")</f>
        <v/>
      </c>
      <c r="AB42">
        <f>HYPERLINK("https://klasma.github.io/Logging_0319/klagomålsmail/A 43285-2023 FSC-klagomål mail.docx", "A 43285-2023")</f>
        <v/>
      </c>
      <c r="AC42">
        <f>HYPERLINK("https://klasma.github.io/Logging_0319/tillsyn/A 43285-2023 tillsynsbegäran.docx", "A 43285-2023")</f>
        <v/>
      </c>
      <c r="AD42">
        <f>HYPERLINK("https://klasma.github.io/Logging_0319/tillsynsmail/A 43285-2023 tillsynsbegäran mail.docx", "A 43285-2023")</f>
        <v/>
      </c>
    </row>
    <row r="43" ht="15" customHeight="1">
      <c r="A43" t="inlineStr">
        <is>
          <t>A 3950-2025</t>
        </is>
      </c>
      <c r="B43" t="inlineStr">
        <is>
          <t>avverkningsanmälan</t>
        </is>
      </c>
      <c r="C43" t="inlineStr">
        <is>
          <t>Avverkning för annat ändamål</t>
        </is>
      </c>
      <c r="D43" s="1" t="n">
        <v>45684</v>
      </c>
      <c r="E43" s="1" t="n">
        <v>46233</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t="n">
        <v>0</v>
      </c>
      <c r="V43" s="2" t="inlineStr">
        <is>
          <t>Månlåsbräken</t>
        </is>
      </c>
      <c r="W43">
        <f>HYPERLINK("https://klasma.github.io/Logging_0319/artfynd/A 3950-2025 artfynd.xlsx", "A 3950-2025")</f>
        <v/>
      </c>
      <c r="X43">
        <f>HYPERLINK("https://klasma.github.io/Logging_0319/kartor/A 3950-2025 karta.png", "A 3950-2025")</f>
        <v/>
      </c>
      <c r="Y43">
        <f>HYPERLINK("https://klasma.github.io/Logging_0319/kartor_geotiff/A 3950-2025 georefererad karta.tif", "A 3950-2025")</f>
        <v/>
      </c>
      <c r="AA43">
        <f>HYPERLINK("https://klasma.github.io/Logging_0319/klagomål/A 3950-2025 FSC-klagomål.docx", "A 3950-2025")</f>
        <v/>
      </c>
      <c r="AB43">
        <f>HYPERLINK("https://klasma.github.io/Logging_0319/klagomålsmail/A 3950-2025 FSC-klagomål mail.docx", "A 3950-2025")</f>
        <v/>
      </c>
      <c r="AC43">
        <f>HYPERLINK("https://klasma.github.io/Logging_0319/tillsyn/A 3950-2025 tillsynsbegäran.docx", "A 3950-2025")</f>
        <v/>
      </c>
      <c r="AD43">
        <f>HYPERLINK("https://klasma.github.io/Logging_0319/tillsynsmail/A 3950-2025 tillsynsbegäran mail.docx", "A 3950-2025")</f>
        <v/>
      </c>
    </row>
    <row r="44" ht="15" customHeight="1">
      <c r="A44" t="inlineStr">
        <is>
          <t>A 30236-2026</t>
        </is>
      </c>
      <c r="B44" t="inlineStr">
        <is>
          <t>avverkningsanmälan</t>
        </is>
      </c>
      <c r="C44" t="inlineStr">
        <is>
          <t>Föryngringsavverkning</t>
        </is>
      </c>
      <c r="D44" s="1" t="n">
        <v>46206</v>
      </c>
      <c r="E44" s="1" t="n">
        <v>46233</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30236-2026 artfynd.xlsx", "A 30236-2026")</f>
        <v/>
      </c>
      <c r="X44">
        <f>HYPERLINK("https://klasma.github.io/Logging_0319/kartor/A 30236-2026 karta.png", "A 30236-2026")</f>
        <v/>
      </c>
      <c r="Y44">
        <f>HYPERLINK("https://klasma.github.io/Logging_0319/kartor_geotiff/A 30236-2026 georefererad karta.tif", "A 30236-2026")</f>
        <v/>
      </c>
      <c r="AA44">
        <f>HYPERLINK("https://klasma.github.io/Logging_0319/klagomål/A 30236-2026 FSC-klagomål.docx", "A 30236-2026")</f>
        <v/>
      </c>
      <c r="AB44">
        <f>HYPERLINK("https://klasma.github.io/Logging_0319/klagomålsmail/A 30236-2026 FSC-klagomål mail.docx", "A 30236-2026")</f>
        <v/>
      </c>
      <c r="AC44">
        <f>HYPERLINK("https://klasma.github.io/Logging_0319/tillsyn/A 30236-2026 tillsynsbegäran.docx", "A 30236-2026")</f>
        <v/>
      </c>
      <c r="AD44">
        <f>HYPERLINK("https://klasma.github.io/Logging_0319/tillsynsmail/A 30236-2026 tillsynsbegäran mail.docx", "A 30236-2026")</f>
        <v/>
      </c>
    </row>
    <row r="45" ht="15" customHeight="1">
      <c r="A45" t="inlineStr">
        <is>
          <t>A 30233-2026</t>
        </is>
      </c>
      <c r="B45" t="inlineStr">
        <is>
          <t>avverkningsanmälan</t>
        </is>
      </c>
      <c r="C45" t="inlineStr">
        <is>
          <t>Föryngringsavverkning</t>
        </is>
      </c>
      <c r="D45" s="1" t="n">
        <v>46206</v>
      </c>
      <c r="E45" s="1" t="n">
        <v>46233</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36217-2022</t>
        </is>
      </c>
      <c r="B46" t="inlineStr">
        <is>
          <t>avverkningsanmälan</t>
        </is>
      </c>
      <c r="C46" t="inlineStr">
        <is>
          <t>Avverkning för annat ändamål</t>
        </is>
      </c>
      <c r="D46" s="1" t="n">
        <v>44803</v>
      </c>
      <c r="E46" s="1" t="n">
        <v>46233</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46233</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36216-2022</t>
        </is>
      </c>
      <c r="B48" t="inlineStr">
        <is>
          <t>avverkningsanmälan</t>
        </is>
      </c>
      <c r="C48" t="inlineStr">
        <is>
          <t>Avverkning för annat ändamål</t>
        </is>
      </c>
      <c r="D48" s="1" t="n">
        <v>44803</v>
      </c>
      <c r="E48" s="1" t="n">
        <v>46233</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46233</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38226-2023</t>
        </is>
      </c>
      <c r="B50" t="inlineStr">
        <is>
          <t>avverkningsanmälan</t>
        </is>
      </c>
      <c r="C50" t="inlineStr">
        <is>
          <t>Föryngringsavverkning</t>
        </is>
      </c>
      <c r="D50" s="1" t="n">
        <v>45161</v>
      </c>
      <c r="E50" s="1" t="n">
        <v>46233</v>
      </c>
      <c r="F50" t="inlineStr">
        <is>
          <t>UPPSALA LÄN</t>
        </is>
      </c>
      <c r="G50" t="inlineStr">
        <is>
          <t>ÄLVKARLEBY</t>
        </is>
      </c>
      <c r="H50" t="inlineStr">
        <is>
          <t>Bergvik skog väst AB</t>
        </is>
      </c>
      <c r="I50" t="n">
        <v>4.5</v>
      </c>
      <c r="J50" t="n">
        <v>0</v>
      </c>
      <c r="K50" t="n">
        <v>0</v>
      </c>
      <c r="L50" t="n">
        <v>0</v>
      </c>
      <c r="M50" t="n">
        <v>0</v>
      </c>
      <c r="N50" t="n">
        <v>0</v>
      </c>
      <c r="O50" t="n">
        <v>0</v>
      </c>
      <c r="P50" t="n">
        <v>0</v>
      </c>
      <c r="Q50" t="n">
        <v>0</v>
      </c>
      <c r="R50" t="n">
        <v>0</v>
      </c>
      <c r="S50" t="n">
        <v>0</v>
      </c>
      <c r="T50" t="n">
        <v>0</v>
      </c>
      <c r="U50" t="n">
        <v>0</v>
      </c>
      <c r="V50" s="2" t="inlineStr"/>
    </row>
    <row r="51" ht="15" customHeight="1">
      <c r="A51" t="inlineStr">
        <is>
          <t>A 4134-2026</t>
        </is>
      </c>
      <c r="B51" t="inlineStr">
        <is>
          <t>avverkningsanmälan</t>
        </is>
      </c>
      <c r="C51" t="inlineStr">
        <is>
          <t>Föryngringsavverkning</t>
        </is>
      </c>
      <c r="D51" s="1" t="n">
        <v>46044</v>
      </c>
      <c r="E51" s="1" t="n">
        <v>46233</v>
      </c>
      <c r="F51" t="inlineStr">
        <is>
          <t>UPPSALA LÄN</t>
        </is>
      </c>
      <c r="G51" t="inlineStr">
        <is>
          <t>ÄLVKARLEBY</t>
        </is>
      </c>
      <c r="H51" t="inlineStr">
        <is>
          <t>Bergvik skog öst AB</t>
        </is>
      </c>
      <c r="I51" t="n">
        <v>5.1</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46233</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45372-2024</t>
        </is>
      </c>
      <c r="B53" t="inlineStr">
        <is>
          <t>avverkningsanmälan</t>
        </is>
      </c>
      <c r="C53" t="inlineStr">
        <is>
          <t>Föryngringsavverkning</t>
        </is>
      </c>
      <c r="D53" s="1" t="n">
        <v>45576</v>
      </c>
      <c r="E53" s="1" t="n">
        <v>46233</v>
      </c>
      <c r="F53" t="inlineStr">
        <is>
          <t>UPPSALA LÄN</t>
        </is>
      </c>
      <c r="G53" t="inlineStr">
        <is>
          <t>ÄLVKARLEBY</t>
        </is>
      </c>
      <c r="H53" t="inlineStr">
        <is>
          <t>Bergvik skog väst AB</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16990-2022</t>
        </is>
      </c>
      <c r="B54" t="inlineStr">
        <is>
          <t>avverkningsanmälan</t>
        </is>
      </c>
      <c r="C54" t="inlineStr">
        <is>
          <t>Föryngringsavverkning</t>
        </is>
      </c>
      <c r="D54" s="1" t="n">
        <v>44676</v>
      </c>
      <c r="E54" s="1" t="n">
        <v>46233</v>
      </c>
      <c r="F54" t="inlineStr">
        <is>
          <t>UPPSALA LÄN</t>
        </is>
      </c>
      <c r="G54" t="inlineStr">
        <is>
          <t>ÄLVKARLEBY</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32187-2025</t>
        </is>
      </c>
      <c r="B55" t="inlineStr">
        <is>
          <t>avverkningsanmälan</t>
        </is>
      </c>
      <c r="C55" t="inlineStr">
        <is>
          <t>Föryngringsavverkning</t>
        </is>
      </c>
      <c r="D55" s="1" t="n">
        <v>45835</v>
      </c>
      <c r="E55" s="1" t="n">
        <v>46233</v>
      </c>
      <c r="F55" t="inlineStr">
        <is>
          <t>UPPSALA LÄN</t>
        </is>
      </c>
      <c r="G55" t="inlineStr">
        <is>
          <t>ÄLVKARLEBY</t>
        </is>
      </c>
      <c r="H55" t="inlineStr">
        <is>
          <t>Bergvik skog väst AB</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46233</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46233</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46233</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46233</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46233</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46233</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46233</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46233</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53184-2025</t>
        </is>
      </c>
      <c r="B64" t="inlineStr">
        <is>
          <t>avverkningsanmälan</t>
        </is>
      </c>
      <c r="C64" t="inlineStr">
        <is>
          <t>Föryngringsavverkning</t>
        </is>
      </c>
      <c r="D64" s="1" t="n">
        <v>45958</v>
      </c>
      <c r="E64" s="1" t="n">
        <v>46233</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9394-2026</t>
        </is>
      </c>
      <c r="B65" t="inlineStr">
        <is>
          <t>avverkningsanmälan</t>
        </is>
      </c>
      <c r="C65" t="inlineStr">
        <is>
          <t>Föryngringsavverkning</t>
        </is>
      </c>
      <c r="D65" s="1" t="n">
        <v>46071</v>
      </c>
      <c r="E65" s="1" t="n">
        <v>46233</v>
      </c>
      <c r="F65" t="inlineStr">
        <is>
          <t>UPPSALA LÄN</t>
        </is>
      </c>
      <c r="G65" t="inlineStr">
        <is>
          <t>ÄLVKARLEBY</t>
        </is>
      </c>
      <c r="H65" t="inlineStr">
        <is>
          <t>Bergvik skog väst AB</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26815-2022</t>
        </is>
      </c>
      <c r="B66" t="inlineStr">
        <is>
          <t>avverkningsanmälan</t>
        </is>
      </c>
      <c r="C66" t="inlineStr">
        <is>
          <t>Föryngringsavverkning</t>
        </is>
      </c>
      <c r="D66" s="1" t="n">
        <v>44740</v>
      </c>
      <c r="E66" s="1" t="n">
        <v>46233</v>
      </c>
      <c r="F66" t="inlineStr">
        <is>
          <t>UPPSALA LÄN</t>
        </is>
      </c>
      <c r="G66" t="inlineStr">
        <is>
          <t>ÄLVKARLEBY</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46233</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11467-2026</t>
        </is>
      </c>
      <c r="B68" t="inlineStr">
        <is>
          <t>avverkningsanmälan</t>
        </is>
      </c>
      <c r="C68" t="inlineStr">
        <is>
          <t>Föryngringsavverkning</t>
        </is>
      </c>
      <c r="D68" s="1" t="n">
        <v>46083</v>
      </c>
      <c r="E68" s="1" t="n">
        <v>46233</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58168-2025</t>
        </is>
      </c>
      <c r="B69" t="inlineStr">
        <is>
          <t>avverkningsanmälan</t>
        </is>
      </c>
      <c r="C69" t="inlineStr">
        <is>
          <t>Föryngringsavverkning</t>
        </is>
      </c>
      <c r="D69" s="1" t="n">
        <v>45982</v>
      </c>
      <c r="E69" s="1" t="n">
        <v>46233</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11848-2026</t>
        </is>
      </c>
      <c r="B70" t="inlineStr">
        <is>
          <t>avverkningsanmälan</t>
        </is>
      </c>
      <c r="C70" t="inlineStr">
        <is>
          <t>Föryngringsavverkning</t>
        </is>
      </c>
      <c r="D70" s="1" t="n">
        <v>46085</v>
      </c>
      <c r="E70" s="1" t="n">
        <v>46233</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58497-2025</t>
        </is>
      </c>
      <c r="B71" t="inlineStr">
        <is>
          <t>avverkningsanmälan</t>
        </is>
      </c>
      <c r="C71" t="inlineStr">
        <is>
          <t>Föryngringsavverkning</t>
        </is>
      </c>
      <c r="D71" s="1" t="n">
        <v>45985</v>
      </c>
      <c r="E71" s="1" t="n">
        <v>46233</v>
      </c>
      <c r="F71" t="inlineStr">
        <is>
          <t>UPPSALA LÄN</t>
        </is>
      </c>
      <c r="G71" t="inlineStr">
        <is>
          <t>ÄLVKARLEBY</t>
        </is>
      </c>
      <c r="H71" t="inlineStr">
        <is>
          <t>Bergvik skog väst AB</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46233</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14091-2026</t>
        </is>
      </c>
      <c r="B73" t="inlineStr">
        <is>
          <t>avverkningsanmälan</t>
        </is>
      </c>
      <c r="C73" t="inlineStr">
        <is>
          <t>Föryngringsavverkning</t>
        </is>
      </c>
      <c r="D73" s="1" t="n">
        <v>46099</v>
      </c>
      <c r="E73" s="1" t="n">
        <v>46233</v>
      </c>
      <c r="F73" t="inlineStr">
        <is>
          <t>UPPSALA LÄN</t>
        </is>
      </c>
      <c r="G73" t="inlineStr">
        <is>
          <t>ÄLVKARLEBY</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60842-2025</t>
        </is>
      </c>
      <c r="B74" t="inlineStr">
        <is>
          <t>avverkningsanmälan</t>
        </is>
      </c>
      <c r="C74" t="inlineStr">
        <is>
          <t>Avverkning för att bevara och utveckla /försöksver</t>
        </is>
      </c>
      <c r="D74" s="1" t="n">
        <v>45999</v>
      </c>
      <c r="E74" s="1" t="n">
        <v>46233</v>
      </c>
      <c r="F74" t="inlineStr">
        <is>
          <t>UPPSALA LÄN</t>
        </is>
      </c>
      <c r="G74" t="inlineStr">
        <is>
          <t>ÄLVKARLEBY</t>
        </is>
      </c>
      <c r="H74" t="inlineStr">
        <is>
          <t>Bergvik skog väst AB</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61694-2025</t>
        </is>
      </c>
      <c r="B75" t="inlineStr">
        <is>
          <t>avverkningsanmälan</t>
        </is>
      </c>
      <c r="C75" t="inlineStr">
        <is>
          <t>Föryngringsavverkning</t>
        </is>
      </c>
      <c r="D75" s="1" t="n">
        <v>46002</v>
      </c>
      <c r="E75" s="1" t="n">
        <v>46233</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61691-2025</t>
        </is>
      </c>
      <c r="B76" t="inlineStr">
        <is>
          <t>avverkningsanmälan</t>
        </is>
      </c>
      <c r="C76" t="inlineStr">
        <is>
          <t>Föryngringsavverkning</t>
        </is>
      </c>
      <c r="D76" s="1" t="n">
        <v>46002</v>
      </c>
      <c r="E76" s="1" t="n">
        <v>46233</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46233</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46233</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46233</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17851-2026</t>
        </is>
      </c>
      <c r="B80" t="inlineStr">
        <is>
          <t>avverkningsanmälan</t>
        </is>
      </c>
      <c r="C80" t="inlineStr">
        <is>
          <t>Föryngringsavverkning</t>
        </is>
      </c>
      <c r="D80" s="1" t="n">
        <v>46122</v>
      </c>
      <c r="E80" s="1" t="n">
        <v>46233</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41272-2023</t>
        </is>
      </c>
      <c r="B81" t="inlineStr">
        <is>
          <t>avverkningsanmälan</t>
        </is>
      </c>
      <c r="C81" t="inlineStr">
        <is>
          <t>Föryngringsavverkning</t>
        </is>
      </c>
      <c r="D81" s="1" t="n">
        <v>45174</v>
      </c>
      <c r="E81" s="1" t="n">
        <v>46233</v>
      </c>
      <c r="F81" t="inlineStr">
        <is>
          <t>UPPSALA LÄN</t>
        </is>
      </c>
      <c r="G81" t="inlineStr">
        <is>
          <t>ÄLVKARLEBY</t>
        </is>
      </c>
      <c r="H81" t="inlineStr">
        <is>
          <t>Bergvik skog väst AB</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2183-2024</t>
        </is>
      </c>
      <c r="B82" t="inlineStr">
        <is>
          <t>avverkningsanmälan</t>
        </is>
      </c>
      <c r="C82" t="inlineStr">
        <is>
          <t>Föryngringsavverkning</t>
        </is>
      </c>
      <c r="D82" s="1" t="n">
        <v>45309</v>
      </c>
      <c r="E82" s="1" t="n">
        <v>46233</v>
      </c>
      <c r="F82" t="inlineStr">
        <is>
          <t>UPPSALA LÄN</t>
        </is>
      </c>
      <c r="G82" t="inlineStr">
        <is>
          <t>ÄLVKARLEBY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28670-2025</t>
        </is>
      </c>
      <c r="B83" t="inlineStr">
        <is>
          <t>avverkningsanmälan</t>
        </is>
      </c>
      <c r="C83" t="inlineStr">
        <is>
          <t>Föryngringsavverkning</t>
        </is>
      </c>
      <c r="D83" s="1" t="n">
        <v>45819</v>
      </c>
      <c r="E83" s="1" t="n">
        <v>46233</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46113-2023</t>
        </is>
      </c>
      <c r="B84" t="inlineStr">
        <is>
          <t>avverkningsanmälan</t>
        </is>
      </c>
      <c r="C84" t="inlineStr">
        <is>
          <t>Föryngringsavverkning</t>
        </is>
      </c>
      <c r="D84" s="1" t="n">
        <v>45196</v>
      </c>
      <c r="E84" s="1" t="n">
        <v>46233</v>
      </c>
      <c r="F84" t="inlineStr">
        <is>
          <t>UPPSALA LÄN</t>
        </is>
      </c>
      <c r="G84" t="inlineStr">
        <is>
          <t>ÄLVKARLEBY</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30234-2026</t>
        </is>
      </c>
      <c r="B85" t="inlineStr">
        <is>
          <t>avverkningsanmälan</t>
        </is>
      </c>
      <c r="C85" t="inlineStr">
        <is>
          <t>Föryngringsavverkning</t>
        </is>
      </c>
      <c r="D85" s="1" t="n">
        <v>46206</v>
      </c>
      <c r="E85" s="1" t="n">
        <v>46233</v>
      </c>
      <c r="F85" t="inlineStr">
        <is>
          <t>UPPSALA LÄN</t>
        </is>
      </c>
      <c r="G85" t="inlineStr">
        <is>
          <t>ÄLVKARLEBY</t>
        </is>
      </c>
      <c r="H85" t="inlineStr">
        <is>
          <t>Bergvik skog öst AB</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30238-2026</t>
        </is>
      </c>
      <c r="B86" t="inlineStr">
        <is>
          <t>avverkningsanmälan</t>
        </is>
      </c>
      <c r="C86" t="inlineStr">
        <is>
          <t>Föryngringsavverkning</t>
        </is>
      </c>
      <c r="D86" s="1" t="n">
        <v>46206</v>
      </c>
      <c r="E86" s="1" t="n">
        <v>46233</v>
      </c>
      <c r="F86" t="inlineStr">
        <is>
          <t>UPPSALA LÄN</t>
        </is>
      </c>
      <c r="G86" t="inlineStr">
        <is>
          <t>ÄLVKARLEBY</t>
        </is>
      </c>
      <c r="H86" t="inlineStr">
        <is>
          <t>Bergvik skog öst AB</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41276-2023</t>
        </is>
      </c>
      <c r="B87" t="inlineStr">
        <is>
          <t>avverkningsanmälan</t>
        </is>
      </c>
      <c r="C87" t="inlineStr">
        <is>
          <t>Föryngringsavverkning</t>
        </is>
      </c>
      <c r="D87" s="1" t="n">
        <v>45174</v>
      </c>
      <c r="E87" s="1" t="n">
        <v>46233</v>
      </c>
      <c r="F87" t="inlineStr">
        <is>
          <t>UPPSALA LÄN</t>
        </is>
      </c>
      <c r="G87" t="inlineStr">
        <is>
          <t>ÄLVKARLEBY</t>
        </is>
      </c>
      <c r="H87" t="inlineStr">
        <is>
          <t>Bergvik skog väst AB</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41929-2024</t>
        </is>
      </c>
      <c r="B88" t="inlineStr">
        <is>
          <t>avverkningsanmälan</t>
        </is>
      </c>
      <c r="C88" t="inlineStr">
        <is>
          <t>Föryngringsavverkning</t>
        </is>
      </c>
      <c r="D88" s="1" t="n">
        <v>45561</v>
      </c>
      <c r="E88" s="1" t="n">
        <v>46233</v>
      </c>
      <c r="F88" t="inlineStr">
        <is>
          <t>UPPSALA LÄN</t>
        </is>
      </c>
      <c r="G88" t="inlineStr">
        <is>
          <t>ÄLVKARLEBY</t>
        </is>
      </c>
      <c r="H88" t="inlineStr">
        <is>
          <t>Bergvik skog väst AB</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14590-2023</t>
        </is>
      </c>
      <c r="B89" t="inlineStr">
        <is>
          <t>avverkningsanmälan</t>
        </is>
      </c>
      <c r="C89" t="inlineStr">
        <is>
          <t>Föryngringsavverkning</t>
        </is>
      </c>
      <c r="D89" s="1" t="n">
        <v>45013</v>
      </c>
      <c r="E89" s="1" t="n">
        <v>46233</v>
      </c>
      <c r="F89" t="inlineStr">
        <is>
          <t>UPPSALA LÄN</t>
        </is>
      </c>
      <c r="G89" t="inlineStr">
        <is>
          <t>ÄLVKARLEBY</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9533-2025</t>
        </is>
      </c>
      <c r="B90" t="inlineStr">
        <is>
          <t>avverkningsanmälan</t>
        </is>
      </c>
      <c r="C90" t="inlineStr">
        <is>
          <t>Föryngringsavverkning</t>
        </is>
      </c>
      <c r="D90" s="1" t="n">
        <v>45715</v>
      </c>
      <c r="E90" s="1" t="n">
        <v>46233</v>
      </c>
      <c r="F90" t="inlineStr">
        <is>
          <t>UPPSALA LÄN</t>
        </is>
      </c>
      <c r="G90" t="inlineStr">
        <is>
          <t>ÄLVKARLEBY</t>
        </is>
      </c>
      <c r="I90" t="n">
        <v>2.1</v>
      </c>
      <c r="J90" t="n">
        <v>0</v>
      </c>
      <c r="K90" t="n">
        <v>0</v>
      </c>
      <c r="L90" t="n">
        <v>0</v>
      </c>
      <c r="M90" t="n">
        <v>0</v>
      </c>
      <c r="N90" t="n">
        <v>0</v>
      </c>
      <c r="O90" t="n">
        <v>0</v>
      </c>
      <c r="P90" t="n">
        <v>0</v>
      </c>
      <c r="Q90" t="n">
        <v>0</v>
      </c>
      <c r="R90" t="n">
        <v>0</v>
      </c>
      <c r="S90" t="n">
        <v>0</v>
      </c>
      <c r="T90" t="n">
        <v>0</v>
      </c>
      <c r="U90" t="n">
        <v>0</v>
      </c>
      <c r="V90" s="2" t="inlineStr"/>
    </row>
    <row r="91">
      <c r="A91" t="inlineStr">
        <is>
          <t>A 25330-2025</t>
        </is>
      </c>
      <c r="B91" t="inlineStr">
        <is>
          <t>avverkningsanmälan</t>
        </is>
      </c>
      <c r="C91" t="inlineStr">
        <is>
          <t>Föryngringsavverkning</t>
        </is>
      </c>
      <c r="D91" s="1" t="n">
        <v>45800</v>
      </c>
      <c r="E91" s="1" t="n">
        <v>46233</v>
      </c>
      <c r="F91" t="inlineStr">
        <is>
          <t>UPPSALA LÄN</t>
        </is>
      </c>
      <c r="G91" t="inlineStr">
        <is>
          <t>ÄLVKARLEBY</t>
        </is>
      </c>
      <c r="H91" t="inlineStr">
        <is>
          <t>Bergvik skog väst AB</t>
        </is>
      </c>
      <c r="I91" t="n">
        <v>5</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2026-07-30T01:48:25Z</dcterms:created>
  <dcterms:modified xmlns:dcterms="http://purl.org/dc/terms/" xmlns:xsi="http://www.w3.org/2001/XMLSchema-instance" xsi:type="dcterms:W3CDTF">2026-07-30T01:48:25Z</dcterms:modified>
</cp:coreProperties>
</file>