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45757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45757</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45757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45757</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45757</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45757</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45757</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45757</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45757</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45757</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45757</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45757</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45757</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45757</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45757</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45757</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45757</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45757</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45757</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45757</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45757</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45757</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45757</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45757</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45757</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45757</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45757</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45757</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45757</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45757</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45757</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45757</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45757</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45757</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45757</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45757</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45757</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45757</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45757</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45757</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45757</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45757</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45757</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45757</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45757</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HYPERLINK("https://klasma.github.io/Logging_030319/artfynd/A 9521-2025 artfynd.xlsx", "A 9521-2025")</f>
        <v/>
      </c>
      <c r="T46">
        <f>HYPERLINK("https://klasma.github.io/Logging_030319/kartor/A 9521-2025 karta.png", "A 9521-2025")</f>
        <v/>
      </c>
      <c r="V46">
        <f>HYPERLINK("https://klasma.github.io/Logging_030319/klagomål/A 9521-2025 FSC-klagomål.docx", "A 9521-2025")</f>
        <v/>
      </c>
      <c r="W46">
        <f>HYPERLINK("https://klasma.github.io/Logging_030319/klagomålsmail/A 9521-2025 FSC-klagomål mail.docx", "A 9521-2025")</f>
        <v/>
      </c>
      <c r="X46">
        <f>HYPERLINK("https://klasma.github.io/Logging_030319/tillsyn/A 9521-2025 tillsynsbegäran.docx", "A 9521-2025")</f>
        <v/>
      </c>
      <c r="Y46">
        <f>HYPERLINK("https://klasma.github.io/Logging_030319/tillsynsmail/A 9521-2025 tillsynsbegäran mail.docx", "A 9521-2025")</f>
        <v/>
      </c>
    </row>
    <row r="47" ht="15" customHeight="1">
      <c r="A47" t="inlineStr">
        <is>
          <t>A 12427-2025</t>
        </is>
      </c>
      <c r="B47" s="1" t="n">
        <v>45730</v>
      </c>
      <c r="C47" s="1" t="n">
        <v>45757</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HYPERLINK("https://klasma.github.io/Logging_030319/artfynd/A 12427-2025 artfynd.xlsx", "A 12427-2025")</f>
        <v/>
      </c>
      <c r="T47">
        <f>HYPERLINK("https://klasma.github.io/Logging_030319/kartor/A 12427-2025 karta.png", "A 12427-2025")</f>
        <v/>
      </c>
      <c r="V47">
        <f>HYPERLINK("https://klasma.github.io/Logging_030319/klagomål/A 12427-2025 FSC-klagomål.docx", "A 12427-2025")</f>
        <v/>
      </c>
      <c r="W47">
        <f>HYPERLINK("https://klasma.github.io/Logging_030319/klagomålsmail/A 12427-2025 FSC-klagomål mail.docx", "A 12427-2025")</f>
        <v/>
      </c>
      <c r="X47">
        <f>HYPERLINK("https://klasma.github.io/Logging_030319/tillsyn/A 12427-2025 tillsynsbegäran.docx", "A 12427-2025")</f>
        <v/>
      </c>
      <c r="Y47">
        <f>HYPERLINK("https://klasma.github.io/Logging_030319/tillsynsmail/A 12427-2025 tillsynsbegäran mail.docx", "A 12427-2025")</f>
        <v/>
      </c>
    </row>
    <row r="48" ht="15" customHeight="1">
      <c r="A48" t="inlineStr">
        <is>
          <t>A 19969-2019</t>
        </is>
      </c>
      <c r="B48" s="1" t="n">
        <v>43570</v>
      </c>
      <c r="C48" s="1" t="n">
        <v>45757</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45757</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45757</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45757</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45757</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45757</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45757</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45757</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45757</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45757</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45757</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45757</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45757</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45757</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45757</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45757</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45757</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45757</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45757</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45757</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45757</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45757</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45757</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45757</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45757</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45757</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45757</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45757</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45757</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45757</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45757</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45757</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45757</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45757</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45757</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45757</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45757</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45757</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45757</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45757</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45757</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45757</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45757</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45757</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45757</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45757</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45757</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45757</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45757</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45757</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45757</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45757</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45757</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45757</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45757</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45757</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45757</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45757</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45757</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45757</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45757</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45757</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45757</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45757</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45757</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45757</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45757</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45757</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45757</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45757</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45757</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45757</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45757</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45757</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45757</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45757</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45757</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45757</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45757</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45757</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45757</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45757</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45757</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45757</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45757</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45757</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45757</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45757</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45757</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45757</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45757</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45757</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45757</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45757</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45757</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45757</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45757</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45757</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45757</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45757</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45757</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45757</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45757</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45757</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45757</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45757</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45757</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45757</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ht="15" customHeight="1">
      <c r="A156" t="inlineStr">
        <is>
          <t>A 14004-2025</t>
        </is>
      </c>
      <c r="B156" s="1" t="n">
        <v>45740</v>
      </c>
      <c r="C156" s="1" t="n">
        <v>45757</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row r="157" ht="15" customHeight="1">
      <c r="A157" t="inlineStr">
        <is>
          <t>A 15749-2025</t>
        </is>
      </c>
      <c r="B157" s="1" t="n">
        <v>45748</v>
      </c>
      <c r="C157" s="1" t="n">
        <v>45757</v>
      </c>
      <c r="D157" t="inlineStr">
        <is>
          <t>UPPSALA LÄN</t>
        </is>
      </c>
      <c r="E157" t="inlineStr">
        <is>
          <t>ÄLVKARLEBY</t>
        </is>
      </c>
      <c r="G157" t="n">
        <v>1</v>
      </c>
      <c r="H157" t="n">
        <v>0</v>
      </c>
      <c r="I157" t="n">
        <v>0</v>
      </c>
      <c r="J157" t="n">
        <v>0</v>
      </c>
      <c r="K157" t="n">
        <v>0</v>
      </c>
      <c r="L157" t="n">
        <v>0</v>
      </c>
      <c r="M157" t="n">
        <v>0</v>
      </c>
      <c r="N157" t="n">
        <v>0</v>
      </c>
      <c r="O157" t="n">
        <v>0</v>
      </c>
      <c r="P157" t="n">
        <v>0</v>
      </c>
      <c r="Q157" t="n">
        <v>0</v>
      </c>
      <c r="R157" s="2" t="inlineStr"/>
    </row>
    <row r="158">
      <c r="A158" t="inlineStr">
        <is>
          <t>A 15739-2025</t>
        </is>
      </c>
      <c r="B158" s="1" t="n">
        <v>45748</v>
      </c>
      <c r="C158" s="1" t="n">
        <v>45757</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2025-04-10T16:16:53Z</dcterms:created>
  <dcterms:modified xmlns:dcterms="http://purl.org/dc/terms/" xmlns:xsi="http://www.w3.org/2001/XMLSchema-instance" xsi:type="dcterms:W3CDTF">2025-04-10T16:16:53Z</dcterms:modified>
</cp:coreProperties>
</file>