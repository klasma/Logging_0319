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46282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46282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46282</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46282</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46282</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46282</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46282</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46282</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46282</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46282</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46282</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46282</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46282</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46282</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46282</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46282</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46282</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46282</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46282</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46282</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46282</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46282</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46282</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46282</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46282</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46282</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46282</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46282</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1673-2026</t>
        </is>
      </c>
      <c r="B30" t="inlineStr">
        <is>
          <t>avverkningsanmälan</t>
        </is>
      </c>
      <c r="C30" t="inlineStr">
        <is>
          <t>Föryngringsavverkning</t>
        </is>
      </c>
      <c r="D30" s="1" t="n">
        <v>46034</v>
      </c>
      <c r="E30" s="1" t="n">
        <v>46282</v>
      </c>
      <c r="F30" t="inlineStr">
        <is>
          <t>UPPSALA LÄN</t>
        </is>
      </c>
      <c r="G30" t="inlineStr">
        <is>
          <t>ÄLVKARLEBY</t>
        </is>
      </c>
      <c r="H30" t="inlineStr">
        <is>
          <t>Bergvik skog väst AB</t>
        </is>
      </c>
      <c r="I30" t="n">
        <v>1.9</v>
      </c>
      <c r="J30" t="n">
        <v>0</v>
      </c>
      <c r="K30" t="n">
        <v>1</v>
      </c>
      <c r="L30" t="n">
        <v>0</v>
      </c>
      <c r="M30" t="n">
        <v>0</v>
      </c>
      <c r="N30" t="n">
        <v>0</v>
      </c>
      <c r="O30" t="n">
        <v>0</v>
      </c>
      <c r="P30" t="n">
        <v>0</v>
      </c>
      <c r="Q30" t="n">
        <v>0</v>
      </c>
      <c r="R30" t="n">
        <v>0</v>
      </c>
      <c r="S30" t="n">
        <v>1</v>
      </c>
      <c r="T30" t="n">
        <v>1</v>
      </c>
      <c r="U30" t="n">
        <v>0</v>
      </c>
      <c r="V30" s="2" t="inlineStr">
        <is>
          <t>Tibast</t>
        </is>
      </c>
      <c r="W30">
        <f>HYPERLINK("https://klasma.github.io/Logging_0319/artfynd/A 1673-2026 artfynd.xlsx", "A 1673-2026")</f>
        <v/>
      </c>
      <c r="X30">
        <f>HYPERLINK("https://klasma.github.io/Logging_0319/kartor/A 1673-2026 karta.png", "A 1673-2026")</f>
        <v/>
      </c>
      <c r="Y30">
        <f>HYPERLINK("https://klasma.github.io/Logging_0319/kartor_geotiff/A 1673-2026 georefererad karta.tif", "A 1673-2026")</f>
        <v/>
      </c>
      <c r="AA30">
        <f>HYPERLINK("https://klasma.github.io/Logging_0319/klagomål/A 1673-2026 FSC-klagomål.docx", "A 1673-2026")</f>
        <v/>
      </c>
      <c r="AB30">
        <f>HYPERLINK("https://klasma.github.io/Logging_0319/klagomålsmail/A 1673-2026 FSC-klagomål mail.docx", "A 1673-2026")</f>
        <v/>
      </c>
      <c r="AC30">
        <f>HYPERLINK("https://klasma.github.io/Logging_0319/tillsyn/A 1673-2026 tillsynsbegäran.docx", "A 1673-2026")</f>
        <v/>
      </c>
      <c r="AD30">
        <f>HYPERLINK("https://klasma.github.io/Logging_0319/tillsynsmail/A 1673-2026 tillsynsbegäran mail.docx", "A 1673-2026")</f>
        <v/>
      </c>
    </row>
    <row r="31" ht="15" customHeight="1">
      <c r="A31" t="inlineStr">
        <is>
          <t>A 43285-2023</t>
        </is>
      </c>
      <c r="B31" t="inlineStr">
        <is>
          <t>avverkningsanmälan</t>
        </is>
      </c>
      <c r="C31" t="inlineStr">
        <is>
          <t>Föryngringsavverkning</t>
        </is>
      </c>
      <c r="D31" s="1" t="n">
        <v>45183</v>
      </c>
      <c r="E31" s="1" t="n">
        <v>46282</v>
      </c>
      <c r="F31" t="inlineStr">
        <is>
          <t>UPPSALA LÄN</t>
        </is>
      </c>
      <c r="G31" t="inlineStr">
        <is>
          <t>ÄLVKARLEBY</t>
        </is>
      </c>
      <c r="H31" t="inlineStr">
        <is>
          <t>Bergvik skog väst AB</t>
        </is>
      </c>
      <c r="I31" t="n">
        <v>1.3</v>
      </c>
      <c r="J31" t="n">
        <v>1</v>
      </c>
      <c r="K31" t="n">
        <v>0</v>
      </c>
      <c r="L31" t="n">
        <v>0</v>
      </c>
      <c r="M31" t="n">
        <v>0</v>
      </c>
      <c r="N31" t="n">
        <v>0</v>
      </c>
      <c r="O31" t="n">
        <v>0</v>
      </c>
      <c r="P31" t="n">
        <v>0</v>
      </c>
      <c r="Q31" t="n">
        <v>0</v>
      </c>
      <c r="R31" t="n">
        <v>0</v>
      </c>
      <c r="S31" t="n">
        <v>1</v>
      </c>
      <c r="T31" t="n">
        <v>1</v>
      </c>
      <c r="U31" t="n">
        <v>0</v>
      </c>
      <c r="V31" s="2" t="inlineStr">
        <is>
          <t>Vanlig groda</t>
        </is>
      </c>
      <c r="W31">
        <f>HYPERLINK("https://klasma.github.io/Logging_0319/artfynd/A 43285-2023 artfynd.xlsx", "A 43285-2023")</f>
        <v/>
      </c>
      <c r="X31">
        <f>HYPERLINK("https://klasma.github.io/Logging_0319/kartor/A 43285-2023 karta.png", "A 43285-2023")</f>
        <v/>
      </c>
      <c r="Y31">
        <f>HYPERLINK("https://klasma.github.io/Logging_0319/kartor_geotiff/A 43285-2023 georefererad karta.tif", "A 43285-2023")</f>
        <v/>
      </c>
      <c r="AA31">
        <f>HYPERLINK("https://klasma.github.io/Logging_0319/klagomål/A 43285-2023 FSC-klagomål.docx", "A 43285-2023")</f>
        <v/>
      </c>
      <c r="AB31">
        <f>HYPERLINK("https://klasma.github.io/Logging_0319/klagomålsmail/A 43285-2023 FSC-klagomål mail.docx", "A 43285-2023")</f>
        <v/>
      </c>
      <c r="AC31">
        <f>HYPERLINK("https://klasma.github.io/Logging_0319/tillsyn/A 43285-2023 tillsynsbegäran.docx", "A 43285-2023")</f>
        <v/>
      </c>
      <c r="AD31">
        <f>HYPERLINK("https://klasma.github.io/Logging_0319/tillsynsmail/A 43285-2023 tillsynsbegäran mail.docx", "A 43285-2023")</f>
        <v/>
      </c>
    </row>
    <row r="32" ht="15" customHeight="1">
      <c r="A32" t="inlineStr">
        <is>
          <t>A 4131-2026</t>
        </is>
      </c>
      <c r="B32" t="inlineStr">
        <is>
          <t>avverkningsanmälan</t>
        </is>
      </c>
      <c r="C32" t="inlineStr">
        <is>
          <t>Föryngringsavverkning</t>
        </is>
      </c>
      <c r="D32" s="1" t="n">
        <v>46044</v>
      </c>
      <c r="E32" s="1" t="n">
        <v>46282</v>
      </c>
      <c r="F32" t="inlineStr">
        <is>
          <t>UPPSALA LÄN</t>
        </is>
      </c>
      <c r="G32" t="inlineStr">
        <is>
          <t>ÄLVKARLEBY</t>
        </is>
      </c>
      <c r="H32" t="inlineStr">
        <is>
          <t>Bergvik skog öst AB</t>
        </is>
      </c>
      <c r="I32" t="n">
        <v>2.4</v>
      </c>
      <c r="J32" t="n">
        <v>1</v>
      </c>
      <c r="K32" t="n">
        <v>1</v>
      </c>
      <c r="L32" t="n">
        <v>0</v>
      </c>
      <c r="M32" t="n">
        <v>0</v>
      </c>
      <c r="N32" t="n">
        <v>0</v>
      </c>
      <c r="O32" t="n">
        <v>0</v>
      </c>
      <c r="P32" t="n">
        <v>0</v>
      </c>
      <c r="Q32" t="n">
        <v>0</v>
      </c>
      <c r="R32" t="n">
        <v>0</v>
      </c>
      <c r="S32" t="n">
        <v>1</v>
      </c>
      <c r="T32" t="n">
        <v>1</v>
      </c>
      <c r="U32" t="n">
        <v>0</v>
      </c>
      <c r="V32" s="2" t="inlineStr">
        <is>
          <t>Nästrot</t>
        </is>
      </c>
      <c r="W32">
        <f>HYPERLINK("https://klasma.github.io/Logging_0319/artfynd/A 4131-2026 artfynd.xlsx", "A 4131-2026")</f>
        <v/>
      </c>
      <c r="X32">
        <f>HYPERLINK("https://klasma.github.io/Logging_0319/kartor/A 4131-2026 karta.png", "A 4131-2026")</f>
        <v/>
      </c>
      <c r="Y32">
        <f>HYPERLINK("https://klasma.github.io/Logging_0319/kartor_geotiff/A 4131-2026 georefererad karta.tif", "A 4131-2026")</f>
        <v/>
      </c>
      <c r="AA32">
        <f>HYPERLINK("https://klasma.github.io/Logging_0319/klagomål/A 4131-2026 FSC-klagomål.docx", "A 4131-2026")</f>
        <v/>
      </c>
      <c r="AB32">
        <f>HYPERLINK("https://klasma.github.io/Logging_0319/klagomålsmail/A 4131-2026 FSC-klagomål mail.docx", "A 4131-2026")</f>
        <v/>
      </c>
      <c r="AC32">
        <f>HYPERLINK("https://klasma.github.io/Logging_0319/tillsyn/A 4131-2026 tillsynsbegäran.docx", "A 4131-2026")</f>
        <v/>
      </c>
      <c r="AD32">
        <f>HYPERLINK("https://klasma.github.io/Logging_0319/tillsynsmail/A 4131-2026 tillsynsbegäran mail.docx", "A 4131-2026")</f>
        <v/>
      </c>
    </row>
    <row r="33" ht="15" customHeight="1">
      <c r="A33" t="inlineStr">
        <is>
          <t>A 51238-2025</t>
        </is>
      </c>
      <c r="B33" t="inlineStr">
        <is>
          <t>avverkningsanmälan</t>
        </is>
      </c>
      <c r="C33" t="inlineStr">
        <is>
          <t>Föryngringsavverkning</t>
        </is>
      </c>
      <c r="D33" s="1" t="n">
        <v>45947</v>
      </c>
      <c r="E33" s="1" t="n">
        <v>46282</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70017-2021</t>
        </is>
      </c>
      <c r="B34" t="inlineStr">
        <is>
          <t>avverkningsanmälan</t>
        </is>
      </c>
      <c r="C34" t="inlineStr">
        <is>
          <t>Föryngringsavverkning</t>
        </is>
      </c>
      <c r="D34" s="1" t="n">
        <v>44533</v>
      </c>
      <c r="E34" s="1" t="n">
        <v>46282</v>
      </c>
      <c r="F34" t="inlineStr">
        <is>
          <t>UPPSALA LÄN</t>
        </is>
      </c>
      <c r="G34" t="inlineStr">
        <is>
          <t>ÄLVKARLEBY</t>
        </is>
      </c>
      <c r="I34" t="n">
        <v>2.1</v>
      </c>
      <c r="J34" t="n">
        <v>1</v>
      </c>
      <c r="K34" t="n">
        <v>0</v>
      </c>
      <c r="L34" t="n">
        <v>0</v>
      </c>
      <c r="M34" t="n">
        <v>0</v>
      </c>
      <c r="N34" t="n">
        <v>0</v>
      </c>
      <c r="O34" t="n">
        <v>0</v>
      </c>
      <c r="P34" t="n">
        <v>0</v>
      </c>
      <c r="Q34" t="n">
        <v>0</v>
      </c>
      <c r="R34" t="n">
        <v>0</v>
      </c>
      <c r="S34" t="n">
        <v>1</v>
      </c>
      <c r="T34" t="n">
        <v>1</v>
      </c>
      <c r="U34" t="n">
        <v>1</v>
      </c>
      <c r="V34" s="2" t="inlineStr">
        <is>
          <t>Trana</t>
        </is>
      </c>
      <c r="W34">
        <f>HYPERLINK("https://klasma.github.io/Logging_0319/artfynd/A 70017-2021 artfynd.xlsx", "A 70017-2021")</f>
        <v/>
      </c>
      <c r="X34">
        <f>HYPERLINK("https://klasma.github.io/Logging_0319/kartor/A 70017-2021 karta.png", "A 70017-2021")</f>
        <v/>
      </c>
      <c r="Y34">
        <f>HYPERLINK("https://klasma.github.io/Logging_0319/kartor_geotiff/A 70017-2021 georefererad karta.tif", "A 70017-2021")</f>
        <v/>
      </c>
      <c r="AA34">
        <f>HYPERLINK("https://klasma.github.io/Logging_0319/klagomål/A 70017-2021 FSC-klagomål.docx", "A 70017-2021")</f>
        <v/>
      </c>
      <c r="AB34">
        <f>HYPERLINK("https://klasma.github.io/Logging_0319/klagomålsmail/A 70017-2021 FSC-klagomål mail.docx", "A 70017-2021")</f>
        <v/>
      </c>
      <c r="AC34">
        <f>HYPERLINK("https://klasma.github.io/Logging_0319/tillsyn/A 70017-2021 tillsynsbegäran.docx", "A 70017-2021")</f>
        <v/>
      </c>
      <c r="AD34">
        <f>HYPERLINK("https://klasma.github.io/Logging_0319/tillsynsmail/A 70017-2021 tillsynsbegäran mail.docx", "A 70017-2021")</f>
        <v/>
      </c>
      <c r="AE34">
        <f>HYPERLINK("https://klasma.github.io/Logging_0319/fåglar/A 70017-2021 prioriterade fågelarter.docx", "A 70017-2021")</f>
        <v/>
      </c>
    </row>
    <row r="35" ht="15" customHeight="1">
      <c r="A35" t="inlineStr">
        <is>
          <t>A 57734-2025</t>
        </is>
      </c>
      <c r="B35" t="inlineStr">
        <is>
          <t>avverkningsanmälan</t>
        </is>
      </c>
      <c r="C35" t="inlineStr">
        <is>
          <t>Föryngringsavverkning</t>
        </is>
      </c>
      <c r="D35" s="1" t="n">
        <v>45981</v>
      </c>
      <c r="E35" s="1" t="n">
        <v>46282</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46282</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46282</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63004-2025</t>
        </is>
      </c>
      <c r="B38" t="inlineStr">
        <is>
          <t>avverkningsanmälan</t>
        </is>
      </c>
      <c r="C38" t="inlineStr">
        <is>
          <t>Föryngringsavverkning</t>
        </is>
      </c>
      <c r="D38" s="1" t="n">
        <v>46009</v>
      </c>
      <c r="E38" s="1" t="n">
        <v>46282</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14127-2026</t>
        </is>
      </c>
      <c r="B39" t="inlineStr">
        <is>
          <t>avverkningsanmälan</t>
        </is>
      </c>
      <c r="C39" t="inlineStr">
        <is>
          <t>Föryngringsavverkning</t>
        </is>
      </c>
      <c r="D39" s="1" t="n">
        <v>46099</v>
      </c>
      <c r="E39" s="1" t="n">
        <v>46282</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t="n">
        <v>0</v>
      </c>
      <c r="V39" s="2" t="inlineStr">
        <is>
          <t>Grangråticka</t>
        </is>
      </c>
      <c r="W39">
        <f>HYPERLINK("https://klasma.github.io/Logging_0319/artfynd/A 14127-2026 artfynd.xlsx", "A 14127-2026")</f>
        <v/>
      </c>
      <c r="X39">
        <f>HYPERLINK("https://klasma.github.io/Logging_0319/kartor/A 14127-2026 karta.png", "A 14127-2026")</f>
        <v/>
      </c>
      <c r="Y39">
        <f>HYPERLINK("https://klasma.github.io/Logging_0319/kartor_geotiff/A 14127-2026 georefererad karta.tif", "A 14127-2026")</f>
        <v/>
      </c>
      <c r="AA39">
        <f>HYPERLINK("https://klasma.github.io/Logging_0319/klagomål/A 14127-2026 FSC-klagomål.docx", "A 14127-2026")</f>
        <v/>
      </c>
      <c r="AB39">
        <f>HYPERLINK("https://klasma.github.io/Logging_0319/klagomålsmail/A 14127-2026 FSC-klagomål mail.docx", "A 14127-2026")</f>
        <v/>
      </c>
      <c r="AC39">
        <f>HYPERLINK("https://klasma.github.io/Logging_0319/tillsyn/A 14127-2026 tillsynsbegäran.docx", "A 14127-2026")</f>
        <v/>
      </c>
      <c r="AD39">
        <f>HYPERLINK("https://klasma.github.io/Logging_0319/tillsynsmail/A 14127-2026 tillsynsbegäran mail.docx", "A 14127-2026")</f>
        <v/>
      </c>
    </row>
    <row r="40" ht="15" customHeight="1">
      <c r="A40" t="inlineStr">
        <is>
          <t>A 7286-2023</t>
        </is>
      </c>
      <c r="B40" t="inlineStr">
        <is>
          <t>avverkningsanmälan</t>
        </is>
      </c>
      <c r="C40" t="inlineStr">
        <is>
          <t>Avverkning för annat ändamål</t>
        </is>
      </c>
      <c r="D40" s="1" t="n">
        <v>44970</v>
      </c>
      <c r="E40" s="1" t="n">
        <v>46282</v>
      </c>
      <c r="F40" t="inlineStr">
        <is>
          <t>UPPSALA LÄN</t>
        </is>
      </c>
      <c r="G40" t="inlineStr">
        <is>
          <t>ÄLVKARLEBY</t>
        </is>
      </c>
      <c r="H40" t="inlineStr">
        <is>
          <t>Bergvik skog väst AB</t>
        </is>
      </c>
      <c r="I40" t="n">
        <v>2.5</v>
      </c>
      <c r="J40" t="n">
        <v>0</v>
      </c>
      <c r="K40" t="n">
        <v>1</v>
      </c>
      <c r="L40" t="n">
        <v>0</v>
      </c>
      <c r="M40" t="n">
        <v>0</v>
      </c>
      <c r="N40" t="n">
        <v>0</v>
      </c>
      <c r="O40" t="n">
        <v>0</v>
      </c>
      <c r="P40" t="n">
        <v>0</v>
      </c>
      <c r="Q40" t="n">
        <v>0</v>
      </c>
      <c r="R40" t="n">
        <v>0</v>
      </c>
      <c r="S40" t="n">
        <v>1</v>
      </c>
      <c r="T40" t="n">
        <v>1</v>
      </c>
      <c r="U40" t="n">
        <v>0</v>
      </c>
      <c r="V40" s="2" t="inlineStr">
        <is>
          <t>Grönpyrola</t>
        </is>
      </c>
      <c r="W40">
        <f>HYPERLINK("https://klasma.github.io/Logging_0319/artfynd/A 7286-2023 artfynd.xlsx", "A 7286-2023")</f>
        <v/>
      </c>
      <c r="X40">
        <f>HYPERLINK("https://klasma.github.io/Logging_0319/kartor/A 7286-2023 karta.png", "A 7286-2023")</f>
        <v/>
      </c>
      <c r="Y40">
        <f>HYPERLINK("https://klasma.github.io/Logging_0319/kartor_geotiff/A 7286-2023 georefererad karta.tif", "A 7286-2023")</f>
        <v/>
      </c>
      <c r="AA40">
        <f>HYPERLINK("https://klasma.github.io/Logging_0319/klagomål/A 7286-2023 FSC-klagomål.docx", "A 7286-2023")</f>
        <v/>
      </c>
      <c r="AB40">
        <f>HYPERLINK("https://klasma.github.io/Logging_0319/klagomålsmail/A 7286-2023 FSC-klagomål mail.docx", "A 7286-2023")</f>
        <v/>
      </c>
      <c r="AC40">
        <f>HYPERLINK("https://klasma.github.io/Logging_0319/tillsyn/A 7286-2023 tillsynsbegäran.docx", "A 7286-2023")</f>
        <v/>
      </c>
      <c r="AD40">
        <f>HYPERLINK("https://klasma.github.io/Logging_0319/tillsynsmail/A 7286-2023 tillsynsbegäran mail.docx", "A 7286-2023")</f>
        <v/>
      </c>
    </row>
    <row r="41" ht="15" customHeight="1">
      <c r="A41" t="inlineStr">
        <is>
          <t>A 19303-2024</t>
        </is>
      </c>
      <c r="B41" t="inlineStr">
        <is>
          <t>avverkningsanmälan</t>
        </is>
      </c>
      <c r="C41" t="inlineStr">
        <is>
          <t>Föryngringsavverkning</t>
        </is>
      </c>
      <c r="D41" s="1" t="n">
        <v>45428</v>
      </c>
      <c r="E41" s="1" t="n">
        <v>46282</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46282</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46282</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30233-2026</t>
        </is>
      </c>
      <c r="B44" t="inlineStr">
        <is>
          <t>avverkningsanmälan</t>
        </is>
      </c>
      <c r="C44" t="inlineStr">
        <is>
          <t>Föryngringsavverkning</t>
        </is>
      </c>
      <c r="D44" s="1" t="n">
        <v>46206</v>
      </c>
      <c r="E44" s="1" t="n">
        <v>46282</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46282</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46282</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46282</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46282</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46282</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46282</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25330-2025</t>
        </is>
      </c>
      <c r="B51" t="inlineStr">
        <is>
          <t>avverkningsanmälan</t>
        </is>
      </c>
      <c r="C51" t="inlineStr">
        <is>
          <t>Föryngringsavverkning</t>
        </is>
      </c>
      <c r="D51" s="1" t="n">
        <v>45800</v>
      </c>
      <c r="E51" s="1" t="n">
        <v>46282</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32187-2025</t>
        </is>
      </c>
      <c r="B52" t="inlineStr">
        <is>
          <t>avverkningsanmälan</t>
        </is>
      </c>
      <c r="C52" t="inlineStr">
        <is>
          <t>Föryngringsavverkning</t>
        </is>
      </c>
      <c r="D52" s="1" t="n">
        <v>45835</v>
      </c>
      <c r="E52" s="1" t="n">
        <v>46282</v>
      </c>
      <c r="F52" t="inlineStr">
        <is>
          <t>UPPSALA LÄN</t>
        </is>
      </c>
      <c r="G52" t="inlineStr">
        <is>
          <t>ÄLVKARLEBY</t>
        </is>
      </c>
      <c r="H52" t="inlineStr">
        <is>
          <t>Bergvik skog väst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45033-2025</t>
        </is>
      </c>
      <c r="B53" t="inlineStr">
        <is>
          <t>avverkningsanmälan</t>
        </is>
      </c>
      <c r="C53" t="inlineStr">
        <is>
          <t>Föryngringsavverkning</t>
        </is>
      </c>
      <c r="D53" s="1" t="n">
        <v>45918</v>
      </c>
      <c r="E53" s="1" t="n">
        <v>46282</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46282</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4134-2026</t>
        </is>
      </c>
      <c r="B55" t="inlineStr">
        <is>
          <t>avverkningsanmälan</t>
        </is>
      </c>
      <c r="C55" t="inlineStr">
        <is>
          <t>Föryngringsavverkning</t>
        </is>
      </c>
      <c r="D55" s="1" t="n">
        <v>46044</v>
      </c>
      <c r="E55" s="1" t="n">
        <v>46282</v>
      </c>
      <c r="F55" t="inlineStr">
        <is>
          <t>UPPSALA LÄN</t>
        </is>
      </c>
      <c r="G55" t="inlineStr">
        <is>
          <t>ÄLVKARLEBY</t>
        </is>
      </c>
      <c r="H55" t="inlineStr">
        <is>
          <t>Bergvik skog öst AB</t>
        </is>
      </c>
      <c r="I55" t="n">
        <v>5.1</v>
      </c>
      <c r="J55" t="n">
        <v>0</v>
      </c>
      <c r="K55" t="n">
        <v>0</v>
      </c>
      <c r="L55" t="n">
        <v>0</v>
      </c>
      <c r="M55" t="n">
        <v>0</v>
      </c>
      <c r="N55" t="n">
        <v>0</v>
      </c>
      <c r="O55" t="n">
        <v>0</v>
      </c>
      <c r="P55" t="n">
        <v>0</v>
      </c>
      <c r="Q55" t="n">
        <v>0</v>
      </c>
      <c r="R55" t="n">
        <v>0</v>
      </c>
      <c r="S55" t="n">
        <v>0</v>
      </c>
      <c r="T55" t="n">
        <v>0</v>
      </c>
      <c r="U55" t="n">
        <v>0</v>
      </c>
      <c r="V55" s="2" t="inlineStr"/>
    </row>
    <row r="56" ht="15" customHeight="1">
      <c r="A56" t="inlineStr">
        <is>
          <t>A 9533-2025</t>
        </is>
      </c>
      <c r="B56" t="inlineStr">
        <is>
          <t>avverkningsanmälan</t>
        </is>
      </c>
      <c r="C56" t="inlineStr">
        <is>
          <t>Föryngringsavverkning</t>
        </is>
      </c>
      <c r="D56" s="1" t="n">
        <v>45715</v>
      </c>
      <c r="E56" s="1" t="n">
        <v>46282</v>
      </c>
      <c r="F56" t="inlineStr">
        <is>
          <t>UPPSALA LÄN</t>
        </is>
      </c>
      <c r="G56" t="inlineStr">
        <is>
          <t>ÄLVKARLEBY</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46282</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46282</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2184-2024</t>
        </is>
      </c>
      <c r="B59" t="inlineStr">
        <is>
          <t>avverkningsanmälan</t>
        </is>
      </c>
      <c r="C59" t="inlineStr">
        <is>
          <t>Föryngringsavverkning</t>
        </is>
      </c>
      <c r="D59" s="1" t="n">
        <v>45309</v>
      </c>
      <c r="E59" s="1" t="n">
        <v>46282</v>
      </c>
      <c r="F59" t="inlineStr">
        <is>
          <t>UPPSALA LÄN</t>
        </is>
      </c>
      <c r="G59" t="inlineStr">
        <is>
          <t>ÄLVKARLEBY</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46282</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46282</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46282</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46282</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46282</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46282</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9394-2026</t>
        </is>
      </c>
      <c r="B66" t="inlineStr">
        <is>
          <t>avverkningsanmälan</t>
        </is>
      </c>
      <c r="C66" t="inlineStr">
        <is>
          <t>Föryngringsavverkning</t>
        </is>
      </c>
      <c r="D66" s="1" t="n">
        <v>46071</v>
      </c>
      <c r="E66" s="1" t="n">
        <v>46282</v>
      </c>
      <c r="F66" t="inlineStr">
        <is>
          <t>UPPSALA LÄN</t>
        </is>
      </c>
      <c r="G66" t="inlineStr">
        <is>
          <t>ÄLVKARLEBY</t>
        </is>
      </c>
      <c r="H66" t="inlineStr">
        <is>
          <t>Bergvik skog väst AB</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58168-2025</t>
        </is>
      </c>
      <c r="B67" t="inlineStr">
        <is>
          <t>avverkningsanmälan</t>
        </is>
      </c>
      <c r="C67" t="inlineStr">
        <is>
          <t>Föryngringsavverkning</t>
        </is>
      </c>
      <c r="D67" s="1" t="n">
        <v>45982</v>
      </c>
      <c r="E67" s="1" t="n">
        <v>46282</v>
      </c>
      <c r="F67" t="inlineStr">
        <is>
          <t>UPPSALA LÄN</t>
        </is>
      </c>
      <c r="G67" t="inlineStr">
        <is>
          <t>ÄLVKARLEBY</t>
        </is>
      </c>
      <c r="H67" t="inlineStr">
        <is>
          <t>Bergvik skog väst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11467-2026</t>
        </is>
      </c>
      <c r="B68" t="inlineStr">
        <is>
          <t>avverkningsanmälan</t>
        </is>
      </c>
      <c r="C68" t="inlineStr">
        <is>
          <t>Föryngringsavverkning</t>
        </is>
      </c>
      <c r="D68" s="1" t="n">
        <v>46083</v>
      </c>
      <c r="E68" s="1" t="n">
        <v>46282</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60256-2025</t>
        </is>
      </c>
      <c r="B69" t="inlineStr">
        <is>
          <t>avverkningsanmälan</t>
        </is>
      </c>
      <c r="C69" t="inlineStr">
        <is>
          <t>Föryngringsavverkning</t>
        </is>
      </c>
      <c r="D69" s="1" t="n">
        <v>45994</v>
      </c>
      <c r="E69" s="1" t="n">
        <v>46282</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46282</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11848-2026</t>
        </is>
      </c>
      <c r="B71" t="inlineStr">
        <is>
          <t>avverkningsanmälan</t>
        </is>
      </c>
      <c r="C71" t="inlineStr">
        <is>
          <t>Föryngringsavverkning</t>
        </is>
      </c>
      <c r="D71" s="1" t="n">
        <v>46085</v>
      </c>
      <c r="E71" s="1" t="n">
        <v>46282</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61694-2025</t>
        </is>
      </c>
      <c r="B72" t="inlineStr">
        <is>
          <t>avverkningsanmälan</t>
        </is>
      </c>
      <c r="C72" t="inlineStr">
        <is>
          <t>Föryngringsavverkning</t>
        </is>
      </c>
      <c r="D72" s="1" t="n">
        <v>46002</v>
      </c>
      <c r="E72" s="1" t="n">
        <v>46282</v>
      </c>
      <c r="F72" t="inlineStr">
        <is>
          <t>UPPSALA LÄN</t>
        </is>
      </c>
      <c r="G72" t="inlineStr">
        <is>
          <t>ÄLVKARLEBY</t>
        </is>
      </c>
      <c r="H72" t="inlineStr">
        <is>
          <t>Bergvik skog öst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61691-2025</t>
        </is>
      </c>
      <c r="B73" t="inlineStr">
        <is>
          <t>avverkningsanmälan</t>
        </is>
      </c>
      <c r="C73" t="inlineStr">
        <is>
          <t>Föryngringsavverkning</t>
        </is>
      </c>
      <c r="D73" s="1" t="n">
        <v>46002</v>
      </c>
      <c r="E73" s="1" t="n">
        <v>46282</v>
      </c>
      <c r="F73" t="inlineStr">
        <is>
          <t>UPPSALA LÄN</t>
        </is>
      </c>
      <c r="G73" t="inlineStr">
        <is>
          <t>ÄLVKARLEBY</t>
        </is>
      </c>
      <c r="H73" t="inlineStr">
        <is>
          <t>Bergvik skog öst AB</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62938-2025</t>
        </is>
      </c>
      <c r="B74" t="inlineStr">
        <is>
          <t>avverkningsanmälan</t>
        </is>
      </c>
      <c r="C74" t="inlineStr">
        <is>
          <t>Föryngringsavverkning</t>
        </is>
      </c>
      <c r="D74" s="1" t="n">
        <v>46009</v>
      </c>
      <c r="E74" s="1" t="n">
        <v>46282</v>
      </c>
      <c r="F74" t="inlineStr">
        <is>
          <t>UPPSALA LÄN</t>
        </is>
      </c>
      <c r="G74" t="inlineStr">
        <is>
          <t>ÄLVKARLEBY</t>
        </is>
      </c>
      <c r="H74" t="inlineStr">
        <is>
          <t>Bergvik skog väst AB</t>
        </is>
      </c>
      <c r="I74" t="n">
        <v>10.2</v>
      </c>
      <c r="J74" t="n">
        <v>0</v>
      </c>
      <c r="K74" t="n">
        <v>0</v>
      </c>
      <c r="L74" t="n">
        <v>0</v>
      </c>
      <c r="M74" t="n">
        <v>0</v>
      </c>
      <c r="N74" t="n">
        <v>0</v>
      </c>
      <c r="O74" t="n">
        <v>0</v>
      </c>
      <c r="P74" t="n">
        <v>0</v>
      </c>
      <c r="Q74" t="n">
        <v>0</v>
      </c>
      <c r="R74" t="n">
        <v>0</v>
      </c>
      <c r="S74" t="n">
        <v>0</v>
      </c>
      <c r="T74" t="n">
        <v>0</v>
      </c>
      <c r="U74" t="n">
        <v>0</v>
      </c>
      <c r="V74" s="2" t="inlineStr"/>
    </row>
    <row r="75" ht="15" customHeight="1">
      <c r="A75" t="inlineStr">
        <is>
          <t>A 63365-2025</t>
        </is>
      </c>
      <c r="B75" t="inlineStr">
        <is>
          <t>avverkningsanmälan</t>
        </is>
      </c>
      <c r="C75" t="inlineStr">
        <is>
          <t>Föryngringsavverkning</t>
        </is>
      </c>
      <c r="D75" s="1" t="n">
        <v>46010</v>
      </c>
      <c r="E75" s="1" t="n">
        <v>46282</v>
      </c>
      <c r="F75" t="inlineStr">
        <is>
          <t>UPPSALA LÄN</t>
        </is>
      </c>
      <c r="G75" t="inlineStr">
        <is>
          <t>ÄLVKARLEBY</t>
        </is>
      </c>
      <c r="H75" t="inlineStr">
        <is>
          <t>Bergvik skog väst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61839-2025</t>
        </is>
      </c>
      <c r="B76" t="inlineStr">
        <is>
          <t>avverkningsanmälan</t>
        </is>
      </c>
      <c r="C76" t="inlineStr">
        <is>
          <t>Föryngringsavverkning</t>
        </is>
      </c>
      <c r="D76" s="1" t="n">
        <v>46003</v>
      </c>
      <c r="E76" s="1" t="n">
        <v>46282</v>
      </c>
      <c r="F76" t="inlineStr">
        <is>
          <t>UPPSALA LÄN</t>
        </is>
      </c>
      <c r="G76" t="inlineStr">
        <is>
          <t>ÄLVKARLEBY</t>
        </is>
      </c>
      <c r="H76" t="inlineStr">
        <is>
          <t>Bergvik skog väst AB</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14590-2023</t>
        </is>
      </c>
      <c r="B77" t="inlineStr">
        <is>
          <t>avverkningsanmälan</t>
        </is>
      </c>
      <c r="C77" t="inlineStr">
        <is>
          <t>Föryngringsavverkning</t>
        </is>
      </c>
      <c r="D77" s="1" t="n">
        <v>45013</v>
      </c>
      <c r="E77" s="1" t="n">
        <v>46282</v>
      </c>
      <c r="F77" t="inlineStr">
        <is>
          <t>UPPSALA LÄN</t>
        </is>
      </c>
      <c r="G77" t="inlineStr">
        <is>
          <t>ÄLVKARLEBY</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14091-2026</t>
        </is>
      </c>
      <c r="B78" t="inlineStr">
        <is>
          <t>avverkningsanmälan</t>
        </is>
      </c>
      <c r="C78" t="inlineStr">
        <is>
          <t>Föryngringsavverkning</t>
        </is>
      </c>
      <c r="D78" s="1" t="n">
        <v>46099</v>
      </c>
      <c r="E78" s="1" t="n">
        <v>46282</v>
      </c>
      <c r="F78" t="inlineStr">
        <is>
          <t>UPPSALA LÄN</t>
        </is>
      </c>
      <c r="G78" t="inlineStr">
        <is>
          <t>ÄLVKARLEBY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17851-2026</t>
        </is>
      </c>
      <c r="B79" t="inlineStr">
        <is>
          <t>avverkningsanmälan</t>
        </is>
      </c>
      <c r="C79" t="inlineStr">
        <is>
          <t>Föryngringsavverkning</t>
        </is>
      </c>
      <c r="D79" s="1" t="n">
        <v>46122</v>
      </c>
      <c r="E79" s="1" t="n">
        <v>46282</v>
      </c>
      <c r="F79" t="inlineStr">
        <is>
          <t>UPPSALA LÄN</t>
        </is>
      </c>
      <c r="G79" t="inlineStr">
        <is>
          <t>ÄLVKARLEBY</t>
        </is>
      </c>
      <c r="H79" t="inlineStr">
        <is>
          <t>Bergvik skog öst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36216-2022</t>
        </is>
      </c>
      <c r="B80" t="inlineStr">
        <is>
          <t>avverkningsanmälan</t>
        </is>
      </c>
      <c r="C80" t="inlineStr">
        <is>
          <t>Avverkning för annat ändamål</t>
        </is>
      </c>
      <c r="D80" s="1" t="n">
        <v>44803</v>
      </c>
      <c r="E80" s="1" t="n">
        <v>46282</v>
      </c>
      <c r="F80" t="inlineStr">
        <is>
          <t>UPPSALA LÄN</t>
        </is>
      </c>
      <c r="G80" t="inlineStr">
        <is>
          <t>ÄLVKARLEBY</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28670-2025</t>
        </is>
      </c>
      <c r="B81" t="inlineStr">
        <is>
          <t>avverkningsanmälan</t>
        </is>
      </c>
      <c r="C81" t="inlineStr">
        <is>
          <t>Föryngringsavverkning</t>
        </is>
      </c>
      <c r="D81" s="1" t="n">
        <v>45819</v>
      </c>
      <c r="E81" s="1" t="n">
        <v>46282</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46282</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46282</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45372-2024</t>
        </is>
      </c>
      <c r="B84" t="inlineStr">
        <is>
          <t>avverkningsanmälan</t>
        </is>
      </c>
      <c r="C84" t="inlineStr">
        <is>
          <t>Föryngringsavverkning</t>
        </is>
      </c>
      <c r="D84" s="1" t="n">
        <v>45576</v>
      </c>
      <c r="E84" s="1" t="n">
        <v>46282</v>
      </c>
      <c r="F84" t="inlineStr">
        <is>
          <t>UPPSALA LÄN</t>
        </is>
      </c>
      <c r="G84" t="inlineStr">
        <is>
          <t>ÄLVKARLEBY</t>
        </is>
      </c>
      <c r="H84" t="inlineStr">
        <is>
          <t>Bergvik skog väst AB</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41929-2024</t>
        </is>
      </c>
      <c r="B85" t="inlineStr">
        <is>
          <t>avverkningsanmälan</t>
        </is>
      </c>
      <c r="C85" t="inlineStr">
        <is>
          <t>Föryngringsavverkning</t>
        </is>
      </c>
      <c r="D85" s="1" t="n">
        <v>45561</v>
      </c>
      <c r="E85" s="1" t="n">
        <v>46282</v>
      </c>
      <c r="F85" t="inlineStr">
        <is>
          <t>UPPSALA LÄN</t>
        </is>
      </c>
      <c r="G85" t="inlineStr">
        <is>
          <t>ÄLVKARLEBY</t>
        </is>
      </c>
      <c r="H85" t="inlineStr">
        <is>
          <t>Bergvik skog väst AB</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26815-2022</t>
        </is>
      </c>
      <c r="B86" t="inlineStr">
        <is>
          <t>avverkningsanmälan</t>
        </is>
      </c>
      <c r="C86" t="inlineStr">
        <is>
          <t>Föryngringsavverkning</t>
        </is>
      </c>
      <c r="D86" s="1" t="n">
        <v>44740</v>
      </c>
      <c r="E86" s="1" t="n">
        <v>46282</v>
      </c>
      <c r="F86" t="inlineStr">
        <is>
          <t>UPPSALA LÄN</t>
        </is>
      </c>
      <c r="G86" t="inlineStr">
        <is>
          <t>ÄLVKARLEBY</t>
        </is>
      </c>
      <c r="I86" t="n">
        <v>5.8</v>
      </c>
      <c r="J86" t="n">
        <v>0</v>
      </c>
      <c r="K86" t="n">
        <v>0</v>
      </c>
      <c r="L86" t="n">
        <v>0</v>
      </c>
      <c r="M86" t="n">
        <v>0</v>
      </c>
      <c r="N86" t="n">
        <v>0</v>
      </c>
      <c r="O86" t="n">
        <v>0</v>
      </c>
      <c r="P86" t="n">
        <v>0</v>
      </c>
      <c r="Q86" t="n">
        <v>0</v>
      </c>
      <c r="R86" t="n">
        <v>0</v>
      </c>
      <c r="S86" t="n">
        <v>0</v>
      </c>
      <c r="T86" t="n">
        <v>0</v>
      </c>
      <c r="U86" t="n">
        <v>0</v>
      </c>
      <c r="V86" s="2" t="inlineStr"/>
    </row>
    <row r="87" ht="15" customHeight="1">
      <c r="A87" t="inlineStr">
        <is>
          <t>A 33485-2026</t>
        </is>
      </c>
      <c r="B87" t="inlineStr">
        <is>
          <t>avverkningsanmälan</t>
        </is>
      </c>
      <c r="C87" t="inlineStr">
        <is>
          <t>Föryngringsavverkning</t>
        </is>
      </c>
      <c r="D87" s="1" t="n">
        <v>46247</v>
      </c>
      <c r="E87" s="1" t="n">
        <v>46282</v>
      </c>
      <c r="F87" t="inlineStr">
        <is>
          <t>UPPSALA LÄN</t>
        </is>
      </c>
      <c r="G87" t="inlineStr">
        <is>
          <t>ÄLVKARLEBY</t>
        </is>
      </c>
      <c r="H87" t="inlineStr">
        <is>
          <t>Bergvik skog öst AB</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30238-2026</t>
        </is>
      </c>
      <c r="B88" t="inlineStr">
        <is>
          <t>avverkningsanmälan</t>
        </is>
      </c>
      <c r="C88" t="inlineStr">
        <is>
          <t>Föryngringsavverkning</t>
        </is>
      </c>
      <c r="D88" s="1" t="n">
        <v>46206</v>
      </c>
      <c r="E88" s="1" t="n">
        <v>46282</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30234-2026</t>
        </is>
      </c>
      <c r="B89" t="inlineStr">
        <is>
          <t>avverkningsanmälan</t>
        </is>
      </c>
      <c r="C89" t="inlineStr">
        <is>
          <t>Föryngringsavverkning</t>
        </is>
      </c>
      <c r="D89" s="1" t="n">
        <v>46206</v>
      </c>
      <c r="E89" s="1" t="n">
        <v>46282</v>
      </c>
      <c r="F89" t="inlineStr">
        <is>
          <t>UPPSALA LÄN</t>
        </is>
      </c>
      <c r="G89" t="inlineStr">
        <is>
          <t>ÄLVKARLEBY</t>
        </is>
      </c>
      <c r="H89" t="inlineStr">
        <is>
          <t>Bergvik skog öst AB</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34575-2026</t>
        </is>
      </c>
      <c r="B90" t="inlineStr">
        <is>
          <t>avverkningsanmälan</t>
        </is>
      </c>
      <c r="C90" t="inlineStr">
        <is>
          <t>Föryngringsavverkning</t>
        </is>
      </c>
      <c r="D90" s="1" t="n">
        <v>46255</v>
      </c>
      <c r="E90" s="1" t="n">
        <v>46282</v>
      </c>
      <c r="F90" t="inlineStr">
        <is>
          <t>UPPSALA LÄN</t>
        </is>
      </c>
      <c r="G90" t="inlineStr">
        <is>
          <t>ÄLVKARLEBY</t>
        </is>
      </c>
      <c r="H90" t="inlineStr">
        <is>
          <t>Bergvik skog öst AB</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41272-2023</t>
        </is>
      </c>
      <c r="B91" t="inlineStr">
        <is>
          <t>avverkningsanmälan</t>
        </is>
      </c>
      <c r="C91" t="inlineStr">
        <is>
          <t>Föryngringsavverkning</t>
        </is>
      </c>
      <c r="D91" s="1" t="n">
        <v>45174</v>
      </c>
      <c r="E91" s="1" t="n">
        <v>46282</v>
      </c>
      <c r="F91" t="inlineStr">
        <is>
          <t>UPPSALA LÄN</t>
        </is>
      </c>
      <c r="G91" t="inlineStr">
        <is>
          <t>ÄLVKARLEBY</t>
        </is>
      </c>
      <c r="H91" t="inlineStr">
        <is>
          <t>Bergvik skog väst AB</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35356-2026</t>
        </is>
      </c>
      <c r="B92" t="inlineStr">
        <is>
          <t>avverkningsanmälan</t>
        </is>
      </c>
      <c r="C92" t="inlineStr">
        <is>
          <t>Föryngringsavverkning</t>
        </is>
      </c>
      <c r="D92" s="1" t="n">
        <v>46261</v>
      </c>
      <c r="E92" s="1" t="n">
        <v>46282</v>
      </c>
      <c r="F92" t="inlineStr">
        <is>
          <t>UPPSALA LÄN</t>
        </is>
      </c>
      <c r="G92" t="inlineStr">
        <is>
          <t>ÄLVKARLEBY</t>
        </is>
      </c>
      <c r="H92" t="inlineStr">
        <is>
          <t>Bergvik skog öst AB</t>
        </is>
      </c>
      <c r="I92" t="n">
        <v>2.1</v>
      </c>
      <c r="J92" t="n">
        <v>0</v>
      </c>
      <c r="K92" t="n">
        <v>0</v>
      </c>
      <c r="L92" t="n">
        <v>0</v>
      </c>
      <c r="M92" t="n">
        <v>0</v>
      </c>
      <c r="N92" t="n">
        <v>0</v>
      </c>
      <c r="O92" t="n">
        <v>0</v>
      </c>
      <c r="P92" t="n">
        <v>0</v>
      </c>
      <c r="Q92" t="n">
        <v>0</v>
      </c>
      <c r="R92" t="n">
        <v>0</v>
      </c>
      <c r="S92" t="n">
        <v>0</v>
      </c>
      <c r="T92" t="n">
        <v>0</v>
      </c>
      <c r="U92" t="n">
        <v>0</v>
      </c>
      <c r="V92" s="2" t="inlineStr"/>
    </row>
    <row r="93">
      <c r="A93" t="inlineStr">
        <is>
          <t>A 41276-2023</t>
        </is>
      </c>
      <c r="B93" t="inlineStr">
        <is>
          <t>avverkningsanmälan</t>
        </is>
      </c>
      <c r="C93" t="inlineStr">
        <is>
          <t>Föryngringsavverkning</t>
        </is>
      </c>
      <c r="D93" s="1" t="n">
        <v>45174</v>
      </c>
      <c r="E93" s="1" t="n">
        <v>46282</v>
      </c>
      <c r="F93" t="inlineStr">
        <is>
          <t>UPPSALA LÄN</t>
        </is>
      </c>
      <c r="G93" t="inlineStr">
        <is>
          <t>ÄLVKARLEBY</t>
        </is>
      </c>
      <c r="H93" t="inlineStr">
        <is>
          <t>Bergvik skog väst AB</t>
        </is>
      </c>
      <c r="I93" t="n">
        <v>0.3</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2026-09-17T02:03:21Z</dcterms:created>
  <dcterms:modified xmlns:dcterms="http://purl.org/dc/terms/" xmlns:xsi="http://www.w3.org/2001/XMLSchema-instance" xsi:type="dcterms:W3CDTF">2026-09-17T02:03:21Z</dcterms:modified>
</cp:coreProperties>
</file>