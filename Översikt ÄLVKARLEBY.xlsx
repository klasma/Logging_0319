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45901</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45901</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45901</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45901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45901</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45901</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45901</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45901</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45901</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45901</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55555-2024</t>
        </is>
      </c>
      <c r="B13" s="1" t="n">
        <v>45622.51762731482</v>
      </c>
      <c r="C13" s="1" t="n">
        <v>45901</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30484-2025</t>
        </is>
      </c>
      <c r="B14" s="1" t="n">
        <v>45828.75157407407</v>
      </c>
      <c r="C14" s="1" t="n">
        <v>45901</v>
      </c>
      <c r="D14" t="inlineStr">
        <is>
          <t>UPPSALA LÄN</t>
        </is>
      </c>
      <c r="E14" t="inlineStr">
        <is>
          <t>ÄLVKARLEBY</t>
        </is>
      </c>
      <c r="F14" t="inlineStr">
        <is>
          <t>Bergvik skog väst AB</t>
        </is>
      </c>
      <c r="G14" t="n">
        <v>1.6</v>
      </c>
      <c r="H14" t="n">
        <v>1</v>
      </c>
      <c r="I14" t="n">
        <v>1</v>
      </c>
      <c r="J14" t="n">
        <v>1</v>
      </c>
      <c r="K14" t="n">
        <v>0</v>
      </c>
      <c r="L14" t="n">
        <v>0</v>
      </c>
      <c r="M14" t="n">
        <v>0</v>
      </c>
      <c r="N14" t="n">
        <v>0</v>
      </c>
      <c r="O14" t="n">
        <v>1</v>
      </c>
      <c r="P14" t="n">
        <v>0</v>
      </c>
      <c r="Q14" t="n">
        <v>3</v>
      </c>
      <c r="R14" s="2" t="inlineStr">
        <is>
          <t>Slåtterfibbla
Svart trolldruva
Gullviva</t>
        </is>
      </c>
      <c r="S14">
        <f>HYPERLINK("https://klasma.github.io/Logging_0319/artfynd/A 30484-2025 artfynd.xlsx", "A 30484-2025")</f>
        <v/>
      </c>
      <c r="T14">
        <f>HYPERLINK("https://klasma.github.io/Logging_0319/kartor/A 30484-2025 karta.png", "A 30484-2025")</f>
        <v/>
      </c>
      <c r="V14">
        <f>HYPERLINK("https://klasma.github.io/Logging_0319/klagomål/A 30484-2025 FSC-klagomål.docx", "A 30484-2025")</f>
        <v/>
      </c>
      <c r="W14">
        <f>HYPERLINK("https://klasma.github.io/Logging_0319/klagomålsmail/A 30484-2025 FSC-klagomål mail.docx", "A 30484-2025")</f>
        <v/>
      </c>
      <c r="X14">
        <f>HYPERLINK("https://klasma.github.io/Logging_0319/tillsyn/A 30484-2025 tillsynsbegäran.docx", "A 30484-2025")</f>
        <v/>
      </c>
      <c r="Y14">
        <f>HYPERLINK("https://klasma.github.io/Logging_0319/tillsynsmail/A 30484-2025 tillsynsbegäran mail.docx", "A 30484-2025")</f>
        <v/>
      </c>
    </row>
    <row r="15" ht="15" customHeight="1">
      <c r="A15" t="inlineStr">
        <is>
          <t>A 34798-2024</t>
        </is>
      </c>
      <c r="B15" s="1" t="n">
        <v>45526</v>
      </c>
      <c r="C15" s="1" t="n">
        <v>45901</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45901</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21007-2025</t>
        </is>
      </c>
      <c r="B17" s="1" t="n">
        <v>45777</v>
      </c>
      <c r="C17" s="1" t="n">
        <v>45901</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45901</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45901</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45901</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66277-2020</t>
        </is>
      </c>
      <c r="B21" s="1" t="n">
        <v>44176</v>
      </c>
      <c r="C21" s="1" t="n">
        <v>45901</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45901</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9521-2025</t>
        </is>
      </c>
      <c r="B23" s="1" t="n">
        <v>45715.56259259259</v>
      </c>
      <c r="C23" s="1" t="n">
        <v>45901</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39902-2025</t>
        </is>
      </c>
      <c r="B24" s="1" t="n">
        <v>45891.63597222222</v>
      </c>
      <c r="C24" s="1" t="n">
        <v>45901</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21700-2024</t>
        </is>
      </c>
      <c r="B25" s="1" t="n">
        <v>45442</v>
      </c>
      <c r="C25" s="1" t="n">
        <v>45901</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45901</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50416-2020</t>
        </is>
      </c>
      <c r="B27" s="1" t="n">
        <v>44110</v>
      </c>
      <c r="C27" s="1" t="n">
        <v>45901</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45901</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45901</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45901</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45901</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9533-2025</t>
        </is>
      </c>
      <c r="B32" s="1" t="n">
        <v>45715.57082175926</v>
      </c>
      <c r="C32" s="1" t="n">
        <v>45901</v>
      </c>
      <c r="D32" t="inlineStr">
        <is>
          <t>UPPSALA LÄN</t>
        </is>
      </c>
      <c r="E32" t="inlineStr">
        <is>
          <t>ÄLVKARLEBY</t>
        </is>
      </c>
      <c r="G32" t="n">
        <v>2.1</v>
      </c>
      <c r="H32" t="n">
        <v>0</v>
      </c>
      <c r="I32" t="n">
        <v>0</v>
      </c>
      <c r="J32" t="n">
        <v>0</v>
      </c>
      <c r="K32" t="n">
        <v>0</v>
      </c>
      <c r="L32" t="n">
        <v>0</v>
      </c>
      <c r="M32" t="n">
        <v>0</v>
      </c>
      <c r="N32" t="n">
        <v>0</v>
      </c>
      <c r="O32" t="n">
        <v>0</v>
      </c>
      <c r="P32" t="n">
        <v>0</v>
      </c>
      <c r="Q32" t="n">
        <v>0</v>
      </c>
      <c r="R32" s="2" t="inlineStr"/>
    </row>
    <row r="33" ht="15" customHeight="1">
      <c r="A33" t="inlineStr">
        <is>
          <t>A 19697-2025</t>
        </is>
      </c>
      <c r="B33" s="1" t="n">
        <v>45771</v>
      </c>
      <c r="C33" s="1" t="n">
        <v>45901</v>
      </c>
      <c r="D33" t="inlineStr">
        <is>
          <t>UPPSALA LÄN</t>
        </is>
      </c>
      <c r="E33" t="inlineStr">
        <is>
          <t>ÄLVKARLEBY</t>
        </is>
      </c>
      <c r="F33" t="inlineStr">
        <is>
          <t>Bergvik skog väst AB</t>
        </is>
      </c>
      <c r="G33" t="n">
        <v>3.3</v>
      </c>
      <c r="H33" t="n">
        <v>0</v>
      </c>
      <c r="I33" t="n">
        <v>0</v>
      </c>
      <c r="J33" t="n">
        <v>0</v>
      </c>
      <c r="K33" t="n">
        <v>0</v>
      </c>
      <c r="L33" t="n">
        <v>0</v>
      </c>
      <c r="M33" t="n">
        <v>0</v>
      </c>
      <c r="N33" t="n">
        <v>0</v>
      </c>
      <c r="O33" t="n">
        <v>0</v>
      </c>
      <c r="P33" t="n">
        <v>0</v>
      </c>
      <c r="Q33" t="n">
        <v>0</v>
      </c>
      <c r="R33" s="2" t="inlineStr"/>
    </row>
    <row r="34" ht="15" customHeight="1">
      <c r="A34" t="inlineStr">
        <is>
          <t>A 21012-2025</t>
        </is>
      </c>
      <c r="B34" s="1" t="n">
        <v>45777</v>
      </c>
      <c r="C34" s="1" t="n">
        <v>45901</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45901</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41272-2023</t>
        </is>
      </c>
      <c r="B36" s="1" t="n">
        <v>45174</v>
      </c>
      <c r="C36" s="1" t="n">
        <v>45901</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45901</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2183-2024</t>
        </is>
      </c>
      <c r="B38" s="1" t="n">
        <v>45309</v>
      </c>
      <c r="C38" s="1" t="n">
        <v>45901</v>
      </c>
      <c r="D38" t="inlineStr">
        <is>
          <t>UPPSALA LÄN</t>
        </is>
      </c>
      <c r="E38" t="inlineStr">
        <is>
          <t>ÄLVKARLEBY</t>
        </is>
      </c>
      <c r="G38" t="n">
        <v>0.5</v>
      </c>
      <c r="H38" t="n">
        <v>0</v>
      </c>
      <c r="I38" t="n">
        <v>0</v>
      </c>
      <c r="J38" t="n">
        <v>0</v>
      </c>
      <c r="K38" t="n">
        <v>0</v>
      </c>
      <c r="L38" t="n">
        <v>0</v>
      </c>
      <c r="M38" t="n">
        <v>0</v>
      </c>
      <c r="N38" t="n">
        <v>0</v>
      </c>
      <c r="O38" t="n">
        <v>0</v>
      </c>
      <c r="P38" t="n">
        <v>0</v>
      </c>
      <c r="Q38" t="n">
        <v>0</v>
      </c>
      <c r="R38" s="2" t="inlineStr"/>
    </row>
    <row r="39" ht="15" customHeight="1">
      <c r="A39" t="inlineStr">
        <is>
          <t>A 19303-2024</t>
        </is>
      </c>
      <c r="B39" s="1" t="n">
        <v>45428.70386574074</v>
      </c>
      <c r="C39" s="1" t="n">
        <v>45901</v>
      </c>
      <c r="D39" t="inlineStr">
        <is>
          <t>UPPSALA LÄN</t>
        </is>
      </c>
      <c r="E39" t="inlineStr">
        <is>
          <t>ÄLVKARLEBY</t>
        </is>
      </c>
      <c r="G39" t="n">
        <v>0.4</v>
      </c>
      <c r="H39" t="n">
        <v>0</v>
      </c>
      <c r="I39" t="n">
        <v>0</v>
      </c>
      <c r="J39" t="n">
        <v>0</v>
      </c>
      <c r="K39" t="n">
        <v>0</v>
      </c>
      <c r="L39" t="n">
        <v>0</v>
      </c>
      <c r="M39" t="n">
        <v>0</v>
      </c>
      <c r="N39" t="n">
        <v>0</v>
      </c>
      <c r="O39" t="n">
        <v>0</v>
      </c>
      <c r="P39" t="n">
        <v>0</v>
      </c>
      <c r="Q39" t="n">
        <v>0</v>
      </c>
      <c r="R39" s="2" t="inlineStr"/>
    </row>
    <row r="40" ht="15" customHeight="1">
      <c r="A40" t="inlineStr">
        <is>
          <t>A 24593-2025</t>
        </is>
      </c>
      <c r="B40" s="1" t="n">
        <v>45798</v>
      </c>
      <c r="C40" s="1" t="n">
        <v>45901</v>
      </c>
      <c r="D40" t="inlineStr">
        <is>
          <t>UPPSALA LÄN</t>
        </is>
      </c>
      <c r="E40" t="inlineStr">
        <is>
          <t>ÄLVKARLEBY</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24591-2025</t>
        </is>
      </c>
      <c r="B41" s="1" t="n">
        <v>45798.53666666667</v>
      </c>
      <c r="C41" s="1" t="n">
        <v>45901</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24592-2025</t>
        </is>
      </c>
      <c r="B42" s="1" t="n">
        <v>45798.54337962963</v>
      </c>
      <c r="C42" s="1" t="n">
        <v>45901</v>
      </c>
      <c r="D42" t="inlineStr">
        <is>
          <t>UPPSALA LÄN</t>
        </is>
      </c>
      <c r="E42" t="inlineStr">
        <is>
          <t>ÄLVKARLEBY</t>
        </is>
      </c>
      <c r="F42" t="inlineStr">
        <is>
          <t>Bergvik skog väst AB</t>
        </is>
      </c>
      <c r="G42" t="n">
        <v>2.5</v>
      </c>
      <c r="H42" t="n">
        <v>0</v>
      </c>
      <c r="I42" t="n">
        <v>0</v>
      </c>
      <c r="J42" t="n">
        <v>0</v>
      </c>
      <c r="K42" t="n">
        <v>0</v>
      </c>
      <c r="L42" t="n">
        <v>0</v>
      </c>
      <c r="M42" t="n">
        <v>0</v>
      </c>
      <c r="N42" t="n">
        <v>0</v>
      </c>
      <c r="O42" t="n">
        <v>0</v>
      </c>
      <c r="P42" t="n">
        <v>0</v>
      </c>
      <c r="Q42" t="n">
        <v>0</v>
      </c>
      <c r="R42" s="2" t="inlineStr"/>
    </row>
    <row r="43" ht="15" customHeight="1">
      <c r="A43" t="inlineStr">
        <is>
          <t>A 25330-2025</t>
        </is>
      </c>
      <c r="B43" s="1" t="n">
        <v>45800.59114583334</v>
      </c>
      <c r="C43" s="1" t="n">
        <v>45901</v>
      </c>
      <c r="D43" t="inlineStr">
        <is>
          <t>UPPSALA LÄN</t>
        </is>
      </c>
      <c r="E43" t="inlineStr">
        <is>
          <t>ÄLVKARLEBY</t>
        </is>
      </c>
      <c r="F43" t="inlineStr">
        <is>
          <t>Bergvik skog väst AB</t>
        </is>
      </c>
      <c r="G43" t="n">
        <v>5</v>
      </c>
      <c r="H43" t="n">
        <v>0</v>
      </c>
      <c r="I43" t="n">
        <v>0</v>
      </c>
      <c r="J43" t="n">
        <v>0</v>
      </c>
      <c r="K43" t="n">
        <v>0</v>
      </c>
      <c r="L43" t="n">
        <v>0</v>
      </c>
      <c r="M43" t="n">
        <v>0</v>
      </c>
      <c r="N43" t="n">
        <v>0</v>
      </c>
      <c r="O43" t="n">
        <v>0</v>
      </c>
      <c r="P43" t="n">
        <v>0</v>
      </c>
      <c r="Q43" t="n">
        <v>0</v>
      </c>
      <c r="R43" s="2" t="inlineStr"/>
    </row>
    <row r="44" ht="15" customHeight="1">
      <c r="A44" t="inlineStr">
        <is>
          <t>A 19304-2024</t>
        </is>
      </c>
      <c r="B44" s="1" t="n">
        <v>45428</v>
      </c>
      <c r="C44" s="1" t="n">
        <v>45901</v>
      </c>
      <c r="D44" t="inlineStr">
        <is>
          <t>UPPSALA LÄN</t>
        </is>
      </c>
      <c r="E44" t="inlineStr">
        <is>
          <t>ÄLVKARLEBY</t>
        </is>
      </c>
      <c r="G44" t="n">
        <v>0.2</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45901</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45901</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45901</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45901</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26670-2025</t>
        </is>
      </c>
      <c r="B49" s="1" t="n">
        <v>45810.41489583333</v>
      </c>
      <c r="C49" s="1" t="n">
        <v>45901</v>
      </c>
      <c r="D49" t="inlineStr">
        <is>
          <t>UPPSALA LÄN</t>
        </is>
      </c>
      <c r="E49" t="inlineStr">
        <is>
          <t>ÄLVKARLEBY</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26668-2025</t>
        </is>
      </c>
      <c r="B50" s="1" t="n">
        <v>45810.41017361111</v>
      </c>
      <c r="C50" s="1" t="n">
        <v>45901</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27330-2025</t>
        </is>
      </c>
      <c r="B51" s="1" t="n">
        <v>45812.60934027778</v>
      </c>
      <c r="C51" s="1" t="n">
        <v>45901</v>
      </c>
      <c r="D51" t="inlineStr">
        <is>
          <t>UPPSALA LÄN</t>
        </is>
      </c>
      <c r="E51" t="inlineStr">
        <is>
          <t>ÄLVKARLEBY</t>
        </is>
      </c>
      <c r="F51" t="inlineStr">
        <is>
          <t>Bergvik skog väst AB</t>
        </is>
      </c>
      <c r="G51" t="n">
        <v>0.5</v>
      </c>
      <c r="H51" t="n">
        <v>0</v>
      </c>
      <c r="I51" t="n">
        <v>0</v>
      </c>
      <c r="J51" t="n">
        <v>0</v>
      </c>
      <c r="K51" t="n">
        <v>0</v>
      </c>
      <c r="L51" t="n">
        <v>0</v>
      </c>
      <c r="M51" t="n">
        <v>0</v>
      </c>
      <c r="N51" t="n">
        <v>0</v>
      </c>
      <c r="O51" t="n">
        <v>0</v>
      </c>
      <c r="P51" t="n">
        <v>0</v>
      </c>
      <c r="Q51" t="n">
        <v>0</v>
      </c>
      <c r="R51" s="2" t="inlineStr"/>
    </row>
    <row r="52" ht="15" customHeight="1">
      <c r="A52" t="inlineStr">
        <is>
          <t>A 27743-2025</t>
        </is>
      </c>
      <c r="B52" s="1" t="n">
        <v>45815.53981481482</v>
      </c>
      <c r="C52" s="1" t="n">
        <v>45901</v>
      </c>
      <c r="D52" t="inlineStr">
        <is>
          <t>UPPSALA LÄN</t>
        </is>
      </c>
      <c r="E52" t="inlineStr">
        <is>
          <t>ÄLVKARLEBY</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45901</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27741-2025</t>
        </is>
      </c>
      <c r="B54" s="1" t="n">
        <v>45815.5346875</v>
      </c>
      <c r="C54" s="1" t="n">
        <v>45901</v>
      </c>
      <c r="D54" t="inlineStr">
        <is>
          <t>UPPSALA LÄN</t>
        </is>
      </c>
      <c r="E54" t="inlineStr">
        <is>
          <t>ÄLVKARLEBY</t>
        </is>
      </c>
      <c r="F54" t="inlineStr">
        <is>
          <t>Bergvik skog väst AB</t>
        </is>
      </c>
      <c r="G54" t="n">
        <v>4.4</v>
      </c>
      <c r="H54" t="n">
        <v>0</v>
      </c>
      <c r="I54" t="n">
        <v>0</v>
      </c>
      <c r="J54" t="n">
        <v>0</v>
      </c>
      <c r="K54" t="n">
        <v>0</v>
      </c>
      <c r="L54" t="n">
        <v>0</v>
      </c>
      <c r="M54" t="n">
        <v>0</v>
      </c>
      <c r="N54" t="n">
        <v>0</v>
      </c>
      <c r="O54" t="n">
        <v>0</v>
      </c>
      <c r="P54" t="n">
        <v>0</v>
      </c>
      <c r="Q54" t="n">
        <v>0</v>
      </c>
      <c r="R54" s="2" t="inlineStr"/>
    </row>
    <row r="55" ht="15" customHeight="1">
      <c r="A55" t="inlineStr">
        <is>
          <t>A 45372-2024</t>
        </is>
      </c>
      <c r="B55" s="1" t="n">
        <v>45576.51116898148</v>
      </c>
      <c r="C55" s="1" t="n">
        <v>45901</v>
      </c>
      <c r="D55" t="inlineStr">
        <is>
          <t>UPPSALA LÄN</t>
        </is>
      </c>
      <c r="E55" t="inlineStr">
        <is>
          <t>ÄLVKARLEBY</t>
        </is>
      </c>
      <c r="F55" t="inlineStr">
        <is>
          <t>Bergvik skog väst AB</t>
        </is>
      </c>
      <c r="G55" t="n">
        <v>3.4</v>
      </c>
      <c r="H55" t="n">
        <v>0</v>
      </c>
      <c r="I55" t="n">
        <v>0</v>
      </c>
      <c r="J55" t="n">
        <v>0</v>
      </c>
      <c r="K55" t="n">
        <v>0</v>
      </c>
      <c r="L55" t="n">
        <v>0</v>
      </c>
      <c r="M55" t="n">
        <v>0</v>
      </c>
      <c r="N55" t="n">
        <v>0</v>
      </c>
      <c r="O55" t="n">
        <v>0</v>
      </c>
      <c r="P55" t="n">
        <v>0</v>
      </c>
      <c r="Q55" t="n">
        <v>0</v>
      </c>
      <c r="R55" s="2" t="inlineStr"/>
    </row>
    <row r="56" ht="15" customHeight="1">
      <c r="A56" t="inlineStr">
        <is>
          <t>A 28670-2025</t>
        </is>
      </c>
      <c r="B56" s="1" t="n">
        <v>45819.67130787037</v>
      </c>
      <c r="C56" s="1" t="n">
        <v>45901</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28668-2025</t>
        </is>
      </c>
      <c r="B57" s="1" t="n">
        <v>45819.66650462963</v>
      </c>
      <c r="C57" s="1" t="n">
        <v>45901</v>
      </c>
      <c r="D57" t="inlineStr">
        <is>
          <t>UPPSALA LÄN</t>
        </is>
      </c>
      <c r="E57" t="inlineStr">
        <is>
          <t>ÄLVKARLEBY</t>
        </is>
      </c>
      <c r="F57" t="inlineStr">
        <is>
          <t>Bergvik skog väst AB</t>
        </is>
      </c>
      <c r="G57" t="n">
        <v>8.300000000000001</v>
      </c>
      <c r="H57" t="n">
        <v>0</v>
      </c>
      <c r="I57" t="n">
        <v>0</v>
      </c>
      <c r="J57" t="n">
        <v>0</v>
      </c>
      <c r="K57" t="n">
        <v>0</v>
      </c>
      <c r="L57" t="n">
        <v>0</v>
      </c>
      <c r="M57" t="n">
        <v>0</v>
      </c>
      <c r="N57" t="n">
        <v>0</v>
      </c>
      <c r="O57" t="n">
        <v>0</v>
      </c>
      <c r="P57" t="n">
        <v>0</v>
      </c>
      <c r="Q57" t="n">
        <v>0</v>
      </c>
      <c r="R57" s="2" t="inlineStr"/>
    </row>
    <row r="58" ht="15" customHeight="1">
      <c r="A58" t="inlineStr">
        <is>
          <t>A 16990-2022</t>
        </is>
      </c>
      <c r="B58" s="1" t="n">
        <v>44676.6122337963</v>
      </c>
      <c r="C58" s="1" t="n">
        <v>45901</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11553-2021</t>
        </is>
      </c>
      <c r="B59" s="1" t="n">
        <v>44264.48725694444</v>
      </c>
      <c r="C59" s="1" t="n">
        <v>45901</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45901</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36626-2025</t>
        </is>
      </c>
      <c r="B61" s="1" t="n">
        <v>45870.66732638889</v>
      </c>
      <c r="C61" s="1" t="n">
        <v>45901</v>
      </c>
      <c r="D61" t="inlineStr">
        <is>
          <t>UPPSALA LÄN</t>
        </is>
      </c>
      <c r="E61" t="inlineStr">
        <is>
          <t>ÄLVKARLEBY</t>
        </is>
      </c>
      <c r="F61" t="inlineStr">
        <is>
          <t>Bergvik skog väst AB</t>
        </is>
      </c>
      <c r="G61" t="n">
        <v>2.7</v>
      </c>
      <c r="H61" t="n">
        <v>0</v>
      </c>
      <c r="I61" t="n">
        <v>0</v>
      </c>
      <c r="J61" t="n">
        <v>0</v>
      </c>
      <c r="K61" t="n">
        <v>0</v>
      </c>
      <c r="L61" t="n">
        <v>0</v>
      </c>
      <c r="M61" t="n">
        <v>0</v>
      </c>
      <c r="N61" t="n">
        <v>0</v>
      </c>
      <c r="O61" t="n">
        <v>0</v>
      </c>
      <c r="P61" t="n">
        <v>0</v>
      </c>
      <c r="Q61" t="n">
        <v>0</v>
      </c>
      <c r="R61" s="2" t="inlineStr"/>
    </row>
    <row r="62" ht="15" customHeight="1">
      <c r="A62" t="inlineStr">
        <is>
          <t>A 43285-2023</t>
        </is>
      </c>
      <c r="B62" s="1" t="n">
        <v>45183.5630787037</v>
      </c>
      <c r="C62" s="1" t="n">
        <v>45901</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3950-2025</t>
        </is>
      </c>
      <c r="B63" s="1" t="n">
        <v>45684</v>
      </c>
      <c r="C63" s="1" t="n">
        <v>45901</v>
      </c>
      <c r="D63" t="inlineStr">
        <is>
          <t>UPPSALA LÄN</t>
        </is>
      </c>
      <c r="E63" t="inlineStr">
        <is>
          <t>ÄLVKARLEBY</t>
        </is>
      </c>
      <c r="G63" t="n">
        <v>3.1</v>
      </c>
      <c r="H63" t="n">
        <v>0</v>
      </c>
      <c r="I63" t="n">
        <v>0</v>
      </c>
      <c r="J63" t="n">
        <v>0</v>
      </c>
      <c r="K63" t="n">
        <v>0</v>
      </c>
      <c r="L63" t="n">
        <v>0</v>
      </c>
      <c r="M63" t="n">
        <v>0</v>
      </c>
      <c r="N63" t="n">
        <v>0</v>
      </c>
      <c r="O63" t="n">
        <v>0</v>
      </c>
      <c r="P63" t="n">
        <v>0</v>
      </c>
      <c r="Q63" t="n">
        <v>0</v>
      </c>
      <c r="R63" s="2" t="inlineStr"/>
    </row>
    <row r="64" ht="15" customHeight="1">
      <c r="A64" t="inlineStr">
        <is>
          <t>A 30944-2025</t>
        </is>
      </c>
      <c r="B64" s="1" t="n">
        <v>45832.41182870371</v>
      </c>
      <c r="C64" s="1" t="n">
        <v>45901</v>
      </c>
      <c r="D64" t="inlineStr">
        <is>
          <t>UPPSALA LÄN</t>
        </is>
      </c>
      <c r="E64" t="inlineStr">
        <is>
          <t>ÄLVKARLEBY</t>
        </is>
      </c>
      <c r="F64" t="inlineStr">
        <is>
          <t>Bergvik skog öst AB</t>
        </is>
      </c>
      <c r="G64" t="n">
        <v>3.4</v>
      </c>
      <c r="H64" t="n">
        <v>0</v>
      </c>
      <c r="I64" t="n">
        <v>0</v>
      </c>
      <c r="J64" t="n">
        <v>0</v>
      </c>
      <c r="K64" t="n">
        <v>0</v>
      </c>
      <c r="L64" t="n">
        <v>0</v>
      </c>
      <c r="M64" t="n">
        <v>0</v>
      </c>
      <c r="N64" t="n">
        <v>0</v>
      </c>
      <c r="O64" t="n">
        <v>0</v>
      </c>
      <c r="P64" t="n">
        <v>0</v>
      </c>
      <c r="Q64" t="n">
        <v>0</v>
      </c>
      <c r="R64" s="2" t="inlineStr"/>
    </row>
    <row r="65" ht="15" customHeight="1">
      <c r="A65" t="inlineStr">
        <is>
          <t>A 30936-2025</t>
        </is>
      </c>
      <c r="B65" s="1" t="n">
        <v>45832.40586805555</v>
      </c>
      <c r="C65" s="1" t="n">
        <v>45901</v>
      </c>
      <c r="D65" t="inlineStr">
        <is>
          <t>UPPSALA LÄN</t>
        </is>
      </c>
      <c r="E65" t="inlineStr">
        <is>
          <t>ÄLVKARLEBY</t>
        </is>
      </c>
      <c r="F65" t="inlineStr">
        <is>
          <t>Bergvik skog öst AB</t>
        </is>
      </c>
      <c r="G65" t="n">
        <v>7.2</v>
      </c>
      <c r="H65" t="n">
        <v>0</v>
      </c>
      <c r="I65" t="n">
        <v>0</v>
      </c>
      <c r="J65" t="n">
        <v>0</v>
      </c>
      <c r="K65" t="n">
        <v>0</v>
      </c>
      <c r="L65" t="n">
        <v>0</v>
      </c>
      <c r="M65" t="n">
        <v>0</v>
      </c>
      <c r="N65" t="n">
        <v>0</v>
      </c>
      <c r="O65" t="n">
        <v>0</v>
      </c>
      <c r="P65" t="n">
        <v>0</v>
      </c>
      <c r="Q65" t="n">
        <v>0</v>
      </c>
      <c r="R65" s="2" t="inlineStr"/>
    </row>
    <row r="66" ht="15" customHeight="1">
      <c r="A66" t="inlineStr">
        <is>
          <t>A 8030-2025</t>
        </is>
      </c>
      <c r="B66" s="1" t="n">
        <v>45707.59064814815</v>
      </c>
      <c r="C66" s="1" t="n">
        <v>45901</v>
      </c>
      <c r="D66" t="inlineStr">
        <is>
          <t>UPPSALA LÄN</t>
        </is>
      </c>
      <c r="E66" t="inlineStr">
        <is>
          <t>ÄLVKARLEBY</t>
        </is>
      </c>
      <c r="F66" t="inlineStr">
        <is>
          <t>Bergvik skog väst AB</t>
        </is>
      </c>
      <c r="G66" t="n">
        <v>3.6</v>
      </c>
      <c r="H66" t="n">
        <v>0</v>
      </c>
      <c r="I66" t="n">
        <v>0</v>
      </c>
      <c r="J66" t="n">
        <v>0</v>
      </c>
      <c r="K66" t="n">
        <v>0</v>
      </c>
      <c r="L66" t="n">
        <v>0</v>
      </c>
      <c r="M66" t="n">
        <v>0</v>
      </c>
      <c r="N66" t="n">
        <v>0</v>
      </c>
      <c r="O66" t="n">
        <v>0</v>
      </c>
      <c r="P66" t="n">
        <v>0</v>
      </c>
      <c r="Q66" t="n">
        <v>0</v>
      </c>
      <c r="R66" s="2" t="inlineStr"/>
    </row>
    <row r="67" ht="15" customHeight="1">
      <c r="A67" t="inlineStr">
        <is>
          <t>A 32221-2025</t>
        </is>
      </c>
      <c r="B67" s="1" t="n">
        <v>45835.5909837963</v>
      </c>
      <c r="C67" s="1" t="n">
        <v>45901</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32203-2025</t>
        </is>
      </c>
      <c r="B68" s="1" t="n">
        <v>45835.57951388889</v>
      </c>
      <c r="C68" s="1" t="n">
        <v>45901</v>
      </c>
      <c r="D68" t="inlineStr">
        <is>
          <t>UPPSALA LÄN</t>
        </is>
      </c>
      <c r="E68" t="inlineStr">
        <is>
          <t>ÄLVKARLEBY</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32186-2025</t>
        </is>
      </c>
      <c r="B69" s="1" t="n">
        <v>45835.5667824074</v>
      </c>
      <c r="C69" s="1" t="n">
        <v>45901</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32187-2025</t>
        </is>
      </c>
      <c r="B70" s="1" t="n">
        <v>45835.56949074074</v>
      </c>
      <c r="C70" s="1" t="n">
        <v>45901</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32212-2025</t>
        </is>
      </c>
      <c r="B71" s="1" t="n">
        <v>45835.58509259259</v>
      </c>
      <c r="C71" s="1" t="n">
        <v>45901</v>
      </c>
      <c r="D71" t="inlineStr">
        <is>
          <t>UPPSALA LÄN</t>
        </is>
      </c>
      <c r="E71" t="inlineStr">
        <is>
          <t>ÄLVKARLEBY</t>
        </is>
      </c>
      <c r="F71" t="inlineStr">
        <is>
          <t>Bergvik skog väst AB</t>
        </is>
      </c>
      <c r="G71" t="n">
        <v>1.5</v>
      </c>
      <c r="H71" t="n">
        <v>0</v>
      </c>
      <c r="I71" t="n">
        <v>0</v>
      </c>
      <c r="J71" t="n">
        <v>0</v>
      </c>
      <c r="K71" t="n">
        <v>0</v>
      </c>
      <c r="L71" t="n">
        <v>0</v>
      </c>
      <c r="M71" t="n">
        <v>0</v>
      </c>
      <c r="N71" t="n">
        <v>0</v>
      </c>
      <c r="O71" t="n">
        <v>0</v>
      </c>
      <c r="P71" t="n">
        <v>0</v>
      </c>
      <c r="Q71" t="n">
        <v>0</v>
      </c>
      <c r="R71" s="2" t="inlineStr"/>
    </row>
    <row r="72" ht="15" customHeight="1">
      <c r="A72" t="inlineStr">
        <is>
          <t>A 19703-2025</t>
        </is>
      </c>
      <c r="B72" s="1" t="n">
        <v>45771</v>
      </c>
      <c r="C72" s="1" t="n">
        <v>45901</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46113-2023</t>
        </is>
      </c>
      <c r="B73" s="1" t="n">
        <v>45196.54938657407</v>
      </c>
      <c r="C73" s="1" t="n">
        <v>45901</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50409-2020</t>
        </is>
      </c>
      <c r="B74" s="1" t="n">
        <v>44110</v>
      </c>
      <c r="C74" s="1" t="n">
        <v>45901</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967-2021</t>
        </is>
      </c>
      <c r="B75" s="1" t="n">
        <v>44207</v>
      </c>
      <c r="C75" s="1" t="n">
        <v>45901</v>
      </c>
      <c r="D75" t="inlineStr">
        <is>
          <t>UPPSALA LÄN</t>
        </is>
      </c>
      <c r="E75" t="inlineStr">
        <is>
          <t>ÄLVKARLEBY</t>
        </is>
      </c>
      <c r="G75" t="n">
        <v>0.7</v>
      </c>
      <c r="H75" t="n">
        <v>0</v>
      </c>
      <c r="I75" t="n">
        <v>0</v>
      </c>
      <c r="J75" t="n">
        <v>0</v>
      </c>
      <c r="K75" t="n">
        <v>0</v>
      </c>
      <c r="L75" t="n">
        <v>0</v>
      </c>
      <c r="M75" t="n">
        <v>0</v>
      </c>
      <c r="N75" t="n">
        <v>0</v>
      </c>
      <c r="O75" t="n">
        <v>0</v>
      </c>
      <c r="P75" t="n">
        <v>0</v>
      </c>
      <c r="Q75" t="n">
        <v>0</v>
      </c>
      <c r="R75" s="2" t="inlineStr"/>
    </row>
    <row r="76" ht="15" customHeight="1">
      <c r="A76" t="inlineStr">
        <is>
          <t>A 14004-2025</t>
        </is>
      </c>
      <c r="B76" s="1" t="n">
        <v>45740.2997337963</v>
      </c>
      <c r="C76" s="1" t="n">
        <v>45901</v>
      </c>
      <c r="D76" t="inlineStr">
        <is>
          <t>UPPSALA LÄN</t>
        </is>
      </c>
      <c r="E76" t="inlineStr">
        <is>
          <t>ÄLVKARLEBY</t>
        </is>
      </c>
      <c r="F76" t="inlineStr">
        <is>
          <t>Bergvik skog öst AB</t>
        </is>
      </c>
      <c r="G76" t="n">
        <v>10.1</v>
      </c>
      <c r="H76" t="n">
        <v>0</v>
      </c>
      <c r="I76" t="n">
        <v>0</v>
      </c>
      <c r="J76" t="n">
        <v>0</v>
      </c>
      <c r="K76" t="n">
        <v>0</v>
      </c>
      <c r="L76" t="n">
        <v>0</v>
      </c>
      <c r="M76" t="n">
        <v>0</v>
      </c>
      <c r="N76" t="n">
        <v>0</v>
      </c>
      <c r="O76" t="n">
        <v>0</v>
      </c>
      <c r="P76" t="n">
        <v>0</v>
      </c>
      <c r="Q76" t="n">
        <v>0</v>
      </c>
      <c r="R76" s="2" t="inlineStr"/>
    </row>
    <row r="77" ht="15" customHeight="1">
      <c r="A77" t="inlineStr">
        <is>
          <t>A 41979-2024</t>
        </is>
      </c>
      <c r="B77" s="1" t="n">
        <v>45561</v>
      </c>
      <c r="C77" s="1" t="n">
        <v>45901</v>
      </c>
      <c r="D77" t="inlineStr">
        <is>
          <t>UPPSALA LÄN</t>
        </is>
      </c>
      <c r="E77" t="inlineStr">
        <is>
          <t>ÄLVKARLEBY</t>
        </is>
      </c>
      <c r="F77" t="inlineStr">
        <is>
          <t>Bergvik skog väst AB</t>
        </is>
      </c>
      <c r="G77" t="n">
        <v>2.8</v>
      </c>
      <c r="H77" t="n">
        <v>0</v>
      </c>
      <c r="I77" t="n">
        <v>0</v>
      </c>
      <c r="J77" t="n">
        <v>0</v>
      </c>
      <c r="K77" t="n">
        <v>0</v>
      </c>
      <c r="L77" t="n">
        <v>0</v>
      </c>
      <c r="M77" t="n">
        <v>0</v>
      </c>
      <c r="N77" t="n">
        <v>0</v>
      </c>
      <c r="O77" t="n">
        <v>0</v>
      </c>
      <c r="P77" t="n">
        <v>0</v>
      </c>
      <c r="Q77" t="n">
        <v>0</v>
      </c>
      <c r="R77" s="2" t="inlineStr"/>
    </row>
    <row r="78" ht="15" customHeight="1">
      <c r="A78" t="inlineStr">
        <is>
          <t>A 8031-2025</t>
        </is>
      </c>
      <c r="B78" s="1" t="n">
        <v>45707.59112268518</v>
      </c>
      <c r="C78" s="1" t="n">
        <v>45901</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45901</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26815-2022</t>
        </is>
      </c>
      <c r="B80" s="1" t="n">
        <v>44740.44644675926</v>
      </c>
      <c r="C80" s="1" t="n">
        <v>45901</v>
      </c>
      <c r="D80" t="inlineStr">
        <is>
          <t>UPPSALA LÄN</t>
        </is>
      </c>
      <c r="E80" t="inlineStr">
        <is>
          <t>ÄLVKARLEBY</t>
        </is>
      </c>
      <c r="G80" t="n">
        <v>5.8</v>
      </c>
      <c r="H80" t="n">
        <v>0</v>
      </c>
      <c r="I80" t="n">
        <v>0</v>
      </c>
      <c r="J80" t="n">
        <v>0</v>
      </c>
      <c r="K80" t="n">
        <v>0</v>
      </c>
      <c r="L80" t="n">
        <v>0</v>
      </c>
      <c r="M80" t="n">
        <v>0</v>
      </c>
      <c r="N80" t="n">
        <v>0</v>
      </c>
      <c r="O80" t="n">
        <v>0</v>
      </c>
      <c r="P80" t="n">
        <v>0</v>
      </c>
      <c r="Q80" t="n">
        <v>0</v>
      </c>
      <c r="R80" s="2" t="inlineStr"/>
    </row>
    <row r="81" ht="15" customHeight="1">
      <c r="A81" t="inlineStr">
        <is>
          <t>A 39791-2021</t>
        </is>
      </c>
      <c r="B81" s="1" t="n">
        <v>44417</v>
      </c>
      <c r="C81" s="1" t="n">
        <v>45901</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19740-2025</t>
        </is>
      </c>
      <c r="B82" s="1" t="n">
        <v>45771</v>
      </c>
      <c r="C82" s="1" t="n">
        <v>45901</v>
      </c>
      <c r="D82" t="inlineStr">
        <is>
          <t>UPPSALA LÄN</t>
        </is>
      </c>
      <c r="E82" t="inlineStr">
        <is>
          <t>ÄLVKARLEBY</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41276-2023</t>
        </is>
      </c>
      <c r="B83" s="1" t="n">
        <v>45174</v>
      </c>
      <c r="C83" s="1" t="n">
        <v>45901</v>
      </c>
      <c r="D83" t="inlineStr">
        <is>
          <t>UPPSALA LÄN</t>
        </is>
      </c>
      <c r="E83" t="inlineStr">
        <is>
          <t>ÄLVKARLEBY</t>
        </is>
      </c>
      <c r="F83" t="inlineStr">
        <is>
          <t>Bergvik skog väst AB</t>
        </is>
      </c>
      <c r="G83" t="n">
        <v>0.3</v>
      </c>
      <c r="H83" t="n">
        <v>0</v>
      </c>
      <c r="I83" t="n">
        <v>0</v>
      </c>
      <c r="J83" t="n">
        <v>0</v>
      </c>
      <c r="K83" t="n">
        <v>0</v>
      </c>
      <c r="L83" t="n">
        <v>0</v>
      </c>
      <c r="M83" t="n">
        <v>0</v>
      </c>
      <c r="N83" t="n">
        <v>0</v>
      </c>
      <c r="O83" t="n">
        <v>0</v>
      </c>
      <c r="P83" t="n">
        <v>0</v>
      </c>
      <c r="Q83" t="n">
        <v>0</v>
      </c>
      <c r="R83" s="2" t="inlineStr"/>
    </row>
    <row r="84" ht="15" customHeight="1">
      <c r="A84" t="inlineStr">
        <is>
          <t>A 41929-2024</t>
        </is>
      </c>
      <c r="B84" s="1" t="n">
        <v>45561</v>
      </c>
      <c r="C84" s="1" t="n">
        <v>45901</v>
      </c>
      <c r="D84" t="inlineStr">
        <is>
          <t>UPPSALA LÄN</t>
        </is>
      </c>
      <c r="E84" t="inlineStr">
        <is>
          <t>ÄLVKARLEBY</t>
        </is>
      </c>
      <c r="F84" t="inlineStr">
        <is>
          <t>Bergvik skog väst AB</t>
        </is>
      </c>
      <c r="G84" t="n">
        <v>4.9</v>
      </c>
      <c r="H84" t="n">
        <v>0</v>
      </c>
      <c r="I84" t="n">
        <v>0</v>
      </c>
      <c r="J84" t="n">
        <v>0</v>
      </c>
      <c r="K84" t="n">
        <v>0</v>
      </c>
      <c r="L84" t="n">
        <v>0</v>
      </c>
      <c r="M84" t="n">
        <v>0</v>
      </c>
      <c r="N84" t="n">
        <v>0</v>
      </c>
      <c r="O84" t="n">
        <v>0</v>
      </c>
      <c r="P84" t="n">
        <v>0</v>
      </c>
      <c r="Q84" t="n">
        <v>0</v>
      </c>
      <c r="R84" s="2" t="inlineStr"/>
    </row>
    <row r="85" ht="15" customHeight="1">
      <c r="A85" t="inlineStr">
        <is>
          <t>A 19862-2025</t>
        </is>
      </c>
      <c r="B85" s="1" t="n">
        <v>45771.53560185185</v>
      </c>
      <c r="C85" s="1" t="n">
        <v>45901</v>
      </c>
      <c r="D85" t="inlineStr">
        <is>
          <t>UPPSALA LÄN</t>
        </is>
      </c>
      <c r="E85" t="inlineStr">
        <is>
          <t>ÄLVKARLEBY</t>
        </is>
      </c>
      <c r="F85" t="inlineStr">
        <is>
          <t>Kyrkan</t>
        </is>
      </c>
      <c r="G85" t="n">
        <v>3</v>
      </c>
      <c r="H85" t="n">
        <v>0</v>
      </c>
      <c r="I85" t="n">
        <v>0</v>
      </c>
      <c r="J85" t="n">
        <v>0</v>
      </c>
      <c r="K85" t="n">
        <v>0</v>
      </c>
      <c r="L85" t="n">
        <v>0</v>
      </c>
      <c r="M85" t="n">
        <v>0</v>
      </c>
      <c r="N85" t="n">
        <v>0</v>
      </c>
      <c r="O85" t="n">
        <v>0</v>
      </c>
      <c r="P85" t="n">
        <v>0</v>
      </c>
      <c r="Q85" t="n">
        <v>0</v>
      </c>
      <c r="R85" s="2" t="inlineStr"/>
    </row>
    <row r="86" ht="15" customHeight="1">
      <c r="A86" t="inlineStr">
        <is>
          <t>A 18451-2025</t>
        </is>
      </c>
      <c r="B86" s="1" t="n">
        <v>45762</v>
      </c>
      <c r="C86" s="1" t="n">
        <v>45901</v>
      </c>
      <c r="D86" t="inlineStr">
        <is>
          <t>UPPSALA LÄN</t>
        </is>
      </c>
      <c r="E86" t="inlineStr">
        <is>
          <t>ÄLVKARLEBY</t>
        </is>
      </c>
      <c r="F86" t="inlineStr">
        <is>
          <t>Bergvik skog väst AB</t>
        </is>
      </c>
      <c r="G86" t="n">
        <v>1.2</v>
      </c>
      <c r="H86" t="n">
        <v>0</v>
      </c>
      <c r="I86" t="n">
        <v>0</v>
      </c>
      <c r="J86" t="n">
        <v>0</v>
      </c>
      <c r="K86" t="n">
        <v>0</v>
      </c>
      <c r="L86" t="n">
        <v>0</v>
      </c>
      <c r="M86" t="n">
        <v>0</v>
      </c>
      <c r="N86" t="n">
        <v>0</v>
      </c>
      <c r="O86" t="n">
        <v>0</v>
      </c>
      <c r="P86" t="n">
        <v>0</v>
      </c>
      <c r="Q86" t="n">
        <v>0</v>
      </c>
      <c r="R86" s="2" t="inlineStr"/>
    </row>
    <row r="87">
      <c r="A87" t="inlineStr">
        <is>
          <t>A 14590-2023</t>
        </is>
      </c>
      <c r="B87" s="1" t="n">
        <v>45013.54621527778</v>
      </c>
      <c r="C87" s="1" t="n">
        <v>45901</v>
      </c>
      <c r="D87" t="inlineStr">
        <is>
          <t>UPPSALA LÄN</t>
        </is>
      </c>
      <c r="E87" t="inlineStr">
        <is>
          <t>ÄLVKARLEBY</t>
        </is>
      </c>
      <c r="G87" t="n">
        <v>1.8</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2025-09-01T08:35:00Z</dcterms:created>
  <dcterms:modified xmlns:dcterms="http://purl.org/dc/terms/" xmlns:xsi="http://www.w3.org/2001/XMLSchema-instance" xsi:type="dcterms:W3CDTF">2025-09-01T08:35:00Z</dcterms:modified>
</cp:coreProperties>
</file>