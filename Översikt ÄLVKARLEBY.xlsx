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46003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46003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46003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46003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46003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46003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46003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46003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46003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46003</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46003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46003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46003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46003</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46003</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46003</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46003</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19300-2024</t>
        </is>
      </c>
      <c r="B19" s="1" t="n">
        <v>45428.70128472222</v>
      </c>
      <c r="C19" s="1" t="n">
        <v>46003</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9521-2025</t>
        </is>
      </c>
      <c r="B20" s="1" t="n">
        <v>45715.56259259259</v>
      </c>
      <c r="C20" s="1" t="n">
        <v>46003</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21700-2024</t>
        </is>
      </c>
      <c r="B21" s="1" t="n">
        <v>45442</v>
      </c>
      <c r="C21" s="1" t="n">
        <v>46003</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46003</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39902-2025</t>
        </is>
      </c>
      <c r="B23" s="1" t="n">
        <v>45891.63597222222</v>
      </c>
      <c r="C23" s="1" t="n">
        <v>46003</v>
      </c>
      <c r="D23" t="inlineStr">
        <is>
          <t>UPPSALA LÄN</t>
        </is>
      </c>
      <c r="E23" t="inlineStr">
        <is>
          <t>ÄLVKARLEBY</t>
        </is>
      </c>
      <c r="F23" t="inlineStr">
        <is>
          <t>Bergvik skog väst AB</t>
        </is>
      </c>
      <c r="G23" t="n">
        <v>11.2</v>
      </c>
      <c r="H23" t="n">
        <v>0</v>
      </c>
      <c r="I23" t="n">
        <v>1</v>
      </c>
      <c r="J23" t="n">
        <v>0</v>
      </c>
      <c r="K23" t="n">
        <v>0</v>
      </c>
      <c r="L23" t="n">
        <v>0</v>
      </c>
      <c r="M23" t="n">
        <v>0</v>
      </c>
      <c r="N23" t="n">
        <v>0</v>
      </c>
      <c r="O23" t="n">
        <v>0</v>
      </c>
      <c r="P23" t="n">
        <v>0</v>
      </c>
      <c r="Q23" t="n">
        <v>1</v>
      </c>
      <c r="R23" s="2" t="inlineStr">
        <is>
          <t>Anisspindling</t>
        </is>
      </c>
      <c r="S23">
        <f>HYPERLINK("https://klasma.github.io/Logging_0319/artfynd/A 39902-2025 artfynd.xlsx", "A 39902-2025")</f>
        <v/>
      </c>
      <c r="T23">
        <f>HYPERLINK("https://klasma.github.io/Logging_0319/kartor/A 39902-2025 karta.png", "A 39902-2025")</f>
        <v/>
      </c>
      <c r="V23">
        <f>HYPERLINK("https://klasma.github.io/Logging_0319/klagomål/A 39902-2025 FSC-klagomål.docx", "A 39902-2025")</f>
        <v/>
      </c>
      <c r="W23">
        <f>HYPERLINK("https://klasma.github.io/Logging_0319/klagomålsmail/A 39902-2025 FSC-klagomål mail.docx", "A 39902-2025")</f>
        <v/>
      </c>
      <c r="X23">
        <f>HYPERLINK("https://klasma.github.io/Logging_0319/tillsyn/A 39902-2025 tillsynsbegäran.docx", "A 39902-2025")</f>
        <v/>
      </c>
      <c r="Y23">
        <f>HYPERLINK("https://klasma.github.io/Logging_0319/tillsynsmail/A 39902-2025 tillsynsbegäran mail.docx", "A 39902-2025")</f>
        <v/>
      </c>
    </row>
    <row r="24" ht="15" customHeight="1">
      <c r="A24" t="inlineStr">
        <is>
          <t>A 47207-2025</t>
        </is>
      </c>
      <c r="B24" s="1" t="n">
        <v>45930.37263888889</v>
      </c>
      <c r="C24" s="1" t="n">
        <v>46003</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59993-2025</t>
        </is>
      </c>
      <c r="B25" s="1" t="n">
        <v>45993.56505787037</v>
      </c>
      <c r="C25" s="1" t="n">
        <v>46003</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36217-2022</t>
        </is>
      </c>
      <c r="B26" s="1" t="n">
        <v>44803</v>
      </c>
      <c r="C26" s="1" t="n">
        <v>46003</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36282-2022</t>
        </is>
      </c>
      <c r="B27" s="1" t="n">
        <v>44803</v>
      </c>
      <c r="C27" s="1" t="n">
        <v>46003</v>
      </c>
      <c r="D27" t="inlineStr">
        <is>
          <t>UPPSALA LÄN</t>
        </is>
      </c>
      <c r="E27" t="inlineStr">
        <is>
          <t>ÄLVKARLEBY</t>
        </is>
      </c>
      <c r="G27" t="n">
        <v>0.1</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46003</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19304-2024</t>
        </is>
      </c>
      <c r="B29" s="1" t="n">
        <v>45428</v>
      </c>
      <c r="C29" s="1" t="n">
        <v>46003</v>
      </c>
      <c r="D29" t="inlineStr">
        <is>
          <t>UPPSALA LÄN</t>
        </is>
      </c>
      <c r="E29" t="inlineStr">
        <is>
          <t>ÄLVKARLEBY</t>
        </is>
      </c>
      <c r="G29" t="n">
        <v>0.2</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46003</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14590-2023</t>
        </is>
      </c>
      <c r="B31" s="1" t="n">
        <v>45013.54621527778</v>
      </c>
      <c r="C31" s="1" t="n">
        <v>46003</v>
      </c>
      <c r="D31" t="inlineStr">
        <is>
          <t>UPPSALA LÄN</t>
        </is>
      </c>
      <c r="E31" t="inlineStr">
        <is>
          <t>ÄLVKARLEBY</t>
        </is>
      </c>
      <c r="G31" t="n">
        <v>1.8</v>
      </c>
      <c r="H31" t="n">
        <v>0</v>
      </c>
      <c r="I31" t="n">
        <v>0</v>
      </c>
      <c r="J31" t="n">
        <v>0</v>
      </c>
      <c r="K31" t="n">
        <v>0</v>
      </c>
      <c r="L31" t="n">
        <v>0</v>
      </c>
      <c r="M31" t="n">
        <v>0</v>
      </c>
      <c r="N31" t="n">
        <v>0</v>
      </c>
      <c r="O31" t="n">
        <v>0</v>
      </c>
      <c r="P31" t="n">
        <v>0</v>
      </c>
      <c r="Q31" t="n">
        <v>0</v>
      </c>
      <c r="R31" s="2" t="inlineStr"/>
    </row>
    <row r="32" ht="15" customHeight="1">
      <c r="A32" t="inlineStr">
        <is>
          <t>A 11553-2021</t>
        </is>
      </c>
      <c r="B32" s="1" t="n">
        <v>44264.48725694444</v>
      </c>
      <c r="C32" s="1" t="n">
        <v>46003</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43285-2023</t>
        </is>
      </c>
      <c r="B33" s="1" t="n">
        <v>45183.5630787037</v>
      </c>
      <c r="C33" s="1" t="n">
        <v>46003</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3950-2025</t>
        </is>
      </c>
      <c r="B34" s="1" t="n">
        <v>45684</v>
      </c>
      <c r="C34" s="1" t="n">
        <v>46003</v>
      </c>
      <c r="D34" t="inlineStr">
        <is>
          <t>UPPSALA LÄN</t>
        </is>
      </c>
      <c r="E34" t="inlineStr">
        <is>
          <t>ÄLVKARLEBY</t>
        </is>
      </c>
      <c r="G34" t="n">
        <v>3.1</v>
      </c>
      <c r="H34" t="n">
        <v>0</v>
      </c>
      <c r="I34" t="n">
        <v>0</v>
      </c>
      <c r="J34" t="n">
        <v>0</v>
      </c>
      <c r="K34" t="n">
        <v>0</v>
      </c>
      <c r="L34" t="n">
        <v>0</v>
      </c>
      <c r="M34" t="n">
        <v>0</v>
      </c>
      <c r="N34" t="n">
        <v>0</v>
      </c>
      <c r="O34" t="n">
        <v>0</v>
      </c>
      <c r="P34" t="n">
        <v>0</v>
      </c>
      <c r="Q34" t="n">
        <v>0</v>
      </c>
      <c r="R34" s="2" t="inlineStr"/>
    </row>
    <row r="35" ht="15" customHeight="1">
      <c r="A35" t="inlineStr">
        <is>
          <t>A 2184-2024</t>
        </is>
      </c>
      <c r="B35" s="1" t="n">
        <v>45309</v>
      </c>
      <c r="C35" s="1" t="n">
        <v>46003</v>
      </c>
      <c r="D35" t="inlineStr">
        <is>
          <t>UPPSALA LÄN</t>
        </is>
      </c>
      <c r="E35" t="inlineStr">
        <is>
          <t>ÄLVKARLEBY</t>
        </is>
      </c>
      <c r="G35" t="n">
        <v>0.6</v>
      </c>
      <c r="H35" t="n">
        <v>0</v>
      </c>
      <c r="I35" t="n">
        <v>0</v>
      </c>
      <c r="J35" t="n">
        <v>0</v>
      </c>
      <c r="K35" t="n">
        <v>0</v>
      </c>
      <c r="L35" t="n">
        <v>0</v>
      </c>
      <c r="M35" t="n">
        <v>0</v>
      </c>
      <c r="N35" t="n">
        <v>0</v>
      </c>
      <c r="O35" t="n">
        <v>0</v>
      </c>
      <c r="P35" t="n">
        <v>0</v>
      </c>
      <c r="Q35" t="n">
        <v>0</v>
      </c>
      <c r="R35" s="2" t="inlineStr"/>
    </row>
    <row r="36" ht="15" customHeight="1">
      <c r="A36" t="inlineStr">
        <is>
          <t>A 19303-2024</t>
        </is>
      </c>
      <c r="B36" s="1" t="n">
        <v>45428.70386574074</v>
      </c>
      <c r="C36" s="1" t="n">
        <v>46003</v>
      </c>
      <c r="D36" t="inlineStr">
        <is>
          <t>UPPSALA LÄN</t>
        </is>
      </c>
      <c r="E36" t="inlineStr">
        <is>
          <t>ÄLVKARLEBY</t>
        </is>
      </c>
      <c r="G36" t="n">
        <v>0.4</v>
      </c>
      <c r="H36" t="n">
        <v>0</v>
      </c>
      <c r="I36" t="n">
        <v>0</v>
      </c>
      <c r="J36" t="n">
        <v>0</v>
      </c>
      <c r="K36" t="n">
        <v>0</v>
      </c>
      <c r="L36" t="n">
        <v>0</v>
      </c>
      <c r="M36" t="n">
        <v>0</v>
      </c>
      <c r="N36" t="n">
        <v>0</v>
      </c>
      <c r="O36" t="n">
        <v>0</v>
      </c>
      <c r="P36" t="n">
        <v>0</v>
      </c>
      <c r="Q36" t="n">
        <v>0</v>
      </c>
      <c r="R36" s="2" t="inlineStr"/>
    </row>
    <row r="37" ht="15" customHeight="1">
      <c r="A37" t="inlineStr">
        <is>
          <t>A 8030-2025</t>
        </is>
      </c>
      <c r="B37" s="1" t="n">
        <v>45707.59064814815</v>
      </c>
      <c r="C37" s="1" t="n">
        <v>46003</v>
      </c>
      <c r="D37" t="inlineStr">
        <is>
          <t>UPPSALA LÄN</t>
        </is>
      </c>
      <c r="E37" t="inlineStr">
        <is>
          <t>ÄLVKARLEBY</t>
        </is>
      </c>
      <c r="F37" t="inlineStr">
        <is>
          <t>Bergvik skog väst AB</t>
        </is>
      </c>
      <c r="G37" t="n">
        <v>3.6</v>
      </c>
      <c r="H37" t="n">
        <v>0</v>
      </c>
      <c r="I37" t="n">
        <v>0</v>
      </c>
      <c r="J37" t="n">
        <v>0</v>
      </c>
      <c r="K37" t="n">
        <v>0</v>
      </c>
      <c r="L37" t="n">
        <v>0</v>
      </c>
      <c r="M37" t="n">
        <v>0</v>
      </c>
      <c r="N37" t="n">
        <v>0</v>
      </c>
      <c r="O37" t="n">
        <v>0</v>
      </c>
      <c r="P37" t="n">
        <v>0</v>
      </c>
      <c r="Q37" t="n">
        <v>0</v>
      </c>
      <c r="R37" s="2" t="inlineStr"/>
    </row>
    <row r="38" ht="15" customHeight="1">
      <c r="A38" t="inlineStr">
        <is>
          <t>A 967-2021</t>
        </is>
      </c>
      <c r="B38" s="1" t="n">
        <v>44207</v>
      </c>
      <c r="C38" s="1" t="n">
        <v>46003</v>
      </c>
      <c r="D38" t="inlineStr">
        <is>
          <t>UPPSALA LÄN</t>
        </is>
      </c>
      <c r="E38" t="inlineStr">
        <is>
          <t>ÄLVKARLEBY</t>
        </is>
      </c>
      <c r="G38" t="n">
        <v>0.7</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46003</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8031-2025</t>
        </is>
      </c>
      <c r="B40" s="1" t="n">
        <v>45707.59112268518</v>
      </c>
      <c r="C40" s="1" t="n">
        <v>46003</v>
      </c>
      <c r="D40" t="inlineStr">
        <is>
          <t>UPPSALA LÄN</t>
        </is>
      </c>
      <c r="E40" t="inlineStr">
        <is>
          <t>ÄLVKARLEBY</t>
        </is>
      </c>
      <c r="F40" t="inlineStr">
        <is>
          <t>Bergvik skog väst AB</t>
        </is>
      </c>
      <c r="G40" t="n">
        <v>4</v>
      </c>
      <c r="H40" t="n">
        <v>0</v>
      </c>
      <c r="I40" t="n">
        <v>0</v>
      </c>
      <c r="J40" t="n">
        <v>0</v>
      </c>
      <c r="K40" t="n">
        <v>0</v>
      </c>
      <c r="L40" t="n">
        <v>0</v>
      </c>
      <c r="M40" t="n">
        <v>0</v>
      </c>
      <c r="N40" t="n">
        <v>0</v>
      </c>
      <c r="O40" t="n">
        <v>0</v>
      </c>
      <c r="P40" t="n">
        <v>0</v>
      </c>
      <c r="Q40" t="n">
        <v>0</v>
      </c>
      <c r="R40" s="2" t="inlineStr"/>
    </row>
    <row r="41" ht="15" customHeight="1">
      <c r="A41" t="inlineStr">
        <is>
          <t>A 7286-2023</t>
        </is>
      </c>
      <c r="B41" s="1" t="n">
        <v>44970</v>
      </c>
      <c r="C41" s="1" t="n">
        <v>46003</v>
      </c>
      <c r="D41" t="inlineStr">
        <is>
          <t>UPPSALA LÄN</t>
        </is>
      </c>
      <c r="E41" t="inlineStr">
        <is>
          <t>ÄLVKARLEBY</t>
        </is>
      </c>
      <c r="F41" t="inlineStr">
        <is>
          <t>Bergvik skog väst AB</t>
        </is>
      </c>
      <c r="G41" t="n">
        <v>2.5</v>
      </c>
      <c r="H41" t="n">
        <v>0</v>
      </c>
      <c r="I41" t="n">
        <v>0</v>
      </c>
      <c r="J41" t="n">
        <v>0</v>
      </c>
      <c r="K41" t="n">
        <v>0</v>
      </c>
      <c r="L41" t="n">
        <v>0</v>
      </c>
      <c r="M41" t="n">
        <v>0</v>
      </c>
      <c r="N41" t="n">
        <v>0</v>
      </c>
      <c r="O41" t="n">
        <v>0</v>
      </c>
      <c r="P41" t="n">
        <v>0</v>
      </c>
      <c r="Q41" t="n">
        <v>0</v>
      </c>
      <c r="R41" s="2" t="inlineStr"/>
    </row>
    <row r="42" ht="15" customHeight="1">
      <c r="A42" t="inlineStr">
        <is>
          <t>A 26815-2022</t>
        </is>
      </c>
      <c r="B42" s="1" t="n">
        <v>44740.44644675926</v>
      </c>
      <c r="C42" s="1" t="n">
        <v>46003</v>
      </c>
      <c r="D42" t="inlineStr">
        <is>
          <t>UPPSALA LÄN</t>
        </is>
      </c>
      <c r="E42" t="inlineStr">
        <is>
          <t>ÄLVKARLEBY</t>
        </is>
      </c>
      <c r="G42" t="n">
        <v>5.8</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46003</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46003</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46113-2023</t>
        </is>
      </c>
      <c r="B45" s="1" t="n">
        <v>45196.54938657407</v>
      </c>
      <c r="C45" s="1" t="n">
        <v>46003</v>
      </c>
      <c r="D45" t="inlineStr">
        <is>
          <t>UPPSALA LÄN</t>
        </is>
      </c>
      <c r="E45" t="inlineStr">
        <is>
          <t>ÄLVKARLEBY</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19740-2025</t>
        </is>
      </c>
      <c r="B46" s="1" t="n">
        <v>45771</v>
      </c>
      <c r="C46" s="1" t="n">
        <v>46003</v>
      </c>
      <c r="D46" t="inlineStr">
        <is>
          <t>UPPSALA LÄN</t>
        </is>
      </c>
      <c r="E46" t="inlineStr">
        <is>
          <t>ÄLVKARLEBY</t>
        </is>
      </c>
      <c r="F46" t="inlineStr">
        <is>
          <t>Bergvik skog väst AB</t>
        </is>
      </c>
      <c r="G46" t="n">
        <v>0.7</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46003</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16990-2022</t>
        </is>
      </c>
      <c r="B48" s="1" t="n">
        <v>44676.6122337963</v>
      </c>
      <c r="C48" s="1" t="n">
        <v>46003</v>
      </c>
      <c r="D48" t="inlineStr">
        <is>
          <t>UPPSALA LÄN</t>
        </is>
      </c>
      <c r="E48" t="inlineStr">
        <is>
          <t>ÄLVKARLEBY</t>
        </is>
      </c>
      <c r="F48" t="inlineStr">
        <is>
          <t>Bergvik skog väst AB</t>
        </is>
      </c>
      <c r="G48" t="n">
        <v>2.6</v>
      </c>
      <c r="H48" t="n">
        <v>0</v>
      </c>
      <c r="I48" t="n">
        <v>0</v>
      </c>
      <c r="J48" t="n">
        <v>0</v>
      </c>
      <c r="K48" t="n">
        <v>0</v>
      </c>
      <c r="L48" t="n">
        <v>0</v>
      </c>
      <c r="M48" t="n">
        <v>0</v>
      </c>
      <c r="N48" t="n">
        <v>0</v>
      </c>
      <c r="O48" t="n">
        <v>0</v>
      </c>
      <c r="P48" t="n">
        <v>0</v>
      </c>
      <c r="Q48" t="n">
        <v>0</v>
      </c>
      <c r="R48" s="2" t="inlineStr"/>
    </row>
    <row r="49" ht="15" customHeight="1">
      <c r="A49" t="inlineStr">
        <is>
          <t>A 41979-2024</t>
        </is>
      </c>
      <c r="B49" s="1" t="n">
        <v>45561</v>
      </c>
      <c r="C49" s="1" t="n">
        <v>46003</v>
      </c>
      <c r="D49" t="inlineStr">
        <is>
          <t>UPPSALA LÄN</t>
        </is>
      </c>
      <c r="E49" t="inlineStr">
        <is>
          <t>ÄLVKARLEBY</t>
        </is>
      </c>
      <c r="F49" t="inlineStr">
        <is>
          <t>Bergvik skog väst AB</t>
        </is>
      </c>
      <c r="G49" t="n">
        <v>2.8</v>
      </c>
      <c r="H49" t="n">
        <v>0</v>
      </c>
      <c r="I49" t="n">
        <v>0</v>
      </c>
      <c r="J49" t="n">
        <v>0</v>
      </c>
      <c r="K49" t="n">
        <v>0</v>
      </c>
      <c r="L49" t="n">
        <v>0</v>
      </c>
      <c r="M49" t="n">
        <v>0</v>
      </c>
      <c r="N49" t="n">
        <v>0</v>
      </c>
      <c r="O49" t="n">
        <v>0</v>
      </c>
      <c r="P49" t="n">
        <v>0</v>
      </c>
      <c r="Q49" t="n">
        <v>0</v>
      </c>
      <c r="R49" s="2" t="inlineStr"/>
    </row>
    <row r="50" ht="15" customHeight="1">
      <c r="A50" t="inlineStr">
        <is>
          <t>A 19862-2025</t>
        </is>
      </c>
      <c r="B50" s="1" t="n">
        <v>45771.53560185185</v>
      </c>
      <c r="C50" s="1" t="n">
        <v>46003</v>
      </c>
      <c r="D50" t="inlineStr">
        <is>
          <t>UPPSALA LÄN</t>
        </is>
      </c>
      <c r="E50" t="inlineStr">
        <is>
          <t>ÄLVKARLEBY</t>
        </is>
      </c>
      <c r="F50" t="inlineStr">
        <is>
          <t>Kyrkan</t>
        </is>
      </c>
      <c r="G50" t="n">
        <v>3</v>
      </c>
      <c r="H50" t="n">
        <v>0</v>
      </c>
      <c r="I50" t="n">
        <v>0</v>
      </c>
      <c r="J50" t="n">
        <v>0</v>
      </c>
      <c r="K50" t="n">
        <v>0</v>
      </c>
      <c r="L50" t="n">
        <v>0</v>
      </c>
      <c r="M50" t="n">
        <v>0</v>
      </c>
      <c r="N50" t="n">
        <v>0</v>
      </c>
      <c r="O50" t="n">
        <v>0</v>
      </c>
      <c r="P50" t="n">
        <v>0</v>
      </c>
      <c r="Q50" t="n">
        <v>0</v>
      </c>
      <c r="R50" s="2" t="inlineStr"/>
    </row>
    <row r="51" ht="15" customHeight="1">
      <c r="A51" t="inlineStr">
        <is>
          <t>A 39791-2021</t>
        </is>
      </c>
      <c r="B51" s="1" t="n">
        <v>44417</v>
      </c>
      <c r="C51" s="1" t="n">
        <v>46003</v>
      </c>
      <c r="D51" t="inlineStr">
        <is>
          <t>UPPSALA LÄN</t>
        </is>
      </c>
      <c r="E51" t="inlineStr">
        <is>
          <t>ÄLVKARLEBY</t>
        </is>
      </c>
      <c r="G51" t="n">
        <v>1.8</v>
      </c>
      <c r="H51" t="n">
        <v>0</v>
      </c>
      <c r="I51" t="n">
        <v>0</v>
      </c>
      <c r="J51" t="n">
        <v>0</v>
      </c>
      <c r="K51" t="n">
        <v>0</v>
      </c>
      <c r="L51" t="n">
        <v>0</v>
      </c>
      <c r="M51" t="n">
        <v>0</v>
      </c>
      <c r="N51" t="n">
        <v>0</v>
      </c>
      <c r="O51" t="n">
        <v>0</v>
      </c>
      <c r="P51" t="n">
        <v>0</v>
      </c>
      <c r="Q51" t="n">
        <v>0</v>
      </c>
      <c r="R51" s="2" t="inlineStr"/>
    </row>
    <row r="52" ht="15" customHeight="1">
      <c r="A52" t="inlineStr">
        <is>
          <t>A 22223-2025</t>
        </is>
      </c>
      <c r="B52" s="1" t="n">
        <v>45785</v>
      </c>
      <c r="C52" s="1" t="n">
        <v>46003</v>
      </c>
      <c r="D52" t="inlineStr">
        <is>
          <t>UPPSALA LÄN</t>
        </is>
      </c>
      <c r="E52" t="inlineStr">
        <is>
          <t>ÄLVKARLEBY</t>
        </is>
      </c>
      <c r="F52" t="inlineStr">
        <is>
          <t>Bergvik skog väst AB</t>
        </is>
      </c>
      <c r="G52" t="n">
        <v>1.3</v>
      </c>
      <c r="H52" t="n">
        <v>0</v>
      </c>
      <c r="I52" t="n">
        <v>0</v>
      </c>
      <c r="J52" t="n">
        <v>0</v>
      </c>
      <c r="K52" t="n">
        <v>0</v>
      </c>
      <c r="L52" t="n">
        <v>0</v>
      </c>
      <c r="M52" t="n">
        <v>0</v>
      </c>
      <c r="N52" t="n">
        <v>0</v>
      </c>
      <c r="O52" t="n">
        <v>0</v>
      </c>
      <c r="P52" t="n">
        <v>0</v>
      </c>
      <c r="Q52" t="n">
        <v>0</v>
      </c>
      <c r="R52" s="2" t="inlineStr"/>
    </row>
    <row r="53" ht="15" customHeight="1">
      <c r="A53" t="inlineStr">
        <is>
          <t>A 41276-2023</t>
        </is>
      </c>
      <c r="B53" s="1" t="n">
        <v>45174</v>
      </c>
      <c r="C53" s="1" t="n">
        <v>46003</v>
      </c>
      <c r="D53" t="inlineStr">
        <is>
          <t>UPPSALA LÄN</t>
        </is>
      </c>
      <c r="E53" t="inlineStr">
        <is>
          <t>ÄLVKARLEBY</t>
        </is>
      </c>
      <c r="F53" t="inlineStr">
        <is>
          <t>Bergvik skog väst AB</t>
        </is>
      </c>
      <c r="G53" t="n">
        <v>0.3</v>
      </c>
      <c r="H53" t="n">
        <v>0</v>
      </c>
      <c r="I53" t="n">
        <v>0</v>
      </c>
      <c r="J53" t="n">
        <v>0</v>
      </c>
      <c r="K53" t="n">
        <v>0</v>
      </c>
      <c r="L53" t="n">
        <v>0</v>
      </c>
      <c r="M53" t="n">
        <v>0</v>
      </c>
      <c r="N53" t="n">
        <v>0</v>
      </c>
      <c r="O53" t="n">
        <v>0</v>
      </c>
      <c r="P53" t="n">
        <v>0</v>
      </c>
      <c r="Q53" t="n">
        <v>0</v>
      </c>
      <c r="R53" s="2" t="inlineStr"/>
    </row>
    <row r="54" ht="15" customHeight="1">
      <c r="A54" t="inlineStr">
        <is>
          <t>A 41929-2024</t>
        </is>
      </c>
      <c r="B54" s="1" t="n">
        <v>45561</v>
      </c>
      <c r="C54" s="1" t="n">
        <v>46003</v>
      </c>
      <c r="D54" t="inlineStr">
        <is>
          <t>UPPSALA LÄN</t>
        </is>
      </c>
      <c r="E54" t="inlineStr">
        <is>
          <t>ÄLVKARLEBY</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41615-2025</t>
        </is>
      </c>
      <c r="B55" s="1" t="n">
        <v>45901.69556712963</v>
      </c>
      <c r="C55" s="1" t="n">
        <v>46003</v>
      </c>
      <c r="D55" t="inlineStr">
        <is>
          <t>UPPSALA LÄN</t>
        </is>
      </c>
      <c r="E55" t="inlineStr">
        <is>
          <t>ÄLVKARLEBY</t>
        </is>
      </c>
      <c r="F55" t="inlineStr">
        <is>
          <t>Bergvik skog väst AB</t>
        </is>
      </c>
      <c r="G55" t="n">
        <v>3</v>
      </c>
      <c r="H55" t="n">
        <v>0</v>
      </c>
      <c r="I55" t="n">
        <v>0</v>
      </c>
      <c r="J55" t="n">
        <v>0</v>
      </c>
      <c r="K55" t="n">
        <v>0</v>
      </c>
      <c r="L55" t="n">
        <v>0</v>
      </c>
      <c r="M55" t="n">
        <v>0</v>
      </c>
      <c r="N55" t="n">
        <v>0</v>
      </c>
      <c r="O55" t="n">
        <v>0</v>
      </c>
      <c r="P55" t="n">
        <v>0</v>
      </c>
      <c r="Q55" t="n">
        <v>0</v>
      </c>
      <c r="R55" s="2" t="inlineStr"/>
    </row>
    <row r="56" ht="15" customHeight="1">
      <c r="A56" t="inlineStr">
        <is>
          <t>A 18451-2025</t>
        </is>
      </c>
      <c r="B56" s="1" t="n">
        <v>45762</v>
      </c>
      <c r="C56" s="1" t="n">
        <v>46003</v>
      </c>
      <c r="D56" t="inlineStr">
        <is>
          <t>UPPSALA LÄN</t>
        </is>
      </c>
      <c r="E56" t="inlineStr">
        <is>
          <t>ÄLVKARLEBY</t>
        </is>
      </c>
      <c r="F56" t="inlineStr">
        <is>
          <t>Bergvik skog väst AB</t>
        </is>
      </c>
      <c r="G56" t="n">
        <v>1.2</v>
      </c>
      <c r="H56" t="n">
        <v>0</v>
      </c>
      <c r="I56" t="n">
        <v>0</v>
      </c>
      <c r="J56" t="n">
        <v>0</v>
      </c>
      <c r="K56" t="n">
        <v>0</v>
      </c>
      <c r="L56" t="n">
        <v>0</v>
      </c>
      <c r="M56" t="n">
        <v>0</v>
      </c>
      <c r="N56" t="n">
        <v>0</v>
      </c>
      <c r="O56" t="n">
        <v>0</v>
      </c>
      <c r="P56" t="n">
        <v>0</v>
      </c>
      <c r="Q56" t="n">
        <v>0</v>
      </c>
      <c r="R56" s="2" t="inlineStr"/>
    </row>
    <row r="57" ht="15" customHeight="1">
      <c r="A57" t="inlineStr">
        <is>
          <t>A 26664-2025</t>
        </is>
      </c>
      <c r="B57" s="1" t="n">
        <v>45810</v>
      </c>
      <c r="C57" s="1" t="n">
        <v>46003</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14004-2025</t>
        </is>
      </c>
      <c r="B58" s="1" t="n">
        <v>45740.2997337963</v>
      </c>
      <c r="C58" s="1" t="n">
        <v>46003</v>
      </c>
      <c r="D58" t="inlineStr">
        <is>
          <t>UPPSALA LÄN</t>
        </is>
      </c>
      <c r="E58" t="inlineStr">
        <is>
          <t>ÄLVKARLEBY</t>
        </is>
      </c>
      <c r="F58" t="inlineStr">
        <is>
          <t>Bergvik skog öst AB</t>
        </is>
      </c>
      <c r="G58" t="n">
        <v>10.1</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46003</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41272-2023</t>
        </is>
      </c>
      <c r="B60" s="1" t="n">
        <v>45174</v>
      </c>
      <c r="C60" s="1" t="n">
        <v>46003</v>
      </c>
      <c r="D60" t="inlineStr">
        <is>
          <t>UPPSALA LÄN</t>
        </is>
      </c>
      <c r="E60" t="inlineStr">
        <is>
          <t>ÄLVKARLEBY</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2183-2024</t>
        </is>
      </c>
      <c r="B61" s="1" t="n">
        <v>45309</v>
      </c>
      <c r="C61" s="1" t="n">
        <v>46003</v>
      </c>
      <c r="D61" t="inlineStr">
        <is>
          <t>UPPSALA LÄN</t>
        </is>
      </c>
      <c r="E61" t="inlineStr">
        <is>
          <t>ÄLVKARLEBY</t>
        </is>
      </c>
      <c r="G61" t="n">
        <v>0.5</v>
      </c>
      <c r="H61" t="n">
        <v>0</v>
      </c>
      <c r="I61" t="n">
        <v>0</v>
      </c>
      <c r="J61" t="n">
        <v>0</v>
      </c>
      <c r="K61" t="n">
        <v>0</v>
      </c>
      <c r="L61" t="n">
        <v>0</v>
      </c>
      <c r="M61" t="n">
        <v>0</v>
      </c>
      <c r="N61" t="n">
        <v>0</v>
      </c>
      <c r="O61" t="n">
        <v>0</v>
      </c>
      <c r="P61" t="n">
        <v>0</v>
      </c>
      <c r="Q61" t="n">
        <v>0</v>
      </c>
      <c r="R61" s="2" t="inlineStr"/>
    </row>
    <row r="62" ht="15" customHeight="1">
      <c r="A62" t="inlineStr">
        <is>
          <t>A 43662-2025</t>
        </is>
      </c>
      <c r="B62" s="1" t="n">
        <v>45912.34446759259</v>
      </c>
      <c r="C62" s="1" t="n">
        <v>46003</v>
      </c>
      <c r="D62" t="inlineStr">
        <is>
          <t>UPPSALA LÄN</t>
        </is>
      </c>
      <c r="E62" t="inlineStr">
        <is>
          <t>ÄLVKARLEBY</t>
        </is>
      </c>
      <c r="F62" t="inlineStr">
        <is>
          <t>Kyrkan</t>
        </is>
      </c>
      <c r="G62" t="n">
        <v>4.5</v>
      </c>
      <c r="H62" t="n">
        <v>0</v>
      </c>
      <c r="I62" t="n">
        <v>0</v>
      </c>
      <c r="J62" t="n">
        <v>0</v>
      </c>
      <c r="K62" t="n">
        <v>0</v>
      </c>
      <c r="L62" t="n">
        <v>0</v>
      </c>
      <c r="M62" t="n">
        <v>0</v>
      </c>
      <c r="N62" t="n">
        <v>0</v>
      </c>
      <c r="O62" t="n">
        <v>0</v>
      </c>
      <c r="P62" t="n">
        <v>0</v>
      </c>
      <c r="Q62" t="n">
        <v>0</v>
      </c>
      <c r="R62" s="2" t="inlineStr"/>
    </row>
    <row r="63" ht="15" customHeight="1">
      <c r="A63" t="inlineStr">
        <is>
          <t>A 43577-2025</t>
        </is>
      </c>
      <c r="B63" s="1" t="n">
        <v>45911.64219907407</v>
      </c>
      <c r="C63" s="1" t="n">
        <v>46003</v>
      </c>
      <c r="D63" t="inlineStr">
        <is>
          <t>UPPSALA LÄN</t>
        </is>
      </c>
      <c r="E63" t="inlineStr">
        <is>
          <t>ÄLVKARLEBY</t>
        </is>
      </c>
      <c r="F63" t="inlineStr">
        <is>
          <t>Bergvik skog väst AB</t>
        </is>
      </c>
      <c r="G63" t="n">
        <v>3</v>
      </c>
      <c r="H63" t="n">
        <v>0</v>
      </c>
      <c r="I63" t="n">
        <v>0</v>
      </c>
      <c r="J63" t="n">
        <v>0</v>
      </c>
      <c r="K63" t="n">
        <v>0</v>
      </c>
      <c r="L63" t="n">
        <v>0</v>
      </c>
      <c r="M63" t="n">
        <v>0</v>
      </c>
      <c r="N63" t="n">
        <v>0</v>
      </c>
      <c r="O63" t="n">
        <v>0</v>
      </c>
      <c r="P63" t="n">
        <v>0</v>
      </c>
      <c r="Q63" t="n">
        <v>0</v>
      </c>
      <c r="R63" s="2" t="inlineStr"/>
    </row>
    <row r="64" ht="15" customHeight="1">
      <c r="A64" t="inlineStr">
        <is>
          <t>A 45033-2025</t>
        </is>
      </c>
      <c r="B64" s="1" t="n">
        <v>45918.70299768518</v>
      </c>
      <c r="C64" s="1" t="n">
        <v>46003</v>
      </c>
      <c r="D64" t="inlineStr">
        <is>
          <t>UPPSALA LÄN</t>
        </is>
      </c>
      <c r="E64" t="inlineStr">
        <is>
          <t>ÄLVKARLEBY</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45512-2025</t>
        </is>
      </c>
      <c r="B65" s="1" t="n">
        <v>45922.58106481482</v>
      </c>
      <c r="C65" s="1" t="n">
        <v>46003</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46510-2025</t>
        </is>
      </c>
      <c r="B66" s="1" t="n">
        <v>45925.92368055556</v>
      </c>
      <c r="C66" s="1" t="n">
        <v>46003</v>
      </c>
      <c r="D66" t="inlineStr">
        <is>
          <t>UPPSALA LÄN</t>
        </is>
      </c>
      <c r="E66" t="inlineStr">
        <is>
          <t>ÄLVKARLEBY</t>
        </is>
      </c>
      <c r="G66" t="n">
        <v>2.3</v>
      </c>
      <c r="H66" t="n">
        <v>0</v>
      </c>
      <c r="I66" t="n">
        <v>0</v>
      </c>
      <c r="J66" t="n">
        <v>0</v>
      </c>
      <c r="K66" t="n">
        <v>0</v>
      </c>
      <c r="L66" t="n">
        <v>0</v>
      </c>
      <c r="M66" t="n">
        <v>0</v>
      </c>
      <c r="N66" t="n">
        <v>0</v>
      </c>
      <c r="O66" t="n">
        <v>0</v>
      </c>
      <c r="P66" t="n">
        <v>0</v>
      </c>
      <c r="Q66" t="n">
        <v>0</v>
      </c>
      <c r="R66" s="2" t="inlineStr"/>
    </row>
    <row r="67" ht="15" customHeight="1">
      <c r="A67" t="inlineStr">
        <is>
          <t>A 24591-2025</t>
        </is>
      </c>
      <c r="B67" s="1" t="n">
        <v>45798.53666666667</v>
      </c>
      <c r="C67" s="1" t="n">
        <v>46003</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46335-2025</t>
        </is>
      </c>
      <c r="B68" s="1" t="n">
        <v>45925.46199074074</v>
      </c>
      <c r="C68" s="1" t="n">
        <v>46003</v>
      </c>
      <c r="D68" t="inlineStr">
        <is>
          <t>UPPSALA LÄN</t>
        </is>
      </c>
      <c r="E68" t="inlineStr">
        <is>
          <t>ÄLVKARLEBY</t>
        </is>
      </c>
      <c r="G68" t="n">
        <v>1.3</v>
      </c>
      <c r="H68" t="n">
        <v>0</v>
      </c>
      <c r="I68" t="n">
        <v>0</v>
      </c>
      <c r="J68" t="n">
        <v>0</v>
      </c>
      <c r="K68" t="n">
        <v>0</v>
      </c>
      <c r="L68" t="n">
        <v>0</v>
      </c>
      <c r="M68" t="n">
        <v>0</v>
      </c>
      <c r="N68" t="n">
        <v>0</v>
      </c>
      <c r="O68" t="n">
        <v>0</v>
      </c>
      <c r="P68" t="n">
        <v>0</v>
      </c>
      <c r="Q68" t="n">
        <v>0</v>
      </c>
      <c r="R68" s="2" t="inlineStr"/>
    </row>
    <row r="69" ht="15" customHeight="1">
      <c r="A69" t="inlineStr">
        <is>
          <t>A 25330-2025</t>
        </is>
      </c>
      <c r="B69" s="1" t="n">
        <v>45800.59114583334</v>
      </c>
      <c r="C69" s="1" t="n">
        <v>46003</v>
      </c>
      <c r="D69" t="inlineStr">
        <is>
          <t>UPPSALA LÄN</t>
        </is>
      </c>
      <c r="E69" t="inlineStr">
        <is>
          <t>ÄLVKARLEBY</t>
        </is>
      </c>
      <c r="F69" t="inlineStr">
        <is>
          <t>Bergvik skog väst AB</t>
        </is>
      </c>
      <c r="G69" t="n">
        <v>5</v>
      </c>
      <c r="H69" t="n">
        <v>0</v>
      </c>
      <c r="I69" t="n">
        <v>0</v>
      </c>
      <c r="J69" t="n">
        <v>0</v>
      </c>
      <c r="K69" t="n">
        <v>0</v>
      </c>
      <c r="L69" t="n">
        <v>0</v>
      </c>
      <c r="M69" t="n">
        <v>0</v>
      </c>
      <c r="N69" t="n">
        <v>0</v>
      </c>
      <c r="O69" t="n">
        <v>0</v>
      </c>
      <c r="P69" t="n">
        <v>0</v>
      </c>
      <c r="Q69" t="n">
        <v>0</v>
      </c>
      <c r="R69" s="2" t="inlineStr"/>
    </row>
    <row r="70" ht="15" customHeight="1">
      <c r="A70" t="inlineStr">
        <is>
          <t>A 25264-2025</t>
        </is>
      </c>
      <c r="B70" s="1" t="n">
        <v>45800.5334375</v>
      </c>
      <c r="C70" s="1" t="n">
        <v>46003</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15739-2025</t>
        </is>
      </c>
      <c r="B71" s="1" t="n">
        <v>45748.54612268518</v>
      </c>
      <c r="C71" s="1" t="n">
        <v>46003</v>
      </c>
      <c r="D71" t="inlineStr">
        <is>
          <t>UPPSALA LÄN</t>
        </is>
      </c>
      <c r="E71" t="inlineStr">
        <is>
          <t>ÄLVKARLEBY</t>
        </is>
      </c>
      <c r="F71" t="inlineStr">
        <is>
          <t>Kyrkan</t>
        </is>
      </c>
      <c r="G71" t="n">
        <v>2.4</v>
      </c>
      <c r="H71" t="n">
        <v>0</v>
      </c>
      <c r="I71" t="n">
        <v>0</v>
      </c>
      <c r="J71" t="n">
        <v>0</v>
      </c>
      <c r="K71" t="n">
        <v>0</v>
      </c>
      <c r="L71" t="n">
        <v>0</v>
      </c>
      <c r="M71" t="n">
        <v>0</v>
      </c>
      <c r="N71" t="n">
        <v>0</v>
      </c>
      <c r="O71" t="n">
        <v>0</v>
      </c>
      <c r="P71" t="n">
        <v>0</v>
      </c>
      <c r="Q71" t="n">
        <v>0</v>
      </c>
      <c r="R71" s="2" t="inlineStr"/>
    </row>
    <row r="72" ht="15" customHeight="1">
      <c r="A72" t="inlineStr">
        <is>
          <t>A 26670-2025</t>
        </is>
      </c>
      <c r="B72" s="1" t="n">
        <v>45810.41489583333</v>
      </c>
      <c r="C72" s="1" t="n">
        <v>46003</v>
      </c>
      <c r="D72" t="inlineStr">
        <is>
          <t>UPPSALA LÄN</t>
        </is>
      </c>
      <c r="E72" t="inlineStr">
        <is>
          <t>ÄLVKARLEBY</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56861-2025</t>
        </is>
      </c>
      <c r="B73" s="1" t="n">
        <v>45978.50824074074</v>
      </c>
      <c r="C73" s="1" t="n">
        <v>46003</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48460-2025</t>
        </is>
      </c>
      <c r="B74" s="1" t="n">
        <v>45935.94372685185</v>
      </c>
      <c r="C74" s="1" t="n">
        <v>46003</v>
      </c>
      <c r="D74" t="inlineStr">
        <is>
          <t>UPPSALA LÄN</t>
        </is>
      </c>
      <c r="E74" t="inlineStr">
        <is>
          <t>ÄLVKARLEBY</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27742-2025</t>
        </is>
      </c>
      <c r="B75" s="1" t="n">
        <v>45815.53724537037</v>
      </c>
      <c r="C75" s="1" t="n">
        <v>46003</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27741-2025</t>
        </is>
      </c>
      <c r="B76" s="1" t="n">
        <v>45815.5346875</v>
      </c>
      <c r="C76" s="1" t="n">
        <v>46003</v>
      </c>
      <c r="D76" t="inlineStr">
        <is>
          <t>UPPSALA LÄN</t>
        </is>
      </c>
      <c r="E76" t="inlineStr">
        <is>
          <t>ÄLVKARLEBY</t>
        </is>
      </c>
      <c r="F76" t="inlineStr">
        <is>
          <t>Bergvik skog väst AB</t>
        </is>
      </c>
      <c r="G76" t="n">
        <v>4.4</v>
      </c>
      <c r="H76" t="n">
        <v>0</v>
      </c>
      <c r="I76" t="n">
        <v>0</v>
      </c>
      <c r="J76" t="n">
        <v>0</v>
      </c>
      <c r="K76" t="n">
        <v>0</v>
      </c>
      <c r="L76" t="n">
        <v>0</v>
      </c>
      <c r="M76" t="n">
        <v>0</v>
      </c>
      <c r="N76" t="n">
        <v>0</v>
      </c>
      <c r="O76" t="n">
        <v>0</v>
      </c>
      <c r="P76" t="n">
        <v>0</v>
      </c>
      <c r="Q76" t="n">
        <v>0</v>
      </c>
      <c r="R76" s="2" t="inlineStr"/>
    </row>
    <row r="77" ht="15" customHeight="1">
      <c r="A77" t="inlineStr">
        <is>
          <t>A 28670-2025</t>
        </is>
      </c>
      <c r="B77" s="1" t="n">
        <v>45819.67130787037</v>
      </c>
      <c r="C77" s="1" t="n">
        <v>46003</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28668-2025</t>
        </is>
      </c>
      <c r="B78" s="1" t="n">
        <v>45819.66650462963</v>
      </c>
      <c r="C78" s="1" t="n">
        <v>46003</v>
      </c>
      <c r="D78" t="inlineStr">
        <is>
          <t>UPPSALA LÄN</t>
        </is>
      </c>
      <c r="E78" t="inlineStr">
        <is>
          <t>ÄLVKARLEBY</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57734-2025</t>
        </is>
      </c>
      <c r="B79" s="1" t="n">
        <v>45981.51148148148</v>
      </c>
      <c r="C79" s="1" t="n">
        <v>46003</v>
      </c>
      <c r="D79" t="inlineStr">
        <is>
          <t>UPPSALA LÄN</t>
        </is>
      </c>
      <c r="E79" t="inlineStr">
        <is>
          <t>ÄLVKARLEBY</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30483-2025</t>
        </is>
      </c>
      <c r="B80" s="1" t="n">
        <v>45828.68988425926</v>
      </c>
      <c r="C80" s="1" t="n">
        <v>46003</v>
      </c>
      <c r="D80" t="inlineStr">
        <is>
          <t>UPPSALA LÄN</t>
        </is>
      </c>
      <c r="E80" t="inlineStr">
        <is>
          <t>ÄLVKARLEBY</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58168-2025</t>
        </is>
      </c>
      <c r="B81" s="1" t="n">
        <v>45982.72024305556</v>
      </c>
      <c r="C81" s="1" t="n">
        <v>46003</v>
      </c>
      <c r="D81" t="inlineStr">
        <is>
          <t>UPPSALA LÄN</t>
        </is>
      </c>
      <c r="E81" t="inlineStr">
        <is>
          <t>ÄLVKARLEBY</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50398-2025</t>
        </is>
      </c>
      <c r="B82" s="1" t="n">
        <v>45944.62854166667</v>
      </c>
      <c r="C82" s="1" t="n">
        <v>46003</v>
      </c>
      <c r="D82" t="inlineStr">
        <is>
          <t>UPPSALA LÄN</t>
        </is>
      </c>
      <c r="E82" t="inlineStr">
        <is>
          <t>ÄLVKARLEBY</t>
        </is>
      </c>
      <c r="F82" t="inlineStr">
        <is>
          <t>Bergvik skog väst AB</t>
        </is>
      </c>
      <c r="G82" t="n">
        <v>4.4</v>
      </c>
      <c r="H82" t="n">
        <v>0</v>
      </c>
      <c r="I82" t="n">
        <v>0</v>
      </c>
      <c r="J82" t="n">
        <v>0</v>
      </c>
      <c r="K82" t="n">
        <v>0</v>
      </c>
      <c r="L82" t="n">
        <v>0</v>
      </c>
      <c r="M82" t="n">
        <v>0</v>
      </c>
      <c r="N82" t="n">
        <v>0</v>
      </c>
      <c r="O82" t="n">
        <v>0</v>
      </c>
      <c r="P82" t="n">
        <v>0</v>
      </c>
      <c r="Q82" t="n">
        <v>0</v>
      </c>
      <c r="R82" s="2" t="inlineStr"/>
    </row>
    <row r="83" ht="15" customHeight="1">
      <c r="A83" t="inlineStr">
        <is>
          <t>A 50371-2025</t>
        </is>
      </c>
      <c r="B83" s="1" t="n">
        <v>45944.58696759259</v>
      </c>
      <c r="C83" s="1" t="n">
        <v>46003</v>
      </c>
      <c r="D83" t="inlineStr">
        <is>
          <t>UPPSALA LÄN</t>
        </is>
      </c>
      <c r="E83" t="inlineStr">
        <is>
          <t>ÄLVKARLEBY</t>
        </is>
      </c>
      <c r="F83" t="inlineStr">
        <is>
          <t>Bergvik skog väst AB</t>
        </is>
      </c>
      <c r="G83" t="n">
        <v>1.4</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46003</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50113-2025</t>
        </is>
      </c>
      <c r="B85" s="1" t="n">
        <v>45943.54452546296</v>
      </c>
      <c r="C85" s="1" t="n">
        <v>46003</v>
      </c>
      <c r="D85" t="inlineStr">
        <is>
          <t>UPPSALA LÄN</t>
        </is>
      </c>
      <c r="E85" t="inlineStr">
        <is>
          <t>ÄLVKARLEBY</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30944-2025</t>
        </is>
      </c>
      <c r="B86" s="1" t="n">
        <v>45832.41182870371</v>
      </c>
      <c r="C86" s="1" t="n">
        <v>46003</v>
      </c>
      <c r="D86" t="inlineStr">
        <is>
          <t>UPPSALA LÄN</t>
        </is>
      </c>
      <c r="E86" t="inlineStr">
        <is>
          <t>ÄLVKARLEBY</t>
        </is>
      </c>
      <c r="F86" t="inlineStr">
        <is>
          <t>Bergvik skog öst AB</t>
        </is>
      </c>
      <c r="G86" t="n">
        <v>3.4</v>
      </c>
      <c r="H86" t="n">
        <v>0</v>
      </c>
      <c r="I86" t="n">
        <v>0</v>
      </c>
      <c r="J86" t="n">
        <v>0</v>
      </c>
      <c r="K86" t="n">
        <v>0</v>
      </c>
      <c r="L86" t="n">
        <v>0</v>
      </c>
      <c r="M86" t="n">
        <v>0</v>
      </c>
      <c r="N86" t="n">
        <v>0</v>
      </c>
      <c r="O86" t="n">
        <v>0</v>
      </c>
      <c r="P86" t="n">
        <v>0</v>
      </c>
      <c r="Q86" t="n">
        <v>0</v>
      </c>
      <c r="R86" s="2" t="inlineStr"/>
    </row>
    <row r="87" ht="15" customHeight="1">
      <c r="A87" t="inlineStr">
        <is>
          <t>A 30936-2025</t>
        </is>
      </c>
      <c r="B87" s="1" t="n">
        <v>45832.40586805555</v>
      </c>
      <c r="C87" s="1" t="n">
        <v>46003</v>
      </c>
      <c r="D87" t="inlineStr">
        <is>
          <t>UPPSALA LÄN</t>
        </is>
      </c>
      <c r="E87" t="inlineStr">
        <is>
          <t>ÄLVKARLEBY</t>
        </is>
      </c>
      <c r="F87" t="inlineStr">
        <is>
          <t>Bergvik skog öst AB</t>
        </is>
      </c>
      <c r="G87" t="n">
        <v>7.2</v>
      </c>
      <c r="H87" t="n">
        <v>0</v>
      </c>
      <c r="I87" t="n">
        <v>0</v>
      </c>
      <c r="J87" t="n">
        <v>0</v>
      </c>
      <c r="K87" t="n">
        <v>0</v>
      </c>
      <c r="L87" t="n">
        <v>0</v>
      </c>
      <c r="M87" t="n">
        <v>0</v>
      </c>
      <c r="N87" t="n">
        <v>0</v>
      </c>
      <c r="O87" t="n">
        <v>0</v>
      </c>
      <c r="P87" t="n">
        <v>0</v>
      </c>
      <c r="Q87" t="n">
        <v>0</v>
      </c>
      <c r="R87" s="2" t="inlineStr"/>
    </row>
    <row r="88" ht="15" customHeight="1">
      <c r="A88" t="inlineStr">
        <is>
          <t>A 50138-2025</t>
        </is>
      </c>
      <c r="B88" s="1" t="n">
        <v>45943.5653125</v>
      </c>
      <c r="C88" s="1" t="n">
        <v>46003</v>
      </c>
      <c r="D88" t="inlineStr">
        <is>
          <t>UPPSALA LÄN</t>
        </is>
      </c>
      <c r="E88" t="inlineStr">
        <is>
          <t>ÄLVKARLEBY</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50869-2025</t>
        </is>
      </c>
      <c r="B89" s="1" t="n">
        <v>45946.60259259259</v>
      </c>
      <c r="C89" s="1" t="n">
        <v>46003</v>
      </c>
      <c r="D89" t="inlineStr">
        <is>
          <t>UPPSALA LÄN</t>
        </is>
      </c>
      <c r="E89" t="inlineStr">
        <is>
          <t>ÄLVKARLEBY</t>
        </is>
      </c>
      <c r="F89" t="inlineStr">
        <is>
          <t>Bergvik skog väst AB</t>
        </is>
      </c>
      <c r="G89" t="n">
        <v>11.4</v>
      </c>
      <c r="H89" t="n">
        <v>0</v>
      </c>
      <c r="I89" t="n">
        <v>0</v>
      </c>
      <c r="J89" t="n">
        <v>0</v>
      </c>
      <c r="K89" t="n">
        <v>0</v>
      </c>
      <c r="L89" t="n">
        <v>0</v>
      </c>
      <c r="M89" t="n">
        <v>0</v>
      </c>
      <c r="N89" t="n">
        <v>0</v>
      </c>
      <c r="O89" t="n">
        <v>0</v>
      </c>
      <c r="P89" t="n">
        <v>0</v>
      </c>
      <c r="Q89" t="n">
        <v>0</v>
      </c>
      <c r="R89" s="2" t="inlineStr"/>
    </row>
    <row r="90" ht="15" customHeight="1">
      <c r="A90" t="inlineStr">
        <is>
          <t>A 32221-2025</t>
        </is>
      </c>
      <c r="B90" s="1" t="n">
        <v>45835.5909837963</v>
      </c>
      <c r="C90" s="1" t="n">
        <v>46003</v>
      </c>
      <c r="D90" t="inlineStr">
        <is>
          <t>UPPSALA LÄN</t>
        </is>
      </c>
      <c r="E90" t="inlineStr">
        <is>
          <t>ÄLVKARLEBY</t>
        </is>
      </c>
      <c r="F90" t="inlineStr">
        <is>
          <t>Bergvik skog väst AB</t>
        </is>
      </c>
      <c r="G90" t="n">
        <v>1.5</v>
      </c>
      <c r="H90" t="n">
        <v>0</v>
      </c>
      <c r="I90" t="n">
        <v>0</v>
      </c>
      <c r="J90" t="n">
        <v>0</v>
      </c>
      <c r="K90" t="n">
        <v>0</v>
      </c>
      <c r="L90" t="n">
        <v>0</v>
      </c>
      <c r="M90" t="n">
        <v>0</v>
      </c>
      <c r="N90" t="n">
        <v>0</v>
      </c>
      <c r="O90" t="n">
        <v>0</v>
      </c>
      <c r="P90" t="n">
        <v>0</v>
      </c>
      <c r="Q90" t="n">
        <v>0</v>
      </c>
      <c r="R90" s="2" t="inlineStr"/>
    </row>
    <row r="91" ht="15" customHeight="1">
      <c r="A91" t="inlineStr">
        <is>
          <t>A 32203-2025</t>
        </is>
      </c>
      <c r="B91" s="1" t="n">
        <v>45835.57951388889</v>
      </c>
      <c r="C91" s="1" t="n">
        <v>46003</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32186-2025</t>
        </is>
      </c>
      <c r="B92" s="1" t="n">
        <v>45835.5667824074</v>
      </c>
      <c r="C92" s="1" t="n">
        <v>46003</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32187-2025</t>
        </is>
      </c>
      <c r="B93" s="1" t="n">
        <v>45835.56949074074</v>
      </c>
      <c r="C93" s="1" t="n">
        <v>46003</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32212-2025</t>
        </is>
      </c>
      <c r="B94" s="1" t="n">
        <v>45835.58509259259</v>
      </c>
      <c r="C94" s="1" t="n">
        <v>46003</v>
      </c>
      <c r="D94" t="inlineStr">
        <is>
          <t>UPPSALA LÄN</t>
        </is>
      </c>
      <c r="E94" t="inlineStr">
        <is>
          <t>ÄLVKARLEBY</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51238-2025</t>
        </is>
      </c>
      <c r="B95" s="1" t="n">
        <v>45947.69753472223</v>
      </c>
      <c r="C95" s="1" t="n">
        <v>46003</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51237-2025</t>
        </is>
      </c>
      <c r="B96" s="1" t="n">
        <v>45947.69307870371</v>
      </c>
      <c r="C96" s="1" t="n">
        <v>46003</v>
      </c>
      <c r="D96" t="inlineStr">
        <is>
          <t>UPPSALA LÄN</t>
        </is>
      </c>
      <c r="E96" t="inlineStr">
        <is>
          <t>ÄLVKARLEBY</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60256-2025</t>
        </is>
      </c>
      <c r="B97" s="1" t="n">
        <v>45994.60216435185</v>
      </c>
      <c r="C97" s="1" t="n">
        <v>46003</v>
      </c>
      <c r="D97" t="inlineStr">
        <is>
          <t>UPPSALA LÄN</t>
        </is>
      </c>
      <c r="E97" t="inlineStr">
        <is>
          <t>ÄLVKARLEBY</t>
        </is>
      </c>
      <c r="G97" t="n">
        <v>1</v>
      </c>
      <c r="H97" t="n">
        <v>0</v>
      </c>
      <c r="I97" t="n">
        <v>0</v>
      </c>
      <c r="J97" t="n">
        <v>0</v>
      </c>
      <c r="K97" t="n">
        <v>0</v>
      </c>
      <c r="L97" t="n">
        <v>0</v>
      </c>
      <c r="M97" t="n">
        <v>0</v>
      </c>
      <c r="N97" t="n">
        <v>0</v>
      </c>
      <c r="O97" t="n">
        <v>0</v>
      </c>
      <c r="P97" t="n">
        <v>0</v>
      </c>
      <c r="Q97" t="n">
        <v>0</v>
      </c>
      <c r="R97" s="2" t="inlineStr"/>
    </row>
    <row r="98" ht="15" customHeight="1">
      <c r="A98" t="inlineStr">
        <is>
          <t>A 60083-2025</t>
        </is>
      </c>
      <c r="B98" s="1" t="n">
        <v>45993.69733796296</v>
      </c>
      <c r="C98" s="1" t="n">
        <v>46003</v>
      </c>
      <c r="D98" t="inlineStr">
        <is>
          <t>UPPSALA LÄN</t>
        </is>
      </c>
      <c r="E98" t="inlineStr">
        <is>
          <t>ÄLVKARLEBY</t>
        </is>
      </c>
      <c r="F98" t="inlineStr">
        <is>
          <t>Bergvik skog väst AB</t>
        </is>
      </c>
      <c r="G98" t="n">
        <v>4.7</v>
      </c>
      <c r="H98" t="n">
        <v>0</v>
      </c>
      <c r="I98" t="n">
        <v>0</v>
      </c>
      <c r="J98" t="n">
        <v>0</v>
      </c>
      <c r="K98" t="n">
        <v>0</v>
      </c>
      <c r="L98" t="n">
        <v>0</v>
      </c>
      <c r="M98" t="n">
        <v>0</v>
      </c>
      <c r="N98" t="n">
        <v>0</v>
      </c>
      <c r="O98" t="n">
        <v>0</v>
      </c>
      <c r="P98" t="n">
        <v>0</v>
      </c>
      <c r="Q98" t="n">
        <v>0</v>
      </c>
      <c r="R98" s="2" t="inlineStr"/>
    </row>
    <row r="99" ht="15" customHeight="1">
      <c r="A99" t="inlineStr">
        <is>
          <t>A 52477-2025</t>
        </is>
      </c>
      <c r="B99" s="1" t="n">
        <v>45954.46980324074</v>
      </c>
      <c r="C99" s="1" t="n">
        <v>46003</v>
      </c>
      <c r="D99" t="inlineStr">
        <is>
          <t>UPPSALA LÄN</t>
        </is>
      </c>
      <c r="E99" t="inlineStr">
        <is>
          <t>ÄLVKARLEBY</t>
        </is>
      </c>
      <c r="F99" t="inlineStr">
        <is>
          <t>Bergvik skog väst AB</t>
        </is>
      </c>
      <c r="G99" t="n">
        <v>5.3</v>
      </c>
      <c r="H99" t="n">
        <v>0</v>
      </c>
      <c r="I99" t="n">
        <v>0</v>
      </c>
      <c r="J99" t="n">
        <v>0</v>
      </c>
      <c r="K99" t="n">
        <v>0</v>
      </c>
      <c r="L99" t="n">
        <v>0</v>
      </c>
      <c r="M99" t="n">
        <v>0</v>
      </c>
      <c r="N99" t="n">
        <v>0</v>
      </c>
      <c r="O99" t="n">
        <v>0</v>
      </c>
      <c r="P99" t="n">
        <v>0</v>
      </c>
      <c r="Q99" t="n">
        <v>0</v>
      </c>
      <c r="R99" s="2" t="inlineStr"/>
    </row>
    <row r="100" ht="15" customHeight="1">
      <c r="A100" t="inlineStr">
        <is>
          <t>A 52498-2025</t>
        </is>
      </c>
      <c r="B100" s="1" t="n">
        <v>45954.49314814815</v>
      </c>
      <c r="C100" s="1" t="n">
        <v>46003</v>
      </c>
      <c r="D100" t="inlineStr">
        <is>
          <t>UPPSALA LÄN</t>
        </is>
      </c>
      <c r="E100" t="inlineStr">
        <is>
          <t>ÄLVKARLEBY</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53173-2025</t>
        </is>
      </c>
      <c r="B101" s="1" t="n">
        <v>45958.51738425926</v>
      </c>
      <c r="C101" s="1" t="n">
        <v>46003</v>
      </c>
      <c r="D101" t="inlineStr">
        <is>
          <t>UPPSALA LÄN</t>
        </is>
      </c>
      <c r="E101" t="inlineStr">
        <is>
          <t>ÄLVKARLEBY</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36626-2025</t>
        </is>
      </c>
      <c r="B102" s="1" t="n">
        <v>45870.66732638889</v>
      </c>
      <c r="C102" s="1" t="n">
        <v>46003</v>
      </c>
      <c r="D102" t="inlineStr">
        <is>
          <t>UPPSALA LÄN</t>
        </is>
      </c>
      <c r="E102" t="inlineStr">
        <is>
          <t>ÄLVKARLEBY</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53184-2025</t>
        </is>
      </c>
      <c r="B103" s="1" t="n">
        <v>45958</v>
      </c>
      <c r="C103" s="1" t="n">
        <v>46003</v>
      </c>
      <c r="D103" t="inlineStr">
        <is>
          <t>UPPSALA LÄN</t>
        </is>
      </c>
      <c r="E103" t="inlineStr">
        <is>
          <t>ÄLVKARLEBY</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60829-2025</t>
        </is>
      </c>
      <c r="B104" s="1" t="n">
        <v>45999.46523148148</v>
      </c>
      <c r="C104" s="1" t="n">
        <v>46003</v>
      </c>
      <c r="D104" t="inlineStr">
        <is>
          <t>UPPSALA LÄN</t>
        </is>
      </c>
      <c r="E104" t="inlineStr">
        <is>
          <t>ÄLVKARLEBY</t>
        </is>
      </c>
      <c r="F104" t="inlineStr">
        <is>
          <t>Bergvik skog väst AB</t>
        </is>
      </c>
      <c r="G104" t="n">
        <v>5.5</v>
      </c>
      <c r="H104" t="n">
        <v>0</v>
      </c>
      <c r="I104" t="n">
        <v>0</v>
      </c>
      <c r="J104" t="n">
        <v>0</v>
      </c>
      <c r="K104" t="n">
        <v>0</v>
      </c>
      <c r="L104" t="n">
        <v>0</v>
      </c>
      <c r="M104" t="n">
        <v>0</v>
      </c>
      <c r="N104" t="n">
        <v>0</v>
      </c>
      <c r="O104" t="n">
        <v>0</v>
      </c>
      <c r="P104" t="n">
        <v>0</v>
      </c>
      <c r="Q104" t="n">
        <v>0</v>
      </c>
      <c r="R104" s="2" t="inlineStr"/>
    </row>
    <row r="105" ht="15" customHeight="1">
      <c r="A105" t="inlineStr">
        <is>
          <t>A 60842-2025</t>
        </is>
      </c>
      <c r="B105" s="1" t="n">
        <v>45999.48721064815</v>
      </c>
      <c r="C105" s="1" t="n">
        <v>46003</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61685-2025</t>
        </is>
      </c>
      <c r="B106" s="1" t="n">
        <v>46002.503125</v>
      </c>
      <c r="C106" s="1" t="n">
        <v>46003</v>
      </c>
      <c r="D106" t="inlineStr">
        <is>
          <t>UPPSALA LÄN</t>
        </is>
      </c>
      <c r="E106" t="inlineStr">
        <is>
          <t>ÄLVKARLEBY</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61693-2025</t>
        </is>
      </c>
      <c r="B107" s="1" t="n">
        <v>46002.52047453704</v>
      </c>
      <c r="C107" s="1" t="n">
        <v>46003</v>
      </c>
      <c r="D107" t="inlineStr">
        <is>
          <t>UPPSALA LÄN</t>
        </is>
      </c>
      <c r="E107" t="inlineStr">
        <is>
          <t>ÄLVKARLEBY</t>
        </is>
      </c>
      <c r="F107" t="inlineStr">
        <is>
          <t>Bergvik skog öst AB</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61694-2025</t>
        </is>
      </c>
      <c r="B108" s="1" t="n">
        <v>46002.52361111111</v>
      </c>
      <c r="C108" s="1" t="n">
        <v>46003</v>
      </c>
      <c r="D108" t="inlineStr">
        <is>
          <t>UPPSALA LÄN</t>
        </is>
      </c>
      <c r="E108" t="inlineStr">
        <is>
          <t>ÄLVKARLEBY</t>
        </is>
      </c>
      <c r="F108" t="inlineStr">
        <is>
          <t>Bergvik skog öst AB</t>
        </is>
      </c>
      <c r="G108" t="n">
        <v>1.5</v>
      </c>
      <c r="H108" t="n">
        <v>0</v>
      </c>
      <c r="I108" t="n">
        <v>0</v>
      </c>
      <c r="J108" t="n">
        <v>0</v>
      </c>
      <c r="K108" t="n">
        <v>0</v>
      </c>
      <c r="L108" t="n">
        <v>0</v>
      </c>
      <c r="M108" t="n">
        <v>0</v>
      </c>
      <c r="N108" t="n">
        <v>0</v>
      </c>
      <c r="O108" t="n">
        <v>0</v>
      </c>
      <c r="P108" t="n">
        <v>0</v>
      </c>
      <c r="Q108" t="n">
        <v>0</v>
      </c>
      <c r="R108" s="2" t="inlineStr"/>
    </row>
    <row r="109">
      <c r="A109" t="inlineStr">
        <is>
          <t>A 61691-2025</t>
        </is>
      </c>
      <c r="B109" s="1" t="n">
        <v>46002.51318287037</v>
      </c>
      <c r="C109" s="1" t="n">
        <v>46003</v>
      </c>
      <c r="D109" t="inlineStr">
        <is>
          <t>UPPSALA LÄN</t>
        </is>
      </c>
      <c r="E109" t="inlineStr">
        <is>
          <t>ÄLVKARLEBY</t>
        </is>
      </c>
      <c r="F109" t="inlineStr">
        <is>
          <t>Bergvik skog öst AB</t>
        </is>
      </c>
      <c r="G109" t="n">
        <v>0.7</v>
      </c>
      <c r="H109" t="n">
        <v>0</v>
      </c>
      <c r="I109" t="n">
        <v>0</v>
      </c>
      <c r="J109" t="n">
        <v>0</v>
      </c>
      <c r="K109" t="n">
        <v>0</v>
      </c>
      <c r="L109" t="n">
        <v>0</v>
      </c>
      <c r="M109" t="n">
        <v>0</v>
      </c>
      <c r="N109" t="n">
        <v>0</v>
      </c>
      <c r="O109" t="n">
        <v>0</v>
      </c>
      <c r="P109" t="n">
        <v>0</v>
      </c>
      <c r="Q109" t="n">
        <v>0</v>
      </c>
      <c r="R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2025-12-12T10:29:55Z</dcterms:created>
  <dcterms:modified xmlns:dcterms="http://purl.org/dc/terms/" xmlns:xsi="http://www.w3.org/2001/XMLSchema-instance" xsi:type="dcterms:W3CDTF">2025-12-12T10:29:55Z</dcterms:modified>
</cp:coreProperties>
</file>