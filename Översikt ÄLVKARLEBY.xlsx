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46316</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46316</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46316</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46316</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46316</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46316</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46316</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46316</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46316</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46316</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46316</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46316</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46316</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46316</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46316</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46316</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40038-2026</t>
        </is>
      </c>
      <c r="B22" t="inlineStr">
        <is>
          <t>avverkningsanmälan</t>
        </is>
      </c>
      <c r="C22" t="inlineStr">
        <is>
          <t>Föryngringsavverkning</t>
        </is>
      </c>
      <c r="D22" s="1" t="n">
        <v>46293</v>
      </c>
      <c r="E22" s="1" t="n">
        <v>46316</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46316</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46316</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46316</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46316</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15739-2025</t>
        </is>
      </c>
      <c r="B27" t="inlineStr">
        <is>
          <t>avverkningsanmälan</t>
        </is>
      </c>
      <c r="C27" t="inlineStr">
        <is>
          <t>Föryngringsavverkning</t>
        </is>
      </c>
      <c r="D27" s="1" t="n">
        <v>45748</v>
      </c>
      <c r="E27" s="1" t="n">
        <v>46316</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46316</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46316</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46316</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46316</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46316</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63004-2025</t>
        </is>
      </c>
      <c r="B33" t="inlineStr">
        <is>
          <t>avverkningsanmälan</t>
        </is>
      </c>
      <c r="C33" t="inlineStr">
        <is>
          <t>Föryngringsavverkning</t>
        </is>
      </c>
      <c r="D33" s="1" t="n">
        <v>46009</v>
      </c>
      <c r="E33" s="1" t="n">
        <v>46316</v>
      </c>
      <c r="F33" t="inlineStr">
        <is>
          <t>UPPSALA LÄN</t>
        </is>
      </c>
      <c r="G33" t="inlineStr">
        <is>
          <t>ÄLVKARLEBY</t>
        </is>
      </c>
      <c r="H33" t="inlineStr">
        <is>
          <t>Bergvik skog väst AB</t>
        </is>
      </c>
      <c r="I33" t="n">
        <v>2.2</v>
      </c>
      <c r="J33" t="n">
        <v>1</v>
      </c>
      <c r="K33" t="n">
        <v>1</v>
      </c>
      <c r="L33" t="n">
        <v>0</v>
      </c>
      <c r="M33" t="n">
        <v>0</v>
      </c>
      <c r="N33" t="n">
        <v>0</v>
      </c>
      <c r="O33" t="n">
        <v>0</v>
      </c>
      <c r="P33" t="n">
        <v>0</v>
      </c>
      <c r="Q33" t="n">
        <v>0</v>
      </c>
      <c r="R33" t="n">
        <v>0</v>
      </c>
      <c r="S33" t="n">
        <v>1</v>
      </c>
      <c r="T33" t="n">
        <v>4</v>
      </c>
      <c r="U33" t="n">
        <v>0</v>
      </c>
      <c r="V33" s="2" t="inlineStr">
        <is>
          <t>Skogsknipprot</t>
        </is>
      </c>
      <c r="W33">
        <f>HYPERLINK("https://klasma.github.io/Logging_0319/artfynd/A 63004-2025 artfynd.xlsx", "A 63004-2025")</f>
        <v/>
      </c>
      <c r="X33">
        <f>HYPERLINK("https://klasma.github.io/Logging_0319/kartor/A 63004-2025 karta.png", "A 63004-2025")</f>
        <v/>
      </c>
      <c r="Y33">
        <f>HYPERLINK("https://klasma.github.io/Logging_0319/kartor_geotiff/A 63004-2025 georefererad karta.tif", "A 63004-2025")</f>
        <v/>
      </c>
      <c r="AA33">
        <f>HYPERLINK("https://klasma.github.io/Logging_0319/klagomål/A 63004-2025 FSC-klagomål.docx", "A 63004-2025")</f>
        <v/>
      </c>
      <c r="AB33">
        <f>HYPERLINK("https://klasma.github.io/Logging_0319/klagomålsmail/A 63004-2025 FSC-klagomål mail.docx", "A 63004-2025")</f>
        <v/>
      </c>
      <c r="AC33">
        <f>HYPERLINK("https://klasma.github.io/Logging_0319/tillsyn/A 63004-2025 tillsynsbegäran.docx", "A 63004-2025")</f>
        <v/>
      </c>
      <c r="AD33">
        <f>HYPERLINK("https://klasma.github.io/Logging_0319/tillsynsmail/A 63004-2025 tillsynsbegäran mail.docx", "A 63004-2025")</f>
        <v/>
      </c>
    </row>
    <row r="34" ht="15" customHeight="1">
      <c r="A34" t="inlineStr">
        <is>
          <t>A 1673-2026</t>
        </is>
      </c>
      <c r="B34" t="inlineStr">
        <is>
          <t>avverkningsanmälan</t>
        </is>
      </c>
      <c r="C34" t="inlineStr">
        <is>
          <t>Föryngringsavverkning</t>
        </is>
      </c>
      <c r="D34" s="1" t="n">
        <v>46034</v>
      </c>
      <c r="E34" s="1" t="n">
        <v>46316</v>
      </c>
      <c r="F34" t="inlineStr">
        <is>
          <t>UPPSALA LÄN</t>
        </is>
      </c>
      <c r="G34" t="inlineStr">
        <is>
          <t>ÄLVKARLEBY</t>
        </is>
      </c>
      <c r="H34" t="inlineStr">
        <is>
          <t>Bergvik skog väst AB</t>
        </is>
      </c>
      <c r="I34" t="n">
        <v>1.9</v>
      </c>
      <c r="J34" t="n">
        <v>0</v>
      </c>
      <c r="K34" t="n">
        <v>1</v>
      </c>
      <c r="L34" t="n">
        <v>0</v>
      </c>
      <c r="M34" t="n">
        <v>0</v>
      </c>
      <c r="N34" t="n">
        <v>0</v>
      </c>
      <c r="O34" t="n">
        <v>0</v>
      </c>
      <c r="P34" t="n">
        <v>0</v>
      </c>
      <c r="Q34" t="n">
        <v>0</v>
      </c>
      <c r="R34" t="n">
        <v>0</v>
      </c>
      <c r="S34" t="n">
        <v>1</v>
      </c>
      <c r="T34" t="n">
        <v>1</v>
      </c>
      <c r="U34" t="n">
        <v>0</v>
      </c>
      <c r="V34" s="2" t="inlineStr">
        <is>
          <t>Tibast</t>
        </is>
      </c>
      <c r="W34">
        <f>HYPERLINK("https://klasma.github.io/Logging_0319/artfynd/A 1673-2026 artfynd.xlsx", "A 1673-2026")</f>
        <v/>
      </c>
      <c r="X34">
        <f>HYPERLINK("https://klasma.github.io/Logging_0319/kartor/A 1673-2026 karta.png", "A 1673-2026")</f>
        <v/>
      </c>
      <c r="Y34">
        <f>HYPERLINK("https://klasma.github.io/Logging_0319/kartor_geotiff/A 1673-2026 georefererad karta.tif", "A 1673-2026")</f>
        <v/>
      </c>
      <c r="AA34">
        <f>HYPERLINK("https://klasma.github.io/Logging_0319/klagomål/A 1673-2026 FSC-klagomål.docx", "A 1673-2026")</f>
        <v/>
      </c>
      <c r="AB34">
        <f>HYPERLINK("https://klasma.github.io/Logging_0319/klagomålsmail/A 1673-2026 FSC-klagomål mail.docx", "A 1673-2026")</f>
        <v/>
      </c>
      <c r="AC34">
        <f>HYPERLINK("https://klasma.github.io/Logging_0319/tillsyn/A 1673-2026 tillsynsbegäran.docx", "A 1673-2026")</f>
        <v/>
      </c>
      <c r="AD34">
        <f>HYPERLINK("https://klasma.github.io/Logging_0319/tillsynsmail/A 1673-2026 tillsynsbegäran mail.docx", "A 1673-2026")</f>
        <v/>
      </c>
    </row>
    <row r="35" ht="15" customHeight="1">
      <c r="A35" t="inlineStr">
        <is>
          <t>A 51238-2025</t>
        </is>
      </c>
      <c r="B35" t="inlineStr">
        <is>
          <t>avverkningsanmälan</t>
        </is>
      </c>
      <c r="C35" t="inlineStr">
        <is>
          <t>Föryngringsavverkning</t>
        </is>
      </c>
      <c r="D35" s="1" t="n">
        <v>45947</v>
      </c>
      <c r="E35" s="1" t="n">
        <v>46316</v>
      </c>
      <c r="F35" t="inlineStr">
        <is>
          <t>UPPSALA LÄN</t>
        </is>
      </c>
      <c r="G35" t="inlineStr">
        <is>
          <t>ÄLVKARLEBY</t>
        </is>
      </c>
      <c r="H35" t="inlineStr">
        <is>
          <t>Bergvik skog väst AB</t>
        </is>
      </c>
      <c r="I35" t="n">
        <v>6</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HYPERLINK("https://klasma.github.io/Logging_0319/artfynd/A 51238-2025 artfynd.xlsx", "A 51238-2025")</f>
        <v/>
      </c>
      <c r="X35">
        <f>HYPERLINK("https://klasma.github.io/Logging_0319/kartor/A 51238-2025 karta.png", "A 51238-2025")</f>
        <v/>
      </c>
      <c r="Y35">
        <f>HYPERLINK("https://klasma.github.io/Logging_0319/kartor_geotiff/A 51238-2025 georefererad karta.tif", "A 51238-2025")</f>
        <v/>
      </c>
      <c r="AA35">
        <f>HYPERLINK("https://klasma.github.io/Logging_0319/klagomål/A 51238-2025 FSC-klagomål.docx", "A 51238-2025")</f>
        <v/>
      </c>
      <c r="AB35">
        <f>HYPERLINK("https://klasma.github.io/Logging_0319/klagomålsmail/A 51238-2025 FSC-klagomål mail.docx", "A 51238-2025")</f>
        <v/>
      </c>
      <c r="AC35">
        <f>HYPERLINK("https://klasma.github.io/Logging_0319/tillsyn/A 51238-2025 tillsynsbegäran.docx", "A 51238-2025")</f>
        <v/>
      </c>
      <c r="AD35">
        <f>HYPERLINK("https://klasma.github.io/Logging_0319/tillsynsmail/A 51238-2025 tillsynsbegäran mail.docx", "A 51238-2025")</f>
        <v/>
      </c>
    </row>
    <row r="36" ht="15" customHeight="1">
      <c r="A36" t="inlineStr">
        <is>
          <t>A 14127-2026</t>
        </is>
      </c>
      <c r="B36" t="inlineStr">
        <is>
          <t>avverkningsanmälan</t>
        </is>
      </c>
      <c r="C36" t="inlineStr">
        <is>
          <t>Föryngringsavverkning</t>
        </is>
      </c>
      <c r="D36" s="1" t="n">
        <v>46099</v>
      </c>
      <c r="E36" s="1" t="n">
        <v>46316</v>
      </c>
      <c r="F36" t="inlineStr">
        <is>
          <t>UPPSALA LÄN</t>
        </is>
      </c>
      <c r="G36" t="inlineStr">
        <is>
          <t>ÄLVKARLEBY</t>
        </is>
      </c>
      <c r="I36" t="n">
        <v>1.7</v>
      </c>
      <c r="J36" t="n">
        <v>0</v>
      </c>
      <c r="K36" t="n">
        <v>0</v>
      </c>
      <c r="L36" t="n">
        <v>0</v>
      </c>
      <c r="M36" t="n">
        <v>1</v>
      </c>
      <c r="N36" t="n">
        <v>0</v>
      </c>
      <c r="O36" t="n">
        <v>0</v>
      </c>
      <c r="P36" t="n">
        <v>0</v>
      </c>
      <c r="Q36" t="n">
        <v>1</v>
      </c>
      <c r="R36" t="n">
        <v>1</v>
      </c>
      <c r="S36" t="n">
        <v>1</v>
      </c>
      <c r="T36" t="n">
        <v>1</v>
      </c>
      <c r="U36" t="n">
        <v>0</v>
      </c>
      <c r="V36" s="2" t="inlineStr">
        <is>
          <t>Grangråticka</t>
        </is>
      </c>
      <c r="W36">
        <f>HYPERLINK("https://klasma.github.io/Logging_0319/artfynd/A 14127-2026 artfynd.xlsx", "A 14127-2026")</f>
        <v/>
      </c>
      <c r="X36">
        <f>HYPERLINK("https://klasma.github.io/Logging_0319/kartor/A 14127-2026 karta.png", "A 14127-2026")</f>
        <v/>
      </c>
      <c r="Y36">
        <f>HYPERLINK("https://klasma.github.io/Logging_0319/kartor_geotiff/A 14127-2026 georefererad karta.tif", "A 14127-2026")</f>
        <v/>
      </c>
      <c r="AA36">
        <f>HYPERLINK("https://klasma.github.io/Logging_0319/klagomål/A 14127-2026 FSC-klagomål.docx", "A 14127-2026")</f>
        <v/>
      </c>
      <c r="AB36">
        <f>HYPERLINK("https://klasma.github.io/Logging_0319/klagomålsmail/A 14127-2026 FSC-klagomål mail.docx", "A 14127-2026")</f>
        <v/>
      </c>
      <c r="AC36">
        <f>HYPERLINK("https://klasma.github.io/Logging_0319/tillsyn/A 14127-2026 tillsynsbegäran.docx", "A 14127-2026")</f>
        <v/>
      </c>
      <c r="AD36">
        <f>HYPERLINK("https://klasma.github.io/Logging_0319/tillsynsmail/A 14127-2026 tillsynsbegäran mail.docx", "A 14127-2026")</f>
        <v/>
      </c>
    </row>
    <row r="37" ht="15" customHeight="1">
      <c r="A37" t="inlineStr">
        <is>
          <t>A 43285-2023</t>
        </is>
      </c>
      <c r="B37" t="inlineStr">
        <is>
          <t>avverkningsanmälan</t>
        </is>
      </c>
      <c r="C37" t="inlineStr">
        <is>
          <t>Föryngringsavverkning</t>
        </is>
      </c>
      <c r="D37" s="1" t="n">
        <v>45183</v>
      </c>
      <c r="E37" s="1" t="n">
        <v>46316</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70017-2021</t>
        </is>
      </c>
      <c r="B38" t="inlineStr">
        <is>
          <t>avverkningsanmälan</t>
        </is>
      </c>
      <c r="C38" t="inlineStr">
        <is>
          <t>Föryngringsavverkning</t>
        </is>
      </c>
      <c r="D38" s="1" t="n">
        <v>44533</v>
      </c>
      <c r="E38" s="1" t="n">
        <v>46316</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57734-2025</t>
        </is>
      </c>
      <c r="B39" t="inlineStr">
        <is>
          <t>avverkningsanmälan</t>
        </is>
      </c>
      <c r="C39" t="inlineStr">
        <is>
          <t>Föryngringsavverkning</t>
        </is>
      </c>
      <c r="D39" s="1" t="n">
        <v>45981</v>
      </c>
      <c r="E39" s="1" t="n">
        <v>46316</v>
      </c>
      <c r="F39" t="inlineStr">
        <is>
          <t>UPPSALA LÄN</t>
        </is>
      </c>
      <c r="G39" t="inlineStr">
        <is>
          <t>ÄLVKARLEBY</t>
        </is>
      </c>
      <c r="H39" t="inlineStr">
        <is>
          <t>Bergvik skog väst AB</t>
        </is>
      </c>
      <c r="I39" t="n">
        <v>1.3</v>
      </c>
      <c r="J39" t="n">
        <v>1</v>
      </c>
      <c r="K39" t="n">
        <v>0</v>
      </c>
      <c r="L39" t="n">
        <v>0</v>
      </c>
      <c r="M39" t="n">
        <v>1</v>
      </c>
      <c r="N39" t="n">
        <v>0</v>
      </c>
      <c r="O39" t="n">
        <v>0</v>
      </c>
      <c r="P39" t="n">
        <v>0</v>
      </c>
      <c r="Q39" t="n">
        <v>1</v>
      </c>
      <c r="R39" t="n">
        <v>1</v>
      </c>
      <c r="S39" t="n">
        <v>1</v>
      </c>
      <c r="T39" t="n">
        <v>1</v>
      </c>
      <c r="U39" t="n">
        <v>0</v>
      </c>
      <c r="V39" s="2" t="inlineStr">
        <is>
          <t>Gölgroda</t>
        </is>
      </c>
      <c r="W39">
        <f>HYPERLINK("https://klasma.github.io/Logging_0319/artfynd/A 57734-2025 artfynd.xlsx", "A 57734-2025")</f>
        <v/>
      </c>
      <c r="X39">
        <f>HYPERLINK("https://klasma.github.io/Logging_0319/kartor/A 57734-2025 karta.png", "A 57734-2025")</f>
        <v/>
      </c>
      <c r="Y39">
        <f>HYPERLINK("https://klasma.github.io/Logging_0319/kartor_geotiff/A 57734-2025 georefererad karta.tif", "A 57734-2025")</f>
        <v/>
      </c>
      <c r="AA39">
        <f>HYPERLINK("https://klasma.github.io/Logging_0319/klagomål/A 57734-2025 FSC-klagomål.docx", "A 57734-2025")</f>
        <v/>
      </c>
      <c r="AB39">
        <f>HYPERLINK("https://klasma.github.io/Logging_0319/klagomålsmail/A 57734-2025 FSC-klagomål mail.docx", "A 57734-2025")</f>
        <v/>
      </c>
      <c r="AC39">
        <f>HYPERLINK("https://klasma.github.io/Logging_0319/tillsyn/A 57734-2025 tillsynsbegäran.docx", "A 57734-2025")</f>
        <v/>
      </c>
      <c r="AD39">
        <f>HYPERLINK("https://klasma.github.io/Logging_0319/tillsynsmail/A 57734-2025 tillsynsbegäran mail.docx", "A 57734-2025")</f>
        <v/>
      </c>
    </row>
    <row r="40" ht="15" customHeight="1">
      <c r="A40" t="inlineStr">
        <is>
          <t>A 7286-2023</t>
        </is>
      </c>
      <c r="B40" t="inlineStr">
        <is>
          <t>avverkningsanmälan</t>
        </is>
      </c>
      <c r="C40" t="inlineStr">
        <is>
          <t>Avverkning för annat ändamål</t>
        </is>
      </c>
      <c r="D40" s="1" t="n">
        <v>44970</v>
      </c>
      <c r="E40" s="1" t="n">
        <v>46316</v>
      </c>
      <c r="F40" t="inlineStr">
        <is>
          <t>UPPSALA LÄN</t>
        </is>
      </c>
      <c r="G40" t="inlineStr">
        <is>
          <t>ÄLVKARLEBY</t>
        </is>
      </c>
      <c r="H40" t="inlineStr">
        <is>
          <t>Bergvik skog väst AB</t>
        </is>
      </c>
      <c r="I40" t="n">
        <v>2.5</v>
      </c>
      <c r="J40" t="n">
        <v>0</v>
      </c>
      <c r="K40" t="n">
        <v>1</v>
      </c>
      <c r="L40" t="n">
        <v>0</v>
      </c>
      <c r="M40" t="n">
        <v>0</v>
      </c>
      <c r="N40" t="n">
        <v>0</v>
      </c>
      <c r="O40" t="n">
        <v>0</v>
      </c>
      <c r="P40" t="n">
        <v>0</v>
      </c>
      <c r="Q40" t="n">
        <v>0</v>
      </c>
      <c r="R40" t="n">
        <v>0</v>
      </c>
      <c r="S40" t="n">
        <v>1</v>
      </c>
      <c r="T40" t="n">
        <v>1</v>
      </c>
      <c r="U40" t="n">
        <v>0</v>
      </c>
      <c r="V40" s="2" t="inlineStr">
        <is>
          <t>Grönpyrola</t>
        </is>
      </c>
      <c r="W40">
        <f>HYPERLINK("https://klasma.github.io/Logging_0319/artfynd/A 7286-2023 artfynd.xlsx", "A 7286-2023")</f>
        <v/>
      </c>
      <c r="X40">
        <f>HYPERLINK("https://klasma.github.io/Logging_0319/kartor/A 7286-2023 karta.png", "A 7286-2023")</f>
        <v/>
      </c>
      <c r="Y40">
        <f>HYPERLINK("https://klasma.github.io/Logging_0319/kartor_geotiff/A 7286-2023 georefererad karta.tif", "A 7286-2023")</f>
        <v/>
      </c>
      <c r="AA40">
        <f>HYPERLINK("https://klasma.github.io/Logging_0319/klagomål/A 7286-2023 FSC-klagomål.docx", "A 7286-2023")</f>
        <v/>
      </c>
      <c r="AB40">
        <f>HYPERLINK("https://klasma.github.io/Logging_0319/klagomålsmail/A 7286-2023 FSC-klagomål mail.docx", "A 7286-2023")</f>
        <v/>
      </c>
      <c r="AC40">
        <f>HYPERLINK("https://klasma.github.io/Logging_0319/tillsyn/A 7286-2023 tillsynsbegäran.docx", "A 7286-2023")</f>
        <v/>
      </c>
      <c r="AD40">
        <f>HYPERLINK("https://klasma.github.io/Logging_0319/tillsynsmail/A 7286-2023 tillsynsbegäran mail.docx", "A 7286-2023")</f>
        <v/>
      </c>
    </row>
    <row r="41" ht="15" customHeight="1">
      <c r="A41" t="inlineStr">
        <is>
          <t>A 19303-2024</t>
        </is>
      </c>
      <c r="B41" t="inlineStr">
        <is>
          <t>avverkningsanmälan</t>
        </is>
      </c>
      <c r="C41" t="inlineStr">
        <is>
          <t>Föryngringsavverkning</t>
        </is>
      </c>
      <c r="D41" s="1" t="n">
        <v>45428</v>
      </c>
      <c r="E41" s="1" t="n">
        <v>46316</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46316</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46316</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42379-2026</t>
        </is>
      </c>
      <c r="B44" t="inlineStr">
        <is>
          <t>avverkningsanmälan</t>
        </is>
      </c>
      <c r="C44" t="inlineStr">
        <is>
          <t>Avverkning för att bevara och utveckla /försöksver</t>
        </is>
      </c>
      <c r="D44" s="1" t="n">
        <v>46307</v>
      </c>
      <c r="E44" s="1" t="n">
        <v>46316</v>
      </c>
      <c r="F44" t="inlineStr">
        <is>
          <t>UPPSALA LÄN</t>
        </is>
      </c>
      <c r="G44" t="inlineStr">
        <is>
          <t>ÄLVKARLEBY</t>
        </is>
      </c>
      <c r="H44" t="inlineStr">
        <is>
          <t>Bergvik skog öst AB</t>
        </is>
      </c>
      <c r="I44" t="n">
        <v>2.6</v>
      </c>
      <c r="J44" t="n">
        <v>1</v>
      </c>
      <c r="K44" t="n">
        <v>0</v>
      </c>
      <c r="L44" t="n">
        <v>0</v>
      </c>
      <c r="M44" t="n">
        <v>0</v>
      </c>
      <c r="N44" t="n">
        <v>0</v>
      </c>
      <c r="O44" t="n">
        <v>0</v>
      </c>
      <c r="P44" t="n">
        <v>0</v>
      </c>
      <c r="Q44" t="n">
        <v>0</v>
      </c>
      <c r="R44" t="n">
        <v>0</v>
      </c>
      <c r="S44" t="n">
        <v>1</v>
      </c>
      <c r="T44" t="n">
        <v>1</v>
      </c>
      <c r="U44" t="n">
        <v>0</v>
      </c>
      <c r="V44" s="2" t="inlineStr">
        <is>
          <t>Lopplummer (aggregat)</t>
        </is>
      </c>
      <c r="W44">
        <f>HYPERLINK("https://klasma.github.io/Logging_0319/artfynd/A 42379-2026 artfynd.xlsx", "A 42379-2026")</f>
        <v/>
      </c>
      <c r="X44">
        <f>HYPERLINK("https://klasma.github.io/Logging_0319/kartor/A 42379-2026 karta.png", "A 42379-2026")</f>
        <v/>
      </c>
      <c r="Y44">
        <f>HYPERLINK("https://klasma.github.io/Logging_0319/kartor_geotiff/A 42379-2026 georefererad karta.tif", "A 42379-2026")</f>
        <v/>
      </c>
      <c r="AA44">
        <f>HYPERLINK("https://klasma.github.io/Logging_0319/klagomål/A 42379-2026 FSC-klagomål.docx", "A 42379-2026")</f>
        <v/>
      </c>
      <c r="AB44">
        <f>HYPERLINK("https://klasma.github.io/Logging_0319/klagomålsmail/A 42379-2026 FSC-klagomål mail.docx", "A 42379-2026")</f>
        <v/>
      </c>
      <c r="AC44">
        <f>HYPERLINK("https://klasma.github.io/Logging_0319/tillsyn/A 42379-2026 tillsynsbegäran.docx", "A 42379-2026")</f>
        <v/>
      </c>
      <c r="AD44">
        <f>HYPERLINK("https://klasma.github.io/Logging_0319/tillsynsmail/A 42379-2026 tillsynsbegäran mail.docx", "A 42379-2026")</f>
        <v/>
      </c>
    </row>
    <row r="45" ht="15" customHeight="1">
      <c r="A45" t="inlineStr">
        <is>
          <t>A 19304-2024</t>
        </is>
      </c>
      <c r="B45" t="inlineStr">
        <is>
          <t>avverkningsanmälan</t>
        </is>
      </c>
      <c r="C45" t="inlineStr">
        <is>
          <t>Föryngringsavverkning</t>
        </is>
      </c>
      <c r="D45" s="1" t="n">
        <v>45428</v>
      </c>
      <c r="E45" s="1" t="n">
        <v>46316</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46316</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46316</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46316</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61694-2025</t>
        </is>
      </c>
      <c r="B49" t="inlineStr">
        <is>
          <t>avverkningsanmälan</t>
        </is>
      </c>
      <c r="C49" t="inlineStr">
        <is>
          <t>Föryngringsavverkning</t>
        </is>
      </c>
      <c r="D49" s="1" t="n">
        <v>46002</v>
      </c>
      <c r="E49" s="1" t="n">
        <v>46316</v>
      </c>
      <c r="F49" t="inlineStr">
        <is>
          <t>UPPSALA LÄN</t>
        </is>
      </c>
      <c r="G49" t="inlineStr">
        <is>
          <t>ÄLVKARLEBY</t>
        </is>
      </c>
      <c r="H49" t="inlineStr">
        <is>
          <t>Bergvik skog öst AB</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61691-2025</t>
        </is>
      </c>
      <c r="B50" t="inlineStr">
        <is>
          <t>avverkningsanmälan</t>
        </is>
      </c>
      <c r="C50" t="inlineStr">
        <is>
          <t>Föryngringsavverkning</t>
        </is>
      </c>
      <c r="D50" s="1" t="n">
        <v>46002</v>
      </c>
      <c r="E50" s="1" t="n">
        <v>46316</v>
      </c>
      <c r="F50" t="inlineStr">
        <is>
          <t>UPPSALA LÄN</t>
        </is>
      </c>
      <c r="G50" t="inlineStr">
        <is>
          <t>ÄLVKARLEBY</t>
        </is>
      </c>
      <c r="H50" t="inlineStr">
        <is>
          <t>Bergvik skog öst AB</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46316</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2183-2024</t>
        </is>
      </c>
      <c r="B52" t="inlineStr">
        <is>
          <t>avverkningsanmälan</t>
        </is>
      </c>
      <c r="C52" t="inlineStr">
        <is>
          <t>Föryngringsavverkning</t>
        </is>
      </c>
      <c r="D52" s="1" t="n">
        <v>45309</v>
      </c>
      <c r="E52" s="1" t="n">
        <v>46316</v>
      </c>
      <c r="F52" t="inlineStr">
        <is>
          <t>UPPSALA LÄN</t>
        </is>
      </c>
      <c r="G52" t="inlineStr">
        <is>
          <t>ÄLVKARLEBY</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63365-2025</t>
        </is>
      </c>
      <c r="B53" t="inlineStr">
        <is>
          <t>avverkningsanmälan</t>
        </is>
      </c>
      <c r="C53" t="inlineStr">
        <is>
          <t>Föryngringsavverkning</t>
        </is>
      </c>
      <c r="D53" s="1" t="n">
        <v>46010</v>
      </c>
      <c r="E53" s="1" t="n">
        <v>46316</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61839-2025</t>
        </is>
      </c>
      <c r="B54" t="inlineStr">
        <is>
          <t>avverkningsanmälan</t>
        </is>
      </c>
      <c r="C54" t="inlineStr">
        <is>
          <t>Föryngringsavverkning</t>
        </is>
      </c>
      <c r="D54" s="1" t="n">
        <v>46003</v>
      </c>
      <c r="E54" s="1" t="n">
        <v>46316</v>
      </c>
      <c r="F54" t="inlineStr">
        <is>
          <t>UPPSALA LÄN</t>
        </is>
      </c>
      <c r="G54" t="inlineStr">
        <is>
          <t>ÄLVKARLEBY</t>
        </is>
      </c>
      <c r="H54" t="inlineStr">
        <is>
          <t>Bergvik skog väst AB</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46316</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9394-2026</t>
        </is>
      </c>
      <c r="B56" t="inlineStr">
        <is>
          <t>avverkningsanmälan</t>
        </is>
      </c>
      <c r="C56" t="inlineStr">
        <is>
          <t>Föryngringsavverkning</t>
        </is>
      </c>
      <c r="D56" s="1" t="n">
        <v>46071</v>
      </c>
      <c r="E56" s="1" t="n">
        <v>46316</v>
      </c>
      <c r="F56" t="inlineStr">
        <is>
          <t>UPPSALA LÄN</t>
        </is>
      </c>
      <c r="G56" t="inlineStr">
        <is>
          <t>ÄLVKARLEBY</t>
        </is>
      </c>
      <c r="H56" t="inlineStr">
        <is>
          <t>Bergvik skog väst AB</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11467-2026</t>
        </is>
      </c>
      <c r="B57" t="inlineStr">
        <is>
          <t>avverkningsanmälan</t>
        </is>
      </c>
      <c r="C57" t="inlineStr">
        <is>
          <t>Föryngringsavverkning</t>
        </is>
      </c>
      <c r="D57" s="1" t="n">
        <v>46083</v>
      </c>
      <c r="E57" s="1" t="n">
        <v>46316</v>
      </c>
      <c r="F57" t="inlineStr">
        <is>
          <t>UPPSALA LÄN</t>
        </is>
      </c>
      <c r="G57" t="inlineStr">
        <is>
          <t>ÄLVKARLEBY</t>
        </is>
      </c>
      <c r="H57" t="inlineStr">
        <is>
          <t>Bergvik skog väst AB</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46316</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46316</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11848-2026</t>
        </is>
      </c>
      <c r="B60" t="inlineStr">
        <is>
          <t>avverkningsanmälan</t>
        </is>
      </c>
      <c r="C60" t="inlineStr">
        <is>
          <t>Föryngringsavverkning</t>
        </is>
      </c>
      <c r="D60" s="1" t="n">
        <v>46085</v>
      </c>
      <c r="E60" s="1" t="n">
        <v>46316</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46316</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46316</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14091-2026</t>
        </is>
      </c>
      <c r="B63" t="inlineStr">
        <is>
          <t>avverkningsanmälan</t>
        </is>
      </c>
      <c r="C63" t="inlineStr">
        <is>
          <t>Föryngringsavverkning</t>
        </is>
      </c>
      <c r="D63" s="1" t="n">
        <v>46099</v>
      </c>
      <c r="E63" s="1" t="n">
        <v>46316</v>
      </c>
      <c r="F63" t="inlineStr">
        <is>
          <t>UPPSALA LÄN</t>
        </is>
      </c>
      <c r="G63" t="inlineStr">
        <is>
          <t>ÄLVKARLEBY</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46316</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46316</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46316</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9533-2025</t>
        </is>
      </c>
      <c r="B67" t="inlineStr">
        <is>
          <t>avverkningsanmälan</t>
        </is>
      </c>
      <c r="C67" t="inlineStr">
        <is>
          <t>Föryngringsavverkning</t>
        </is>
      </c>
      <c r="D67" s="1" t="n">
        <v>45715</v>
      </c>
      <c r="E67" s="1" t="n">
        <v>46316</v>
      </c>
      <c r="F67" t="inlineStr">
        <is>
          <t>UPPSALA LÄN</t>
        </is>
      </c>
      <c r="G67" t="inlineStr">
        <is>
          <t>ÄLVKARLEBY</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2184-2024</t>
        </is>
      </c>
      <c r="B68" t="inlineStr">
        <is>
          <t>avverkningsanmälan</t>
        </is>
      </c>
      <c r="C68" t="inlineStr">
        <is>
          <t>Föryngringsavverkning</t>
        </is>
      </c>
      <c r="D68" s="1" t="n">
        <v>45309</v>
      </c>
      <c r="E68" s="1" t="n">
        <v>46316</v>
      </c>
      <c r="F68" t="inlineStr">
        <is>
          <t>UPPSALA LÄN</t>
        </is>
      </c>
      <c r="G68" t="inlineStr">
        <is>
          <t>ÄLVKARLEBY</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32187-2025</t>
        </is>
      </c>
      <c r="B69" t="inlineStr">
        <is>
          <t>avverkningsanmälan</t>
        </is>
      </c>
      <c r="C69" t="inlineStr">
        <is>
          <t>Föryngringsavverkning</t>
        </is>
      </c>
      <c r="D69" s="1" t="n">
        <v>45835</v>
      </c>
      <c r="E69" s="1" t="n">
        <v>46316</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17851-2026</t>
        </is>
      </c>
      <c r="B70" t="inlineStr">
        <is>
          <t>avverkningsanmälan</t>
        </is>
      </c>
      <c r="C70" t="inlineStr">
        <is>
          <t>Föryngringsavverkning</t>
        </is>
      </c>
      <c r="D70" s="1" t="n">
        <v>46122</v>
      </c>
      <c r="E70" s="1" t="n">
        <v>46316</v>
      </c>
      <c r="F70" t="inlineStr">
        <is>
          <t>UPPSALA LÄN</t>
        </is>
      </c>
      <c r="G70" t="inlineStr">
        <is>
          <t>ÄLVKARLEBY</t>
        </is>
      </c>
      <c r="H70" t="inlineStr">
        <is>
          <t>Bergvik skog öst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56861-2025</t>
        </is>
      </c>
      <c r="B71" t="inlineStr">
        <is>
          <t>avverkningsanmälan</t>
        </is>
      </c>
      <c r="C71" t="inlineStr">
        <is>
          <t>Avverkning för att bevara och utveckla /försöksver</t>
        </is>
      </c>
      <c r="D71" s="1" t="n">
        <v>45978</v>
      </c>
      <c r="E71" s="1" t="n">
        <v>46316</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46316</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46316</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46316</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28670-2025</t>
        </is>
      </c>
      <c r="B75" t="inlineStr">
        <is>
          <t>avverkningsanmälan</t>
        </is>
      </c>
      <c r="C75" t="inlineStr">
        <is>
          <t>Föryngringsavverkning</t>
        </is>
      </c>
      <c r="D75" s="1" t="n">
        <v>45819</v>
      </c>
      <c r="E75" s="1" t="n">
        <v>46316</v>
      </c>
      <c r="F75" t="inlineStr">
        <is>
          <t>UPPSALA LÄN</t>
        </is>
      </c>
      <c r="G75" t="inlineStr">
        <is>
          <t>ÄLVKARLEBY</t>
        </is>
      </c>
      <c r="H75" t="inlineStr">
        <is>
          <t>Bergvik skog väst AB</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14590-2023</t>
        </is>
      </c>
      <c r="B76" t="inlineStr">
        <is>
          <t>avverkningsanmälan</t>
        </is>
      </c>
      <c r="C76" t="inlineStr">
        <is>
          <t>Föryngringsavverkning</t>
        </is>
      </c>
      <c r="D76" s="1" t="n">
        <v>45013</v>
      </c>
      <c r="E76" s="1" t="n">
        <v>46316</v>
      </c>
      <c r="F76" t="inlineStr">
        <is>
          <t>UPPSALA LÄN</t>
        </is>
      </c>
      <c r="G76" t="inlineStr">
        <is>
          <t>ÄLVKARLEBY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36216-2022</t>
        </is>
      </c>
      <c r="B77" t="inlineStr">
        <is>
          <t>avverkningsanmälan</t>
        </is>
      </c>
      <c r="C77" t="inlineStr">
        <is>
          <t>Avverkning för annat ändamål</t>
        </is>
      </c>
      <c r="D77" s="1" t="n">
        <v>44803</v>
      </c>
      <c r="E77" s="1" t="n">
        <v>46316</v>
      </c>
      <c r="F77" t="inlineStr">
        <is>
          <t>UPPSALA LÄN</t>
        </is>
      </c>
      <c r="G77" t="inlineStr">
        <is>
          <t>ÄLVKARLEBY</t>
        </is>
      </c>
      <c r="H77" t="inlineStr">
        <is>
          <t>Bergvik skog väst AB</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16990-2022</t>
        </is>
      </c>
      <c r="B78" t="inlineStr">
        <is>
          <t>avverkningsanmälan</t>
        </is>
      </c>
      <c r="C78" t="inlineStr">
        <is>
          <t>Föryngringsavverkning</t>
        </is>
      </c>
      <c r="D78" s="1" t="n">
        <v>44676</v>
      </c>
      <c r="E78" s="1" t="n">
        <v>46316</v>
      </c>
      <c r="F78" t="inlineStr">
        <is>
          <t>UPPSALA LÄN</t>
        </is>
      </c>
      <c r="G78" t="inlineStr">
        <is>
          <t>ÄLVKARLEBY</t>
        </is>
      </c>
      <c r="H78" t="inlineStr">
        <is>
          <t>Bergvik skog väst AB</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30234-2026</t>
        </is>
      </c>
      <c r="B79" t="inlineStr">
        <is>
          <t>avverkningsanmälan</t>
        </is>
      </c>
      <c r="C79" t="inlineStr">
        <is>
          <t>Föryngringsavverkning</t>
        </is>
      </c>
      <c r="D79" s="1" t="n">
        <v>46206</v>
      </c>
      <c r="E79" s="1" t="n">
        <v>46316</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38226-2023</t>
        </is>
      </c>
      <c r="B80" t="inlineStr">
        <is>
          <t>avverkningsanmälan</t>
        </is>
      </c>
      <c r="C80" t="inlineStr">
        <is>
          <t>Föryngringsavverkning</t>
        </is>
      </c>
      <c r="D80" s="1" t="n">
        <v>45161</v>
      </c>
      <c r="E80" s="1" t="n">
        <v>46316</v>
      </c>
      <c r="F80" t="inlineStr">
        <is>
          <t>UPPSALA LÄN</t>
        </is>
      </c>
      <c r="G80" t="inlineStr">
        <is>
          <t>ÄLVKARLEBY</t>
        </is>
      </c>
      <c r="H80" t="inlineStr">
        <is>
          <t>Bergvik skog väst AB</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45372-2024</t>
        </is>
      </c>
      <c r="B81" t="inlineStr">
        <is>
          <t>avverkningsanmälan</t>
        </is>
      </c>
      <c r="C81" t="inlineStr">
        <is>
          <t>Föryngringsavverkning</t>
        </is>
      </c>
      <c r="D81" s="1" t="n">
        <v>45576</v>
      </c>
      <c r="E81" s="1" t="n">
        <v>46316</v>
      </c>
      <c r="F81" t="inlineStr">
        <is>
          <t>UPPSALA LÄN</t>
        </is>
      </c>
      <c r="G81" t="inlineStr">
        <is>
          <t>ÄLVKARLEBY</t>
        </is>
      </c>
      <c r="H81" t="inlineStr">
        <is>
          <t>Bergvik skog väst AB</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38636-2026</t>
        </is>
      </c>
      <c r="B82" t="inlineStr">
        <is>
          <t>avverkningsanmälan</t>
        </is>
      </c>
      <c r="C82" t="inlineStr">
        <is>
          <t>Föryngringsavverkning</t>
        </is>
      </c>
      <c r="D82" s="1" t="n">
        <v>46283</v>
      </c>
      <c r="E82" s="1" t="n">
        <v>46316</v>
      </c>
      <c r="F82" t="inlineStr">
        <is>
          <t>UPPSALA LÄN</t>
        </is>
      </c>
      <c r="G82" t="inlineStr">
        <is>
          <t>ÄLVKARLEBY</t>
        </is>
      </c>
      <c r="H82" t="inlineStr">
        <is>
          <t>Bergvik skog väst AB</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41929-2024</t>
        </is>
      </c>
      <c r="B83" t="inlineStr">
        <is>
          <t>avverkningsanmälan</t>
        </is>
      </c>
      <c r="C83" t="inlineStr">
        <is>
          <t>Föryngringsavverkning</t>
        </is>
      </c>
      <c r="D83" s="1" t="n">
        <v>45561</v>
      </c>
      <c r="E83" s="1" t="n">
        <v>46316</v>
      </c>
      <c r="F83" t="inlineStr">
        <is>
          <t>UPPSALA LÄN</t>
        </is>
      </c>
      <c r="G83" t="inlineStr">
        <is>
          <t>ÄLVKARLEBY</t>
        </is>
      </c>
      <c r="H83" t="inlineStr">
        <is>
          <t>Bergvik skog väst AB</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40057-2026</t>
        </is>
      </c>
      <c r="B84" t="inlineStr">
        <is>
          <t>avverkningsanmälan</t>
        </is>
      </c>
      <c r="C84" t="inlineStr">
        <is>
          <t>Föryngringsavverkning</t>
        </is>
      </c>
      <c r="D84" s="1" t="n">
        <v>46293</v>
      </c>
      <c r="E84" s="1" t="n">
        <v>46316</v>
      </c>
      <c r="F84" t="inlineStr">
        <is>
          <t>UPPSALA LÄN</t>
        </is>
      </c>
      <c r="G84" t="inlineStr">
        <is>
          <t>ÄLVKARLEBY</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26815-2022</t>
        </is>
      </c>
      <c r="B85" t="inlineStr">
        <is>
          <t>avverkningsanmälan</t>
        </is>
      </c>
      <c r="C85" t="inlineStr">
        <is>
          <t>Föryngringsavverkning</t>
        </is>
      </c>
      <c r="D85" s="1" t="n">
        <v>44740</v>
      </c>
      <c r="E85" s="1" t="n">
        <v>46316</v>
      </c>
      <c r="F85" t="inlineStr">
        <is>
          <t>UPPSALA LÄN</t>
        </is>
      </c>
      <c r="G85" t="inlineStr">
        <is>
          <t>ÄLVKARLEBY</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38617-2026</t>
        </is>
      </c>
      <c r="B86" t="inlineStr">
        <is>
          <t>avverkningsanmälan</t>
        </is>
      </c>
      <c r="C86" t="inlineStr">
        <is>
          <t>Föryngringsavverkning</t>
        </is>
      </c>
      <c r="D86" s="1" t="n">
        <v>46283</v>
      </c>
      <c r="E86" s="1" t="n">
        <v>46316</v>
      </c>
      <c r="F86" t="inlineStr">
        <is>
          <t>UPPSALA LÄN</t>
        </is>
      </c>
      <c r="G86" t="inlineStr">
        <is>
          <t>ÄLVKARLEBY</t>
        </is>
      </c>
      <c r="H86" t="inlineStr">
        <is>
          <t>Bergvik skog väst AB</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45033-2025</t>
        </is>
      </c>
      <c r="B87" t="inlineStr">
        <is>
          <t>avverkningsanmälan</t>
        </is>
      </c>
      <c r="C87" t="inlineStr">
        <is>
          <t>Föryngringsavverkning</t>
        </is>
      </c>
      <c r="D87" s="1" t="n">
        <v>45918</v>
      </c>
      <c r="E87" s="1" t="n">
        <v>46316</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46316</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46316</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46316</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4134-2026</t>
        </is>
      </c>
      <c r="B91" t="inlineStr">
        <is>
          <t>avverkningsanmälan</t>
        </is>
      </c>
      <c r="C91" t="inlineStr">
        <is>
          <t>Föryngringsavverkning</t>
        </is>
      </c>
      <c r="D91" s="1" t="n">
        <v>46044</v>
      </c>
      <c r="E91" s="1" t="n">
        <v>46316</v>
      </c>
      <c r="F91" t="inlineStr">
        <is>
          <t>UPPSALA LÄN</t>
        </is>
      </c>
      <c r="G91" t="inlineStr">
        <is>
          <t>ÄLVKARLEBY</t>
        </is>
      </c>
      <c r="H91" t="inlineStr">
        <is>
          <t>Bergvik skog öst AB</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41272-2023</t>
        </is>
      </c>
      <c r="B92" t="inlineStr">
        <is>
          <t>avverkningsanmälan</t>
        </is>
      </c>
      <c r="C92" t="inlineStr">
        <is>
          <t>Föryngringsavverkning</t>
        </is>
      </c>
      <c r="D92" s="1" t="n">
        <v>45174</v>
      </c>
      <c r="E92" s="1" t="n">
        <v>46316</v>
      </c>
      <c r="F92" t="inlineStr">
        <is>
          <t>UPPSALA LÄN</t>
        </is>
      </c>
      <c r="G92" t="inlineStr">
        <is>
          <t>ÄLVKARLEBY</t>
        </is>
      </c>
      <c r="H92" t="inlineStr">
        <is>
          <t>Bergvik skog väst AB</t>
        </is>
      </c>
      <c r="I92" t="n">
        <v>0.9</v>
      </c>
      <c r="J92" t="n">
        <v>0</v>
      </c>
      <c r="K92" t="n">
        <v>0</v>
      </c>
      <c r="L92" t="n">
        <v>0</v>
      </c>
      <c r="M92" t="n">
        <v>0</v>
      </c>
      <c r="N92" t="n">
        <v>0</v>
      </c>
      <c r="O92" t="n">
        <v>0</v>
      </c>
      <c r="P92" t="n">
        <v>0</v>
      </c>
      <c r="Q92" t="n">
        <v>0</v>
      </c>
      <c r="R92" t="n">
        <v>0</v>
      </c>
      <c r="S92" t="n">
        <v>0</v>
      </c>
      <c r="T92" t="n">
        <v>0</v>
      </c>
      <c r="U92" t="n">
        <v>0</v>
      </c>
      <c r="V92" s="2" t="inlineStr"/>
    </row>
    <row r="93">
      <c r="A93" t="inlineStr">
        <is>
          <t>A 41276-2023</t>
        </is>
      </c>
      <c r="B93" t="inlineStr">
        <is>
          <t>avverkningsanmälan</t>
        </is>
      </c>
      <c r="C93" t="inlineStr">
        <is>
          <t>Föryngringsavverkning</t>
        </is>
      </c>
      <c r="D93" s="1" t="n">
        <v>45174</v>
      </c>
      <c r="E93" s="1" t="n">
        <v>46316</v>
      </c>
      <c r="F93" t="inlineStr">
        <is>
          <t>UPPSALA LÄN</t>
        </is>
      </c>
      <c r="G93" t="inlineStr">
        <is>
          <t>ÄLVKARLEBY</t>
        </is>
      </c>
      <c r="H93" t="inlineStr">
        <is>
          <t>Bergvik skog väst AB</t>
        </is>
      </c>
      <c r="I93" t="n">
        <v>0.3</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2026-10-21T02:02:39Z</dcterms:created>
  <dcterms:modified xmlns:dcterms="http://purl.org/dc/terms/" xmlns:xsi="http://www.w3.org/2001/XMLSchema-instance" xsi:type="dcterms:W3CDTF">2026-10-21T02:02:39Z</dcterms:modified>
</cp:coreProperties>
</file>