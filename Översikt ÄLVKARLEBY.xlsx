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46275</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46275</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46275</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46275</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46275</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46275</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46275</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46275</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46275</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46275</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46275</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46275</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46275</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46275</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46275</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46275</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46275</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46275</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46275</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46275</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46275</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46275</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46275</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46275</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7286-2023</t>
        </is>
      </c>
      <c r="B29" t="inlineStr">
        <is>
          <t>avverkningsanmälan</t>
        </is>
      </c>
      <c r="C29" t="inlineStr">
        <is>
          <t>Avverkning för annat ändamål</t>
        </is>
      </c>
      <c r="D29" s="1" t="n">
        <v>44970</v>
      </c>
      <c r="E29" s="1" t="n">
        <v>46275</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t="n">
        <v>0</v>
      </c>
      <c r="V29" s="2" t="inlineStr">
        <is>
          <t>Grönpyrola</t>
        </is>
      </c>
      <c r="W29">
        <f>HYPERLINK("https://klasma.github.io/Logging_0319/artfynd/A 7286-2023 artfynd.xlsx", "A 7286-2023")</f>
        <v/>
      </c>
      <c r="X29">
        <f>HYPERLINK("https://klasma.github.io/Logging_0319/kartor/A 7286-2023 karta.png", "A 7286-2023")</f>
        <v/>
      </c>
      <c r="Y29">
        <f>HYPERLINK("https://klasma.github.io/Logging_0319/kartor_geotiff/A 7286-2023 georefererad karta.tif", "A 7286-2023")</f>
        <v/>
      </c>
      <c r="AA29">
        <f>HYPERLINK("https://klasma.github.io/Logging_0319/klagomål/A 7286-2023 FSC-klagomål.docx", "A 7286-2023")</f>
        <v/>
      </c>
      <c r="AB29">
        <f>HYPERLINK("https://klasma.github.io/Logging_0319/klagomålsmail/A 7286-2023 FSC-klagomål mail.docx", "A 7286-2023")</f>
        <v/>
      </c>
      <c r="AC29">
        <f>HYPERLINK("https://klasma.github.io/Logging_0319/tillsyn/A 7286-2023 tillsynsbegäran.docx", "A 7286-2023")</f>
        <v/>
      </c>
      <c r="AD29">
        <f>HYPERLINK("https://klasma.github.io/Logging_0319/tillsynsmail/A 7286-2023 tillsynsbegäran mail.docx", "A 7286-2023")</f>
        <v/>
      </c>
    </row>
    <row r="30" ht="15" customHeight="1">
      <c r="A30" t="inlineStr">
        <is>
          <t>A 19303-2024</t>
        </is>
      </c>
      <c r="B30" t="inlineStr">
        <is>
          <t>avverkningsanmälan</t>
        </is>
      </c>
      <c r="C30" t="inlineStr">
        <is>
          <t>Föryngringsavverkning</t>
        </is>
      </c>
      <c r="D30" s="1" t="n">
        <v>45428</v>
      </c>
      <c r="E30" s="1" t="n">
        <v>46275</v>
      </c>
      <c r="F30" t="inlineStr">
        <is>
          <t>UPPSALA LÄN</t>
        </is>
      </c>
      <c r="G30" t="inlineStr">
        <is>
          <t>ÄLVKARLEBY</t>
        </is>
      </c>
      <c r="I30" t="n">
        <v>0.4</v>
      </c>
      <c r="J30" t="n">
        <v>1</v>
      </c>
      <c r="K30" t="n">
        <v>0</v>
      </c>
      <c r="L30" t="n">
        <v>0</v>
      </c>
      <c r="M30" t="n">
        <v>1</v>
      </c>
      <c r="N30" t="n">
        <v>0</v>
      </c>
      <c r="O30" t="n">
        <v>0</v>
      </c>
      <c r="P30" t="n">
        <v>0</v>
      </c>
      <c r="Q30" t="n">
        <v>1</v>
      </c>
      <c r="R30" t="n">
        <v>1</v>
      </c>
      <c r="S30" t="n">
        <v>1</v>
      </c>
      <c r="T30" t="n">
        <v>1</v>
      </c>
      <c r="U30" t="n">
        <v>1</v>
      </c>
      <c r="V30" s="2" t="inlineStr">
        <is>
          <t>Gölgroda</t>
        </is>
      </c>
      <c r="W30">
        <f>HYPERLINK("https://klasma.github.io/Logging_0319/artfynd/A 19303-2024 artfynd.xlsx", "A 19303-2024")</f>
        <v/>
      </c>
      <c r="X30">
        <f>HYPERLINK("https://klasma.github.io/Logging_0319/kartor/A 19303-2024 karta.png", "A 19303-2024")</f>
        <v/>
      </c>
      <c r="Y30">
        <f>HYPERLINK("https://klasma.github.io/Logging_0319/kartor_geotiff/A 19303-2024 georefererad karta.tif", "A 19303-2024")</f>
        <v/>
      </c>
      <c r="AA30">
        <f>HYPERLINK("https://klasma.github.io/Logging_0319/klagomål/A 19303-2024 FSC-klagomål.docx", "A 19303-2024")</f>
        <v/>
      </c>
      <c r="AB30">
        <f>HYPERLINK("https://klasma.github.io/Logging_0319/klagomålsmail/A 19303-2024 FSC-klagomål mail.docx", "A 19303-2024")</f>
        <v/>
      </c>
      <c r="AC30">
        <f>HYPERLINK("https://klasma.github.io/Logging_0319/tillsyn/A 19303-2024 tillsynsbegäran.docx", "A 19303-2024")</f>
        <v/>
      </c>
      <c r="AD30">
        <f>HYPERLINK("https://klasma.github.io/Logging_0319/tillsynsmail/A 19303-2024 tillsynsbegäran mail.docx", "A 19303-2024")</f>
        <v/>
      </c>
    </row>
    <row r="31" ht="15" customHeight="1">
      <c r="A31" t="inlineStr">
        <is>
          <t>A 10455-2022</t>
        </is>
      </c>
      <c r="B31" t="inlineStr">
        <is>
          <t>avverkningsanmälan</t>
        </is>
      </c>
      <c r="C31" t="inlineStr">
        <is>
          <t>Föryngringsavverkning</t>
        </is>
      </c>
      <c r="D31" s="1" t="n">
        <v>44623</v>
      </c>
      <c r="E31" s="1" t="n">
        <v>46275</v>
      </c>
      <c r="F31" t="inlineStr">
        <is>
          <t>UPPSALA LÄN</t>
        </is>
      </c>
      <c r="G31" t="inlineStr">
        <is>
          <t>ÄLVKARLEBY</t>
        </is>
      </c>
      <c r="H31" t="inlineStr">
        <is>
          <t>Bergvik skog öst AB</t>
        </is>
      </c>
      <c r="I31" t="n">
        <v>1.1</v>
      </c>
      <c r="J31" t="n">
        <v>0</v>
      </c>
      <c r="K31" t="n">
        <v>0</v>
      </c>
      <c r="L31" t="n">
        <v>1</v>
      </c>
      <c r="M31" t="n">
        <v>0</v>
      </c>
      <c r="N31" t="n">
        <v>0</v>
      </c>
      <c r="O31" t="n">
        <v>0</v>
      </c>
      <c r="P31" t="n">
        <v>0</v>
      </c>
      <c r="Q31" t="n">
        <v>1</v>
      </c>
      <c r="R31" t="n">
        <v>0</v>
      </c>
      <c r="S31" t="n">
        <v>1</v>
      </c>
      <c r="T31" t="n">
        <v>4</v>
      </c>
      <c r="U31" t="n">
        <v>1</v>
      </c>
      <c r="V31" s="2" t="inlineStr">
        <is>
          <t>Sandviol</t>
        </is>
      </c>
      <c r="W31">
        <f>HYPERLINK("https://klasma.github.io/Logging_0319/artfynd/A 10455-2022 artfynd.xlsx", "A 10455-2022")</f>
        <v/>
      </c>
      <c r="X31">
        <f>HYPERLINK("https://klasma.github.io/Logging_0319/kartor/A 10455-2022 karta.png", "A 10455-2022")</f>
        <v/>
      </c>
      <c r="Y31">
        <f>HYPERLINK("https://klasma.github.io/Logging_0319/kartor_geotiff/A 10455-2022 georefererad karta.tif", "A 10455-2022")</f>
        <v/>
      </c>
      <c r="AA31">
        <f>HYPERLINK("https://klasma.github.io/Logging_0319/klagomål/A 10455-2022 FSC-klagomål.docx", "A 10455-2022")</f>
        <v/>
      </c>
      <c r="AB31">
        <f>HYPERLINK("https://klasma.github.io/Logging_0319/klagomålsmail/A 10455-2022 FSC-klagomål mail.docx", "A 10455-2022")</f>
        <v/>
      </c>
      <c r="AC31">
        <f>HYPERLINK("https://klasma.github.io/Logging_0319/tillsyn/A 10455-2022 tillsynsbegäran.docx", "A 10455-2022")</f>
        <v/>
      </c>
      <c r="AD31">
        <f>HYPERLINK("https://klasma.github.io/Logging_0319/tillsynsmail/A 10455-2022 tillsynsbegäran mail.docx", "A 10455-2022")</f>
        <v/>
      </c>
    </row>
    <row r="32" ht="15" customHeight="1">
      <c r="A32" t="inlineStr">
        <is>
          <t>A 70017-2021</t>
        </is>
      </c>
      <c r="B32" t="inlineStr">
        <is>
          <t>avverkningsanmälan</t>
        </is>
      </c>
      <c r="C32" t="inlineStr">
        <is>
          <t>Föryngringsavverkning</t>
        </is>
      </c>
      <c r="D32" s="1" t="n">
        <v>44533</v>
      </c>
      <c r="E32" s="1" t="n">
        <v>46275</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19300-2024</t>
        </is>
      </c>
      <c r="B33" t="inlineStr">
        <is>
          <t>avverkningsanmälan</t>
        </is>
      </c>
      <c r="C33" t="inlineStr">
        <is>
          <t>Föryngringsavverkning</t>
        </is>
      </c>
      <c r="D33" s="1" t="n">
        <v>45428</v>
      </c>
      <c r="E33" s="1" t="n">
        <v>46275</v>
      </c>
      <c r="F33" t="inlineStr">
        <is>
          <t>UPPSALA LÄN</t>
        </is>
      </c>
      <c r="G33" t="inlineStr">
        <is>
          <t>ÄLVKARLEBY</t>
        </is>
      </c>
      <c r="I33" t="n">
        <v>0.9</v>
      </c>
      <c r="J33" t="n">
        <v>1</v>
      </c>
      <c r="K33" t="n">
        <v>0</v>
      </c>
      <c r="L33" t="n">
        <v>1</v>
      </c>
      <c r="M33" t="n">
        <v>0</v>
      </c>
      <c r="N33" t="n">
        <v>0</v>
      </c>
      <c r="O33" t="n">
        <v>0</v>
      </c>
      <c r="P33" t="n">
        <v>0</v>
      </c>
      <c r="Q33" t="n">
        <v>1</v>
      </c>
      <c r="R33" t="n">
        <v>0</v>
      </c>
      <c r="S33" t="n">
        <v>1</v>
      </c>
      <c r="T33" t="n">
        <v>1</v>
      </c>
      <c r="U33" t="n">
        <v>1</v>
      </c>
      <c r="V33" s="2" t="inlineStr">
        <is>
          <t>Kricka</t>
        </is>
      </c>
      <c r="W33">
        <f>HYPERLINK("https://klasma.github.io/Logging_0319/artfynd/A 19300-2024 artfynd.xlsx", "A 19300-2024")</f>
        <v/>
      </c>
      <c r="X33">
        <f>HYPERLINK("https://klasma.github.io/Logging_0319/kartor/A 19300-2024 karta.png", "A 19300-2024")</f>
        <v/>
      </c>
      <c r="Y33">
        <f>HYPERLINK("https://klasma.github.io/Logging_0319/kartor_geotiff/A 19300-2024 georefererad karta.tif", "A 19300-2024")</f>
        <v/>
      </c>
      <c r="AA33">
        <f>HYPERLINK("https://klasma.github.io/Logging_0319/klagomål/A 19300-2024 FSC-klagomål.docx", "A 19300-2024")</f>
        <v/>
      </c>
      <c r="AB33">
        <f>HYPERLINK("https://klasma.github.io/Logging_0319/klagomålsmail/A 19300-2024 FSC-klagomål mail.docx", "A 19300-2024")</f>
        <v/>
      </c>
      <c r="AC33">
        <f>HYPERLINK("https://klasma.github.io/Logging_0319/tillsyn/A 19300-2024 tillsynsbegäran.docx", "A 19300-2024")</f>
        <v/>
      </c>
      <c r="AD33">
        <f>HYPERLINK("https://klasma.github.io/Logging_0319/tillsynsmail/A 19300-2024 tillsynsbegäran mail.docx", "A 19300-2024")</f>
        <v/>
      </c>
      <c r="AE33">
        <f>HYPERLINK("https://klasma.github.io/Logging_0319/fåglar/A 19300-2024 prioriterade fågelarter.docx", "A 19300-2024")</f>
        <v/>
      </c>
    </row>
    <row r="34" ht="15" customHeight="1">
      <c r="A34" t="inlineStr">
        <is>
          <t>A 43285-2023</t>
        </is>
      </c>
      <c r="B34" t="inlineStr">
        <is>
          <t>avverkningsanmälan</t>
        </is>
      </c>
      <c r="C34" t="inlineStr">
        <is>
          <t>Föryngringsavverkning</t>
        </is>
      </c>
      <c r="D34" s="1" t="n">
        <v>45183</v>
      </c>
      <c r="E34" s="1" t="n">
        <v>46275</v>
      </c>
      <c r="F34" t="inlineStr">
        <is>
          <t>UPPSALA LÄN</t>
        </is>
      </c>
      <c r="G34" t="inlineStr">
        <is>
          <t>ÄLVKARLEBY</t>
        </is>
      </c>
      <c r="H34" t="inlineStr">
        <is>
          <t>Bergvik skog väst AB</t>
        </is>
      </c>
      <c r="I34" t="n">
        <v>1.3</v>
      </c>
      <c r="J34" t="n">
        <v>1</v>
      </c>
      <c r="K34" t="n">
        <v>0</v>
      </c>
      <c r="L34" t="n">
        <v>0</v>
      </c>
      <c r="M34" t="n">
        <v>0</v>
      </c>
      <c r="N34" t="n">
        <v>0</v>
      </c>
      <c r="O34" t="n">
        <v>0</v>
      </c>
      <c r="P34" t="n">
        <v>0</v>
      </c>
      <c r="Q34" t="n">
        <v>0</v>
      </c>
      <c r="R34" t="n">
        <v>0</v>
      </c>
      <c r="S34" t="n">
        <v>1</v>
      </c>
      <c r="T34" t="n">
        <v>1</v>
      </c>
      <c r="U34" t="n">
        <v>0</v>
      </c>
      <c r="V34" s="2" t="inlineStr">
        <is>
          <t>Vanlig groda</t>
        </is>
      </c>
      <c r="W34">
        <f>HYPERLINK("https://klasma.github.io/Logging_0319/artfynd/A 43285-2023 artfynd.xlsx", "A 43285-2023")</f>
        <v/>
      </c>
      <c r="X34">
        <f>HYPERLINK("https://klasma.github.io/Logging_0319/kartor/A 43285-2023 karta.png", "A 43285-2023")</f>
        <v/>
      </c>
      <c r="Y34">
        <f>HYPERLINK("https://klasma.github.io/Logging_0319/kartor_geotiff/A 43285-2023 georefererad karta.tif", "A 43285-2023")</f>
        <v/>
      </c>
      <c r="AA34">
        <f>HYPERLINK("https://klasma.github.io/Logging_0319/klagomål/A 43285-2023 FSC-klagomål.docx", "A 43285-2023")</f>
        <v/>
      </c>
      <c r="AB34">
        <f>HYPERLINK("https://klasma.github.io/Logging_0319/klagomålsmail/A 43285-2023 FSC-klagomål mail.docx", "A 43285-2023")</f>
        <v/>
      </c>
      <c r="AC34">
        <f>HYPERLINK("https://klasma.github.io/Logging_0319/tillsyn/A 43285-2023 tillsynsbegäran.docx", "A 43285-2023")</f>
        <v/>
      </c>
      <c r="AD34">
        <f>HYPERLINK("https://klasma.github.io/Logging_0319/tillsynsmail/A 43285-2023 tillsynsbegäran mail.docx", "A 43285-2023")</f>
        <v/>
      </c>
    </row>
    <row r="35" ht="15" customHeight="1">
      <c r="A35" t="inlineStr">
        <is>
          <t>A 3950-2025</t>
        </is>
      </c>
      <c r="B35" t="inlineStr">
        <is>
          <t>avverkningsanmälan</t>
        </is>
      </c>
      <c r="C35" t="inlineStr">
        <is>
          <t>Avverkning för annat ändamål</t>
        </is>
      </c>
      <c r="D35" s="1" t="n">
        <v>45684</v>
      </c>
      <c r="E35" s="1" t="n">
        <v>46275</v>
      </c>
      <c r="F35" t="inlineStr">
        <is>
          <t>UPPSALA LÄN</t>
        </is>
      </c>
      <c r="G35" t="inlineStr">
        <is>
          <t>ÄLVKARLEBY</t>
        </is>
      </c>
      <c r="I35" t="n">
        <v>3.1</v>
      </c>
      <c r="J35" t="n">
        <v>0</v>
      </c>
      <c r="K35" t="n">
        <v>0</v>
      </c>
      <c r="L35" t="n">
        <v>1</v>
      </c>
      <c r="M35" t="n">
        <v>0</v>
      </c>
      <c r="N35" t="n">
        <v>0</v>
      </c>
      <c r="O35" t="n">
        <v>0</v>
      </c>
      <c r="P35" t="n">
        <v>0</v>
      </c>
      <c r="Q35" t="n">
        <v>1</v>
      </c>
      <c r="R35" t="n">
        <v>0</v>
      </c>
      <c r="S35" t="n">
        <v>1</v>
      </c>
      <c r="T35" t="n">
        <v>4</v>
      </c>
      <c r="U35" t="n">
        <v>0</v>
      </c>
      <c r="V35" s="2" t="inlineStr">
        <is>
          <t>Månlåsbräken</t>
        </is>
      </c>
      <c r="W35">
        <f>HYPERLINK("https://klasma.github.io/Logging_0319/artfynd/A 3950-2025 artfynd.xlsx", "A 3950-2025")</f>
        <v/>
      </c>
      <c r="X35">
        <f>HYPERLINK("https://klasma.github.io/Logging_0319/kartor/A 3950-2025 karta.png", "A 3950-2025")</f>
        <v/>
      </c>
      <c r="Y35">
        <f>HYPERLINK("https://klasma.github.io/Logging_0319/kartor_geotiff/A 3950-2025 georefererad karta.tif", "A 3950-2025")</f>
        <v/>
      </c>
      <c r="AA35">
        <f>HYPERLINK("https://klasma.github.io/Logging_0319/klagomål/A 3950-2025 FSC-klagomål.docx", "A 3950-2025")</f>
        <v/>
      </c>
      <c r="AB35">
        <f>HYPERLINK("https://klasma.github.io/Logging_0319/klagomålsmail/A 3950-2025 FSC-klagomål mail.docx", "A 3950-2025")</f>
        <v/>
      </c>
      <c r="AC35">
        <f>HYPERLINK("https://klasma.github.io/Logging_0319/tillsyn/A 3950-2025 tillsynsbegäran.docx", "A 3950-2025")</f>
        <v/>
      </c>
      <c r="AD35">
        <f>HYPERLINK("https://klasma.github.io/Logging_0319/tillsynsmail/A 3950-2025 tillsynsbegäran mail.docx", "A 3950-2025")</f>
        <v/>
      </c>
    </row>
    <row r="36" ht="15" customHeight="1">
      <c r="A36" t="inlineStr">
        <is>
          <t>A 19304-2024</t>
        </is>
      </c>
      <c r="B36" t="inlineStr">
        <is>
          <t>avverkningsanmälan</t>
        </is>
      </c>
      <c r="C36" t="inlineStr">
        <is>
          <t>Föryngringsavverkning</t>
        </is>
      </c>
      <c r="D36" s="1" t="n">
        <v>45428</v>
      </c>
      <c r="E36" s="1" t="n">
        <v>46275</v>
      </c>
      <c r="F36" t="inlineStr">
        <is>
          <t>UPPSALA LÄN</t>
        </is>
      </c>
      <c r="G36" t="inlineStr">
        <is>
          <t>ÄLVKARLEBY</t>
        </is>
      </c>
      <c r="I36" t="n">
        <v>0.2</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HYPERLINK("https://klasma.github.io/Logging_0319/artfynd/A 19304-2024 artfynd.xlsx", "A 19304-2024")</f>
        <v/>
      </c>
      <c r="X36">
        <f>HYPERLINK("https://klasma.github.io/Logging_0319/kartor/A 19304-2024 karta.png", "A 19304-2024")</f>
        <v/>
      </c>
      <c r="Y36">
        <f>HYPERLINK("https://klasma.github.io/Logging_0319/kartor_geotiff/A 19304-2024 georefererad karta.tif", "A 19304-2024")</f>
        <v/>
      </c>
      <c r="AA36">
        <f>HYPERLINK("https://klasma.github.io/Logging_0319/klagomål/A 19304-2024 FSC-klagomål.docx", "A 19304-2024")</f>
        <v/>
      </c>
      <c r="AB36">
        <f>HYPERLINK("https://klasma.github.io/Logging_0319/klagomålsmail/A 19304-2024 FSC-klagomål mail.docx", "A 19304-2024")</f>
        <v/>
      </c>
      <c r="AC36">
        <f>HYPERLINK("https://klasma.github.io/Logging_0319/tillsyn/A 19304-2024 tillsynsbegäran.docx", "A 19304-2024")</f>
        <v/>
      </c>
      <c r="AD36">
        <f>HYPERLINK("https://klasma.github.io/Logging_0319/tillsynsmail/A 19304-2024 tillsynsbegäran mail.docx", "A 19304-2024")</f>
        <v/>
      </c>
    </row>
    <row r="37" ht="15" customHeight="1">
      <c r="A37" t="inlineStr">
        <is>
          <t>A 51238-2025</t>
        </is>
      </c>
      <c r="B37" t="inlineStr">
        <is>
          <t>avverkningsanmälan</t>
        </is>
      </c>
      <c r="C37" t="inlineStr">
        <is>
          <t>Föryngringsavverkning</t>
        </is>
      </c>
      <c r="D37" s="1" t="n">
        <v>45947</v>
      </c>
      <c r="E37" s="1" t="n">
        <v>46275</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57734-2025</t>
        </is>
      </c>
      <c r="B38" t="inlineStr">
        <is>
          <t>avverkningsanmälan</t>
        </is>
      </c>
      <c r="C38" t="inlineStr">
        <is>
          <t>Föryngringsavverkning</t>
        </is>
      </c>
      <c r="D38" s="1" t="n">
        <v>45981</v>
      </c>
      <c r="E38" s="1" t="n">
        <v>46275</v>
      </c>
      <c r="F38" t="inlineStr">
        <is>
          <t>UPPSALA LÄN</t>
        </is>
      </c>
      <c r="G38" t="inlineStr">
        <is>
          <t>ÄLVKARLEBY</t>
        </is>
      </c>
      <c r="H38" t="inlineStr">
        <is>
          <t>Bergvik skog väst AB</t>
        </is>
      </c>
      <c r="I38" t="n">
        <v>1.3</v>
      </c>
      <c r="J38" t="n">
        <v>1</v>
      </c>
      <c r="K38" t="n">
        <v>0</v>
      </c>
      <c r="L38" t="n">
        <v>0</v>
      </c>
      <c r="M38" t="n">
        <v>1</v>
      </c>
      <c r="N38" t="n">
        <v>0</v>
      </c>
      <c r="O38" t="n">
        <v>0</v>
      </c>
      <c r="P38" t="n">
        <v>0</v>
      </c>
      <c r="Q38" t="n">
        <v>1</v>
      </c>
      <c r="R38" t="n">
        <v>1</v>
      </c>
      <c r="S38" t="n">
        <v>1</v>
      </c>
      <c r="T38" t="n">
        <v>1</v>
      </c>
      <c r="U38" t="n">
        <v>0</v>
      </c>
      <c r="V38" s="2" t="inlineStr">
        <is>
          <t>Gölgroda</t>
        </is>
      </c>
      <c r="W38">
        <f>HYPERLINK("https://klasma.github.io/Logging_0319/artfynd/A 57734-2025 artfynd.xlsx", "A 57734-2025")</f>
        <v/>
      </c>
      <c r="X38">
        <f>HYPERLINK("https://klasma.github.io/Logging_0319/kartor/A 57734-2025 karta.png", "A 57734-2025")</f>
        <v/>
      </c>
      <c r="Y38">
        <f>HYPERLINK("https://klasma.github.io/Logging_0319/kartor_geotiff/A 57734-2025 georefererad karta.tif", "A 57734-2025")</f>
        <v/>
      </c>
      <c r="AA38">
        <f>HYPERLINK("https://klasma.github.io/Logging_0319/klagomål/A 57734-2025 FSC-klagomål.docx", "A 57734-2025")</f>
        <v/>
      </c>
      <c r="AB38">
        <f>HYPERLINK("https://klasma.github.io/Logging_0319/klagomålsmail/A 57734-2025 FSC-klagomål mail.docx", "A 57734-2025")</f>
        <v/>
      </c>
      <c r="AC38">
        <f>HYPERLINK("https://klasma.github.io/Logging_0319/tillsyn/A 57734-2025 tillsynsbegäran.docx", "A 57734-2025")</f>
        <v/>
      </c>
      <c r="AD38">
        <f>HYPERLINK("https://klasma.github.io/Logging_0319/tillsynsmail/A 57734-2025 tillsynsbegäran mail.docx", "A 57734-2025")</f>
        <v/>
      </c>
    </row>
    <row r="39" ht="15" customHeight="1">
      <c r="A39" t="inlineStr">
        <is>
          <t>A 59993-2025</t>
        </is>
      </c>
      <c r="B39" t="inlineStr">
        <is>
          <t>avverkningsanmälan</t>
        </is>
      </c>
      <c r="C39" t="inlineStr">
        <is>
          <t>Avverkning för att bevara och utveckla /försöksver</t>
        </is>
      </c>
      <c r="D39" s="1" t="n">
        <v>45993</v>
      </c>
      <c r="E39" s="1" t="n">
        <v>46275</v>
      </c>
      <c r="F39" t="inlineStr">
        <is>
          <t>UPPSALA LÄN</t>
        </is>
      </c>
      <c r="G39" t="inlineStr">
        <is>
          <t>ÄLVKARLEBY</t>
        </is>
      </c>
      <c r="H39" t="inlineStr">
        <is>
          <t>Bergvik skog väst AB</t>
        </is>
      </c>
      <c r="I39" t="n">
        <v>18.6</v>
      </c>
      <c r="J39" t="n">
        <v>1</v>
      </c>
      <c r="K39" t="n">
        <v>1</v>
      </c>
      <c r="L39" t="n">
        <v>0</v>
      </c>
      <c r="M39" t="n">
        <v>0</v>
      </c>
      <c r="N39" t="n">
        <v>0</v>
      </c>
      <c r="O39" t="n">
        <v>0</v>
      </c>
      <c r="P39" t="n">
        <v>0</v>
      </c>
      <c r="Q39" t="n">
        <v>0</v>
      </c>
      <c r="R39" t="n">
        <v>0</v>
      </c>
      <c r="S39" t="n">
        <v>1</v>
      </c>
      <c r="T39" t="n">
        <v>11</v>
      </c>
      <c r="U39" t="n">
        <v>0</v>
      </c>
      <c r="V39" s="2" t="inlineStr">
        <is>
          <t>Skogsknipprot</t>
        </is>
      </c>
      <c r="W39">
        <f>HYPERLINK("https://klasma.github.io/Logging_0319/artfynd/A 59993-2025 artfynd.xlsx", "A 59993-2025")</f>
        <v/>
      </c>
      <c r="X39">
        <f>HYPERLINK("https://klasma.github.io/Logging_0319/kartor/A 59993-2025 karta.png", "A 59993-2025")</f>
        <v/>
      </c>
      <c r="Y39">
        <f>HYPERLINK("https://klasma.github.io/Logging_0319/kartor_geotiff/A 59993-2025 georefererad karta.tif", "A 59993-2025")</f>
        <v/>
      </c>
      <c r="AA39">
        <f>HYPERLINK("https://klasma.github.io/Logging_0319/klagomål/A 59993-2025 FSC-klagomål.docx", "A 59993-2025")</f>
        <v/>
      </c>
      <c r="AB39">
        <f>HYPERLINK("https://klasma.github.io/Logging_0319/klagomålsmail/A 59993-2025 FSC-klagomål mail.docx", "A 59993-2025")</f>
        <v/>
      </c>
      <c r="AC39">
        <f>HYPERLINK("https://klasma.github.io/Logging_0319/tillsyn/A 59993-2025 tillsynsbegäran.docx", "A 59993-2025")</f>
        <v/>
      </c>
      <c r="AD39">
        <f>HYPERLINK("https://klasma.github.io/Logging_0319/tillsynsmail/A 59993-2025 tillsynsbegäran mail.docx", "A 59993-2025")</f>
        <v/>
      </c>
    </row>
    <row r="40" ht="15" customHeight="1">
      <c r="A40" t="inlineStr">
        <is>
          <t>A 60829-2025</t>
        </is>
      </c>
      <c r="B40" t="inlineStr">
        <is>
          <t>avverkningsanmälan</t>
        </is>
      </c>
      <c r="C40" t="inlineStr">
        <is>
          <t>Avverkning för att bevara och utveckla /försöksver</t>
        </is>
      </c>
      <c r="D40" s="1" t="n">
        <v>45999</v>
      </c>
      <c r="E40" s="1" t="n">
        <v>46275</v>
      </c>
      <c r="F40" t="inlineStr">
        <is>
          <t>UPPSALA LÄN</t>
        </is>
      </c>
      <c r="G40" t="inlineStr">
        <is>
          <t>ÄLVKARLEBY</t>
        </is>
      </c>
      <c r="H40" t="inlineStr">
        <is>
          <t>Bergvik skog väst AB</t>
        </is>
      </c>
      <c r="I40" t="n">
        <v>5.5</v>
      </c>
      <c r="J40" t="n">
        <v>1</v>
      </c>
      <c r="K40" t="n">
        <v>0</v>
      </c>
      <c r="L40" t="n">
        <v>1</v>
      </c>
      <c r="M40" t="n">
        <v>0</v>
      </c>
      <c r="N40" t="n">
        <v>0</v>
      </c>
      <c r="O40" t="n">
        <v>0</v>
      </c>
      <c r="P40" t="n">
        <v>0</v>
      </c>
      <c r="Q40" t="n">
        <v>1</v>
      </c>
      <c r="R40" t="n">
        <v>0</v>
      </c>
      <c r="S40" t="n">
        <v>1</v>
      </c>
      <c r="T40" t="n">
        <v>1</v>
      </c>
      <c r="U40" t="n">
        <v>0</v>
      </c>
      <c r="V40" s="2" t="inlineStr">
        <is>
          <t>Sparvuggla</t>
        </is>
      </c>
      <c r="W40">
        <f>HYPERLINK("https://klasma.github.io/Logging_0319/artfynd/A 60829-2025 artfynd.xlsx", "A 60829-2025")</f>
        <v/>
      </c>
      <c r="X40">
        <f>HYPERLINK("https://klasma.github.io/Logging_0319/kartor/A 60829-2025 karta.png", "A 60829-2025")</f>
        <v/>
      </c>
      <c r="Y40">
        <f>HYPERLINK("https://klasma.github.io/Logging_0319/kartor_geotiff/A 60829-2025 georefererad karta.tif", "A 60829-2025")</f>
        <v/>
      </c>
      <c r="AA40">
        <f>HYPERLINK("https://klasma.github.io/Logging_0319/klagomål/A 60829-2025 FSC-klagomål.docx", "A 60829-2025")</f>
        <v/>
      </c>
      <c r="AB40">
        <f>HYPERLINK("https://klasma.github.io/Logging_0319/klagomålsmail/A 60829-2025 FSC-klagomål mail.docx", "A 60829-2025")</f>
        <v/>
      </c>
      <c r="AC40">
        <f>HYPERLINK("https://klasma.github.io/Logging_0319/tillsyn/A 60829-2025 tillsynsbegäran.docx", "A 60829-2025")</f>
        <v/>
      </c>
      <c r="AD40">
        <f>HYPERLINK("https://klasma.github.io/Logging_0319/tillsynsmail/A 60829-2025 tillsynsbegäran mail.docx", "A 60829-2025")</f>
        <v/>
      </c>
      <c r="AE40">
        <f>HYPERLINK("https://klasma.github.io/Logging_0319/fåglar/A 60829-2025 prioriterade fågelarter.docx", "A 60829-2025")</f>
        <v/>
      </c>
    </row>
    <row r="41" ht="15" customHeight="1">
      <c r="A41" t="inlineStr">
        <is>
          <t>A 63004-2025</t>
        </is>
      </c>
      <c r="B41" t="inlineStr">
        <is>
          <t>avverkningsanmälan</t>
        </is>
      </c>
      <c r="C41" t="inlineStr">
        <is>
          <t>Föryngringsavverkning</t>
        </is>
      </c>
      <c r="D41" s="1" t="n">
        <v>46009</v>
      </c>
      <c r="E41" s="1" t="n">
        <v>46275</v>
      </c>
      <c r="F41" t="inlineStr">
        <is>
          <t>UPPSALA LÄN</t>
        </is>
      </c>
      <c r="G41" t="inlineStr">
        <is>
          <t>ÄLVKARLEBY</t>
        </is>
      </c>
      <c r="H41" t="inlineStr">
        <is>
          <t>Bergvik skog väst AB</t>
        </is>
      </c>
      <c r="I41" t="n">
        <v>2.2</v>
      </c>
      <c r="J41" t="n">
        <v>1</v>
      </c>
      <c r="K41" t="n">
        <v>1</v>
      </c>
      <c r="L41" t="n">
        <v>0</v>
      </c>
      <c r="M41" t="n">
        <v>0</v>
      </c>
      <c r="N41" t="n">
        <v>0</v>
      </c>
      <c r="O41" t="n">
        <v>0</v>
      </c>
      <c r="P41" t="n">
        <v>0</v>
      </c>
      <c r="Q41" t="n">
        <v>0</v>
      </c>
      <c r="R41" t="n">
        <v>0</v>
      </c>
      <c r="S41" t="n">
        <v>1</v>
      </c>
      <c r="T41" t="n">
        <v>4</v>
      </c>
      <c r="U41" t="n">
        <v>0</v>
      </c>
      <c r="V41" s="2" t="inlineStr">
        <is>
          <t>Skogsknipprot</t>
        </is>
      </c>
      <c r="W41">
        <f>HYPERLINK("https://klasma.github.io/Logging_0319/artfynd/A 63004-2025 artfynd.xlsx", "A 63004-2025")</f>
        <v/>
      </c>
      <c r="X41">
        <f>HYPERLINK("https://klasma.github.io/Logging_0319/kartor/A 63004-2025 karta.png", "A 63004-2025")</f>
        <v/>
      </c>
      <c r="Y41">
        <f>HYPERLINK("https://klasma.github.io/Logging_0319/kartor_geotiff/A 63004-2025 georefererad karta.tif", "A 63004-2025")</f>
        <v/>
      </c>
      <c r="AA41">
        <f>HYPERLINK("https://klasma.github.io/Logging_0319/klagomål/A 63004-2025 FSC-klagomål.docx", "A 63004-2025")</f>
        <v/>
      </c>
      <c r="AB41">
        <f>HYPERLINK("https://klasma.github.io/Logging_0319/klagomålsmail/A 63004-2025 FSC-klagomål mail.docx", "A 63004-2025")</f>
        <v/>
      </c>
      <c r="AC41">
        <f>HYPERLINK("https://klasma.github.io/Logging_0319/tillsyn/A 63004-2025 tillsynsbegäran.docx", "A 63004-2025")</f>
        <v/>
      </c>
      <c r="AD41">
        <f>HYPERLINK("https://klasma.github.io/Logging_0319/tillsynsmail/A 63004-2025 tillsynsbegäran mail.docx", "A 63004-2025")</f>
        <v/>
      </c>
    </row>
    <row r="42" ht="15" customHeight="1">
      <c r="A42" t="inlineStr">
        <is>
          <t>A 1673-2026</t>
        </is>
      </c>
      <c r="B42" t="inlineStr">
        <is>
          <t>avverkningsanmälan</t>
        </is>
      </c>
      <c r="C42" t="inlineStr">
        <is>
          <t>Föryngringsavverkning</t>
        </is>
      </c>
      <c r="D42" s="1" t="n">
        <v>46034</v>
      </c>
      <c r="E42" s="1" t="n">
        <v>46275</v>
      </c>
      <c r="F42" t="inlineStr">
        <is>
          <t>UPPSALA LÄN</t>
        </is>
      </c>
      <c r="G42" t="inlineStr">
        <is>
          <t>ÄLVKARLEBY</t>
        </is>
      </c>
      <c r="H42" t="inlineStr">
        <is>
          <t>Bergvik skog väst AB</t>
        </is>
      </c>
      <c r="I42" t="n">
        <v>1.9</v>
      </c>
      <c r="J42" t="n">
        <v>0</v>
      </c>
      <c r="K42" t="n">
        <v>1</v>
      </c>
      <c r="L42" t="n">
        <v>0</v>
      </c>
      <c r="M42" t="n">
        <v>0</v>
      </c>
      <c r="N42" t="n">
        <v>0</v>
      </c>
      <c r="O42" t="n">
        <v>0</v>
      </c>
      <c r="P42" t="n">
        <v>0</v>
      </c>
      <c r="Q42" t="n">
        <v>0</v>
      </c>
      <c r="R42" t="n">
        <v>0</v>
      </c>
      <c r="S42" t="n">
        <v>1</v>
      </c>
      <c r="T42" t="n">
        <v>1</v>
      </c>
      <c r="U42" t="n">
        <v>0</v>
      </c>
      <c r="V42" s="2" t="inlineStr">
        <is>
          <t>Tibast</t>
        </is>
      </c>
      <c r="W42">
        <f>HYPERLINK("https://klasma.github.io/Logging_0319/artfynd/A 1673-2026 artfynd.xlsx", "A 1673-2026")</f>
        <v/>
      </c>
      <c r="X42">
        <f>HYPERLINK("https://klasma.github.io/Logging_0319/kartor/A 1673-2026 karta.png", "A 1673-2026")</f>
        <v/>
      </c>
      <c r="Y42">
        <f>HYPERLINK("https://klasma.github.io/Logging_0319/kartor_geotiff/A 1673-2026 georefererad karta.tif", "A 1673-2026")</f>
        <v/>
      </c>
      <c r="AA42">
        <f>HYPERLINK("https://klasma.github.io/Logging_0319/klagomål/A 1673-2026 FSC-klagomål.docx", "A 1673-2026")</f>
        <v/>
      </c>
      <c r="AB42">
        <f>HYPERLINK("https://klasma.github.io/Logging_0319/klagomålsmail/A 1673-2026 FSC-klagomål mail.docx", "A 1673-2026")</f>
        <v/>
      </c>
      <c r="AC42">
        <f>HYPERLINK("https://klasma.github.io/Logging_0319/tillsyn/A 1673-2026 tillsynsbegäran.docx", "A 1673-2026")</f>
        <v/>
      </c>
      <c r="AD42">
        <f>HYPERLINK("https://klasma.github.io/Logging_0319/tillsynsmail/A 1673-2026 tillsynsbegäran mail.docx", "A 1673-2026")</f>
        <v/>
      </c>
    </row>
    <row r="43" ht="15" customHeight="1">
      <c r="A43" t="inlineStr">
        <is>
          <t>A 4131-2026</t>
        </is>
      </c>
      <c r="B43" t="inlineStr">
        <is>
          <t>avverkningsanmälan</t>
        </is>
      </c>
      <c r="C43" t="inlineStr">
        <is>
          <t>Föryngringsavverkning</t>
        </is>
      </c>
      <c r="D43" s="1" t="n">
        <v>46044</v>
      </c>
      <c r="E43" s="1" t="n">
        <v>46275</v>
      </c>
      <c r="F43" t="inlineStr">
        <is>
          <t>UPPSALA LÄN</t>
        </is>
      </c>
      <c r="G43" t="inlineStr">
        <is>
          <t>ÄLVKARLEBY</t>
        </is>
      </c>
      <c r="H43" t="inlineStr">
        <is>
          <t>Bergvik skog öst AB</t>
        </is>
      </c>
      <c r="I43" t="n">
        <v>2.4</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4131-2026 artfynd.xlsx", "A 4131-2026")</f>
        <v/>
      </c>
      <c r="X43">
        <f>HYPERLINK("https://klasma.github.io/Logging_0319/kartor/A 4131-2026 karta.png", "A 4131-2026")</f>
        <v/>
      </c>
      <c r="Y43">
        <f>HYPERLINK("https://klasma.github.io/Logging_0319/kartor_geotiff/A 4131-2026 georefererad karta.tif", "A 4131-2026")</f>
        <v/>
      </c>
      <c r="AA43">
        <f>HYPERLINK("https://klasma.github.io/Logging_0319/klagomål/A 4131-2026 FSC-klagomål.docx", "A 4131-2026")</f>
        <v/>
      </c>
      <c r="AB43">
        <f>HYPERLINK("https://klasma.github.io/Logging_0319/klagomålsmail/A 4131-2026 FSC-klagomål mail.docx", "A 4131-2026")</f>
        <v/>
      </c>
      <c r="AC43">
        <f>HYPERLINK("https://klasma.github.io/Logging_0319/tillsyn/A 4131-2026 tillsynsbegäran.docx", "A 4131-2026")</f>
        <v/>
      </c>
      <c r="AD43">
        <f>HYPERLINK("https://klasma.github.io/Logging_0319/tillsynsmail/A 4131-2026 tillsynsbegäran mail.docx", "A 4131-2026")</f>
        <v/>
      </c>
    </row>
    <row r="44" ht="15" customHeight="1">
      <c r="A44" t="inlineStr">
        <is>
          <t>A 14127-2026</t>
        </is>
      </c>
      <c r="B44" t="inlineStr">
        <is>
          <t>avverkningsanmälan</t>
        </is>
      </c>
      <c r="C44" t="inlineStr">
        <is>
          <t>Föryngringsavverkning</t>
        </is>
      </c>
      <c r="D44" s="1" t="n">
        <v>46099</v>
      </c>
      <c r="E44" s="1" t="n">
        <v>46275</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30233-2026</t>
        </is>
      </c>
      <c r="B45" t="inlineStr">
        <is>
          <t>avverkningsanmälan</t>
        </is>
      </c>
      <c r="C45" t="inlineStr">
        <is>
          <t>Föryngringsavverkning</t>
        </is>
      </c>
      <c r="D45" s="1" t="n">
        <v>46206</v>
      </c>
      <c r="E45" s="1" t="n">
        <v>46275</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46275</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46275</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46275</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26815-2022</t>
        </is>
      </c>
      <c r="B49" t="inlineStr">
        <is>
          <t>avverkningsanmälan</t>
        </is>
      </c>
      <c r="C49" t="inlineStr">
        <is>
          <t>Föryngringsavverkning</t>
        </is>
      </c>
      <c r="D49" s="1" t="n">
        <v>44740</v>
      </c>
      <c r="E49" s="1" t="n">
        <v>46275</v>
      </c>
      <c r="F49" t="inlineStr">
        <is>
          <t>UPPSALA LÄN</t>
        </is>
      </c>
      <c r="G49" t="inlineStr">
        <is>
          <t>ÄLVKARLEBY</t>
        </is>
      </c>
      <c r="I49" t="n">
        <v>5.8</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46275</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46275</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38226-2023</t>
        </is>
      </c>
      <c r="B52" t="inlineStr">
        <is>
          <t>avverkningsanmälan</t>
        </is>
      </c>
      <c r="C52" t="inlineStr">
        <is>
          <t>Föryngringsavverkning</t>
        </is>
      </c>
      <c r="D52" s="1" t="n">
        <v>45161</v>
      </c>
      <c r="E52" s="1" t="n">
        <v>46275</v>
      </c>
      <c r="F52" t="inlineStr">
        <is>
          <t>UPPSALA LÄN</t>
        </is>
      </c>
      <c r="G52" t="inlineStr">
        <is>
          <t>ÄLVKARLEBY</t>
        </is>
      </c>
      <c r="H52" t="inlineStr">
        <is>
          <t>Bergvik skog väst AB</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46275</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14590-2023</t>
        </is>
      </c>
      <c r="B54" t="inlineStr">
        <is>
          <t>avverkningsanmälan</t>
        </is>
      </c>
      <c r="C54" t="inlineStr">
        <is>
          <t>Föryngringsavverkning</t>
        </is>
      </c>
      <c r="D54" s="1" t="n">
        <v>45013</v>
      </c>
      <c r="E54" s="1" t="n">
        <v>46275</v>
      </c>
      <c r="F54" t="inlineStr">
        <is>
          <t>UPPSALA LÄN</t>
        </is>
      </c>
      <c r="G54" t="inlineStr">
        <is>
          <t>ÄLVKARLEBY</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16990-2022</t>
        </is>
      </c>
      <c r="B55" t="inlineStr">
        <is>
          <t>avverkningsanmälan</t>
        </is>
      </c>
      <c r="C55" t="inlineStr">
        <is>
          <t>Föryngringsavverkning</t>
        </is>
      </c>
      <c r="D55" s="1" t="n">
        <v>44676</v>
      </c>
      <c r="E55" s="1" t="n">
        <v>46275</v>
      </c>
      <c r="F55" t="inlineStr">
        <is>
          <t>UPPSALA LÄN</t>
        </is>
      </c>
      <c r="G55" t="inlineStr">
        <is>
          <t>ÄLVKARLEBY</t>
        </is>
      </c>
      <c r="H55" t="inlineStr">
        <is>
          <t>Bergvik skog väst AB</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9533-2025</t>
        </is>
      </c>
      <c r="B56" t="inlineStr">
        <is>
          <t>avverkningsanmälan</t>
        </is>
      </c>
      <c r="C56" t="inlineStr">
        <is>
          <t>Föryngringsavverkning</t>
        </is>
      </c>
      <c r="D56" s="1" t="n">
        <v>45715</v>
      </c>
      <c r="E56" s="1" t="n">
        <v>46275</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41272-2023</t>
        </is>
      </c>
      <c r="B57" t="inlineStr">
        <is>
          <t>avverkningsanmälan</t>
        </is>
      </c>
      <c r="C57" t="inlineStr">
        <is>
          <t>Föryngringsavverkning</t>
        </is>
      </c>
      <c r="D57" s="1" t="n">
        <v>45174</v>
      </c>
      <c r="E57" s="1" t="n">
        <v>46275</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2183-2024</t>
        </is>
      </c>
      <c r="B58" t="inlineStr">
        <is>
          <t>avverkningsanmälan</t>
        </is>
      </c>
      <c r="C58" t="inlineStr">
        <is>
          <t>Föryngringsavverkning</t>
        </is>
      </c>
      <c r="D58" s="1" t="n">
        <v>45309</v>
      </c>
      <c r="E58" s="1" t="n">
        <v>46275</v>
      </c>
      <c r="F58" t="inlineStr">
        <is>
          <t>UPPSALA LÄN</t>
        </is>
      </c>
      <c r="G58" t="inlineStr">
        <is>
          <t>ÄLVKARLEBY</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25330-2025</t>
        </is>
      </c>
      <c r="B59" t="inlineStr">
        <is>
          <t>avverkningsanmälan</t>
        </is>
      </c>
      <c r="C59" t="inlineStr">
        <is>
          <t>Föryngringsavverkning</t>
        </is>
      </c>
      <c r="D59" s="1" t="n">
        <v>45800</v>
      </c>
      <c r="E59" s="1" t="n">
        <v>46275</v>
      </c>
      <c r="F59" t="inlineStr">
        <is>
          <t>UPPSALA LÄN</t>
        </is>
      </c>
      <c r="G59" t="inlineStr">
        <is>
          <t>ÄLVKARLEBY</t>
        </is>
      </c>
      <c r="H59" t="inlineStr">
        <is>
          <t>Bergvik skog väst AB</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32187-2025</t>
        </is>
      </c>
      <c r="B60" t="inlineStr">
        <is>
          <t>avverkningsanmälan</t>
        </is>
      </c>
      <c r="C60" t="inlineStr">
        <is>
          <t>Föryngringsavverkning</t>
        </is>
      </c>
      <c r="D60" s="1" t="n">
        <v>45835</v>
      </c>
      <c r="E60" s="1" t="n">
        <v>46275</v>
      </c>
      <c r="F60" t="inlineStr">
        <is>
          <t>UPPSALA LÄN</t>
        </is>
      </c>
      <c r="G60" t="inlineStr">
        <is>
          <t>ÄLVKARLEBY</t>
        </is>
      </c>
      <c r="H60" t="inlineStr">
        <is>
          <t>Bergvik skog väst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45033-2025</t>
        </is>
      </c>
      <c r="B61" t="inlineStr">
        <is>
          <t>avverkningsanmälan</t>
        </is>
      </c>
      <c r="C61" t="inlineStr">
        <is>
          <t>Föryngringsavverkning</t>
        </is>
      </c>
      <c r="D61" s="1" t="n">
        <v>45918</v>
      </c>
      <c r="E61" s="1" t="n">
        <v>46275</v>
      </c>
      <c r="F61" t="inlineStr">
        <is>
          <t>UPPSALA LÄN</t>
        </is>
      </c>
      <c r="G61" t="inlineStr">
        <is>
          <t>ÄLVKARLEBY</t>
        </is>
      </c>
      <c r="H61" t="inlineStr">
        <is>
          <t>Bergvik skog väst AB</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46510-2025</t>
        </is>
      </c>
      <c r="B62" t="inlineStr">
        <is>
          <t>avverkningsanmälan</t>
        </is>
      </c>
      <c r="C62" t="inlineStr">
        <is>
          <t>Föryngringsavverkning</t>
        </is>
      </c>
      <c r="D62" s="1" t="n">
        <v>45925</v>
      </c>
      <c r="E62" s="1" t="n">
        <v>46275</v>
      </c>
      <c r="F62" t="inlineStr">
        <is>
          <t>UPPSALA LÄN</t>
        </is>
      </c>
      <c r="G62" t="inlineStr">
        <is>
          <t>ÄLVKARLEBY</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46113-2023</t>
        </is>
      </c>
      <c r="B63" t="inlineStr">
        <is>
          <t>avverkningsanmälan</t>
        </is>
      </c>
      <c r="C63" t="inlineStr">
        <is>
          <t>Föryngringsavverkning</t>
        </is>
      </c>
      <c r="D63" s="1" t="n">
        <v>45196</v>
      </c>
      <c r="E63" s="1" t="n">
        <v>46275</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50398-2025</t>
        </is>
      </c>
      <c r="B64" t="inlineStr">
        <is>
          <t>avverkningsanmälan</t>
        </is>
      </c>
      <c r="C64" t="inlineStr">
        <is>
          <t>Avverkning för att bevara och utveckla /försöksver</t>
        </is>
      </c>
      <c r="D64" s="1" t="n">
        <v>45944</v>
      </c>
      <c r="E64" s="1" t="n">
        <v>46275</v>
      </c>
      <c r="F64" t="inlineStr">
        <is>
          <t>UPPSALA LÄN</t>
        </is>
      </c>
      <c r="G64" t="inlineStr">
        <is>
          <t>ÄLVKARLEBY</t>
        </is>
      </c>
      <c r="H64" t="inlineStr">
        <is>
          <t>Bergvik skog väst AB</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50371-2025</t>
        </is>
      </c>
      <c r="B65" t="inlineStr">
        <is>
          <t>avverkningsanmälan</t>
        </is>
      </c>
      <c r="C65" t="inlineStr">
        <is>
          <t>Föryngringsavverkning</t>
        </is>
      </c>
      <c r="D65" s="1" t="n">
        <v>45944</v>
      </c>
      <c r="E65" s="1" t="n">
        <v>46275</v>
      </c>
      <c r="F65" t="inlineStr">
        <is>
          <t>UPPSALA LÄN</t>
        </is>
      </c>
      <c r="G65" t="inlineStr">
        <is>
          <t>ÄLVKARLEBY</t>
        </is>
      </c>
      <c r="H65" t="inlineStr">
        <is>
          <t>Bergvik skog väst AB</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46275</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52477-2025</t>
        </is>
      </c>
      <c r="B67" t="inlineStr">
        <is>
          <t>avverkningsanmälan</t>
        </is>
      </c>
      <c r="C67" t="inlineStr">
        <is>
          <t>Föryngringsavverkning</t>
        </is>
      </c>
      <c r="D67" s="1" t="n">
        <v>45954</v>
      </c>
      <c r="E67" s="1" t="n">
        <v>46275</v>
      </c>
      <c r="F67" t="inlineStr">
        <is>
          <t>UPPSALA LÄN</t>
        </is>
      </c>
      <c r="G67" t="inlineStr">
        <is>
          <t>ÄLVKARLEBY</t>
        </is>
      </c>
      <c r="H67" t="inlineStr">
        <is>
          <t>Bergvik skog väst AB</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52498-2025</t>
        </is>
      </c>
      <c r="B68" t="inlineStr">
        <is>
          <t>avverkningsanmälan</t>
        </is>
      </c>
      <c r="C68" t="inlineStr">
        <is>
          <t>Föryngringsavverkning</t>
        </is>
      </c>
      <c r="D68" s="1" t="n">
        <v>45954</v>
      </c>
      <c r="E68" s="1" t="n">
        <v>46275</v>
      </c>
      <c r="F68" t="inlineStr">
        <is>
          <t>UPPSALA LÄN</t>
        </is>
      </c>
      <c r="G68" t="inlineStr">
        <is>
          <t>ÄLVKARLEBY</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46275</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53184-2025</t>
        </is>
      </c>
      <c r="B70" t="inlineStr">
        <is>
          <t>avverkningsanmälan</t>
        </is>
      </c>
      <c r="C70" t="inlineStr">
        <is>
          <t>Föryngringsavverkning</t>
        </is>
      </c>
      <c r="D70" s="1" t="n">
        <v>45958</v>
      </c>
      <c r="E70" s="1" t="n">
        <v>46275</v>
      </c>
      <c r="F70" t="inlineStr">
        <is>
          <t>UPPSALA LÄN</t>
        </is>
      </c>
      <c r="G70" t="inlineStr">
        <is>
          <t>ÄLVKARLEBY</t>
        </is>
      </c>
      <c r="H70" t="inlineStr">
        <is>
          <t>Bergvik skog väst AB</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41276-2023</t>
        </is>
      </c>
      <c r="B71" t="inlineStr">
        <is>
          <t>avverkningsanmälan</t>
        </is>
      </c>
      <c r="C71" t="inlineStr">
        <is>
          <t>Föryngringsavverkning</t>
        </is>
      </c>
      <c r="D71" s="1" t="n">
        <v>45174</v>
      </c>
      <c r="E71" s="1" t="n">
        <v>46275</v>
      </c>
      <c r="F71" t="inlineStr">
        <is>
          <t>UPPSALA LÄN</t>
        </is>
      </c>
      <c r="G71" t="inlineStr">
        <is>
          <t>ÄLVKARLEBY</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56861-2025</t>
        </is>
      </c>
      <c r="B72" t="inlineStr">
        <is>
          <t>avverkningsanmälan</t>
        </is>
      </c>
      <c r="C72" t="inlineStr">
        <is>
          <t>Avverkning för att bevara och utveckla /försöksver</t>
        </is>
      </c>
      <c r="D72" s="1" t="n">
        <v>45978</v>
      </c>
      <c r="E72" s="1" t="n">
        <v>46275</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41929-2024</t>
        </is>
      </c>
      <c r="B73" t="inlineStr">
        <is>
          <t>avverkningsanmälan</t>
        </is>
      </c>
      <c r="C73" t="inlineStr">
        <is>
          <t>Föryngringsavverkning</t>
        </is>
      </c>
      <c r="D73" s="1" t="n">
        <v>45561</v>
      </c>
      <c r="E73" s="1" t="n">
        <v>46275</v>
      </c>
      <c r="F73" t="inlineStr">
        <is>
          <t>UPPSALA LÄN</t>
        </is>
      </c>
      <c r="G73" t="inlineStr">
        <is>
          <t>ÄLVKARLEBY</t>
        </is>
      </c>
      <c r="H73" t="inlineStr">
        <is>
          <t>Bergvik skog väst AB</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58168-2025</t>
        </is>
      </c>
      <c r="B74" t="inlineStr">
        <is>
          <t>avverkningsanmälan</t>
        </is>
      </c>
      <c r="C74" t="inlineStr">
        <is>
          <t>Föryngringsavverkning</t>
        </is>
      </c>
      <c r="D74" s="1" t="n">
        <v>45982</v>
      </c>
      <c r="E74" s="1" t="n">
        <v>46275</v>
      </c>
      <c r="F74" t="inlineStr">
        <is>
          <t>UPPSALA LÄN</t>
        </is>
      </c>
      <c r="G74" t="inlineStr">
        <is>
          <t>ÄLVKARLEBY</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60256-2025</t>
        </is>
      </c>
      <c r="B75" t="inlineStr">
        <is>
          <t>avverkningsanmälan</t>
        </is>
      </c>
      <c r="C75" t="inlineStr">
        <is>
          <t>Föryngringsavverkning</t>
        </is>
      </c>
      <c r="D75" s="1" t="n">
        <v>45994</v>
      </c>
      <c r="E75" s="1" t="n">
        <v>46275</v>
      </c>
      <c r="F75" t="inlineStr">
        <is>
          <t>UPPSALA LÄN</t>
        </is>
      </c>
      <c r="G75" t="inlineStr">
        <is>
          <t>ÄLVKARLEBY</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60842-2025</t>
        </is>
      </c>
      <c r="B76" t="inlineStr">
        <is>
          <t>avverkningsanmälan</t>
        </is>
      </c>
      <c r="C76" t="inlineStr">
        <is>
          <t>Avverkning för att bevara och utveckla /försöksver</t>
        </is>
      </c>
      <c r="D76" s="1" t="n">
        <v>45999</v>
      </c>
      <c r="E76" s="1" t="n">
        <v>46275</v>
      </c>
      <c r="F76" t="inlineStr">
        <is>
          <t>UPPSALA LÄN</t>
        </is>
      </c>
      <c r="G76" t="inlineStr">
        <is>
          <t>ÄLVKARLEBY</t>
        </is>
      </c>
      <c r="H76" t="inlineStr">
        <is>
          <t>Bergvik skog väst AB</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46275</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46275</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62938-2025</t>
        </is>
      </c>
      <c r="B79" t="inlineStr">
        <is>
          <t>avverkningsanmälan</t>
        </is>
      </c>
      <c r="C79" t="inlineStr">
        <is>
          <t>Föryngringsavverkning</t>
        </is>
      </c>
      <c r="D79" s="1" t="n">
        <v>46009</v>
      </c>
      <c r="E79" s="1" t="n">
        <v>46275</v>
      </c>
      <c r="F79" t="inlineStr">
        <is>
          <t>UPPSALA LÄN</t>
        </is>
      </c>
      <c r="G79" t="inlineStr">
        <is>
          <t>ÄLVKARLEBY</t>
        </is>
      </c>
      <c r="H79" t="inlineStr">
        <is>
          <t>Bergvik skog väst AB</t>
        </is>
      </c>
      <c r="I79" t="n">
        <v>10.2</v>
      </c>
      <c r="J79" t="n">
        <v>0</v>
      </c>
      <c r="K79" t="n">
        <v>0</v>
      </c>
      <c r="L79" t="n">
        <v>0</v>
      </c>
      <c r="M79" t="n">
        <v>0</v>
      </c>
      <c r="N79" t="n">
        <v>0</v>
      </c>
      <c r="O79" t="n">
        <v>0</v>
      </c>
      <c r="P79" t="n">
        <v>0</v>
      </c>
      <c r="Q79" t="n">
        <v>0</v>
      </c>
      <c r="R79" t="n">
        <v>0</v>
      </c>
      <c r="S79" t="n">
        <v>0</v>
      </c>
      <c r="T79" t="n">
        <v>0</v>
      </c>
      <c r="U79" t="n">
        <v>0</v>
      </c>
      <c r="V79" s="2" t="inlineStr"/>
    </row>
    <row r="80" ht="15" customHeight="1">
      <c r="A80" t="inlineStr">
        <is>
          <t>A 63365-2025</t>
        </is>
      </c>
      <c r="B80" t="inlineStr">
        <is>
          <t>avverkningsanmälan</t>
        </is>
      </c>
      <c r="C80" t="inlineStr">
        <is>
          <t>Föryngringsavverkning</t>
        </is>
      </c>
      <c r="D80" s="1" t="n">
        <v>46010</v>
      </c>
      <c r="E80" s="1" t="n">
        <v>46275</v>
      </c>
      <c r="F80" t="inlineStr">
        <is>
          <t>UPPSALA LÄN</t>
        </is>
      </c>
      <c r="G80" t="inlineStr">
        <is>
          <t>ÄLVKARLEBY</t>
        </is>
      </c>
      <c r="H80" t="inlineStr">
        <is>
          <t>Bergvik skog väst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61839-2025</t>
        </is>
      </c>
      <c r="B81" t="inlineStr">
        <is>
          <t>avverkningsanmälan</t>
        </is>
      </c>
      <c r="C81" t="inlineStr">
        <is>
          <t>Föryngringsavverkning</t>
        </is>
      </c>
      <c r="D81" s="1" t="n">
        <v>46003</v>
      </c>
      <c r="E81" s="1" t="n">
        <v>46275</v>
      </c>
      <c r="F81" t="inlineStr">
        <is>
          <t>UPPSALA LÄN</t>
        </is>
      </c>
      <c r="G81" t="inlineStr">
        <is>
          <t>ÄLVKARLEBY</t>
        </is>
      </c>
      <c r="H81" t="inlineStr">
        <is>
          <t>Bergvik skog väst AB</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4134-2026</t>
        </is>
      </c>
      <c r="B82" t="inlineStr">
        <is>
          <t>avverkningsanmälan</t>
        </is>
      </c>
      <c r="C82" t="inlineStr">
        <is>
          <t>Föryngringsavverkning</t>
        </is>
      </c>
      <c r="D82" s="1" t="n">
        <v>46044</v>
      </c>
      <c r="E82" s="1" t="n">
        <v>46275</v>
      </c>
      <c r="F82" t="inlineStr">
        <is>
          <t>UPPSALA LÄN</t>
        </is>
      </c>
      <c r="G82" t="inlineStr">
        <is>
          <t>ÄLVKARLEBY</t>
        </is>
      </c>
      <c r="H82" t="inlineStr">
        <is>
          <t>Bergvik skog öst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9394-2026</t>
        </is>
      </c>
      <c r="B83" t="inlineStr">
        <is>
          <t>avverkningsanmälan</t>
        </is>
      </c>
      <c r="C83" t="inlineStr">
        <is>
          <t>Föryngringsavverkning</t>
        </is>
      </c>
      <c r="D83" s="1" t="n">
        <v>46071</v>
      </c>
      <c r="E83" s="1" t="n">
        <v>46275</v>
      </c>
      <c r="F83" t="inlineStr">
        <is>
          <t>UPPSALA LÄN</t>
        </is>
      </c>
      <c r="G83" t="inlineStr">
        <is>
          <t>ÄLVKARLEBY</t>
        </is>
      </c>
      <c r="H83" t="inlineStr">
        <is>
          <t>Bergvik skog väst AB</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46275</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11848-2026</t>
        </is>
      </c>
      <c r="B85" t="inlineStr">
        <is>
          <t>avverkningsanmälan</t>
        </is>
      </c>
      <c r="C85" t="inlineStr">
        <is>
          <t>Föryngringsavverkning</t>
        </is>
      </c>
      <c r="D85" s="1" t="n">
        <v>46085</v>
      </c>
      <c r="E85" s="1" t="n">
        <v>46275</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46275</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46275</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28670-2025</t>
        </is>
      </c>
      <c r="B88" t="inlineStr">
        <is>
          <t>avverkningsanmälan</t>
        </is>
      </c>
      <c r="C88" t="inlineStr">
        <is>
          <t>Föryngringsavverkning</t>
        </is>
      </c>
      <c r="D88" s="1" t="n">
        <v>45819</v>
      </c>
      <c r="E88" s="1" t="n">
        <v>46275</v>
      </c>
      <c r="F88" t="inlineStr">
        <is>
          <t>UPPSALA LÄN</t>
        </is>
      </c>
      <c r="G88" t="inlineStr">
        <is>
          <t>ÄLVKARLEBY</t>
        </is>
      </c>
      <c r="H88" t="inlineStr">
        <is>
          <t>Bergvik skog väst AB</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46275</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46275</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46275</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34575-2026</t>
        </is>
      </c>
      <c r="B92" t="inlineStr">
        <is>
          <t>avverkningsanmälan</t>
        </is>
      </c>
      <c r="C92" t="inlineStr">
        <is>
          <t>Föryngringsavverkning</t>
        </is>
      </c>
      <c r="D92" s="1" t="n">
        <v>46255</v>
      </c>
      <c r="E92" s="1" t="n">
        <v>46275</v>
      </c>
      <c r="F92" t="inlineStr">
        <is>
          <t>UPPSALA LÄN</t>
        </is>
      </c>
      <c r="G92" t="inlineStr">
        <is>
          <t>ÄLVKARLEBY</t>
        </is>
      </c>
      <c r="H92" t="inlineStr">
        <is>
          <t>Bergvik skog öst AB</t>
        </is>
      </c>
      <c r="I92" t="n">
        <v>5.7</v>
      </c>
      <c r="J92" t="n">
        <v>0</v>
      </c>
      <c r="K92" t="n">
        <v>0</v>
      </c>
      <c r="L92" t="n">
        <v>0</v>
      </c>
      <c r="M92" t="n">
        <v>0</v>
      </c>
      <c r="N92" t="n">
        <v>0</v>
      </c>
      <c r="O92" t="n">
        <v>0</v>
      </c>
      <c r="P92" t="n">
        <v>0</v>
      </c>
      <c r="Q92" t="n">
        <v>0</v>
      </c>
      <c r="R92" t="n">
        <v>0</v>
      </c>
      <c r="S92" t="n">
        <v>0</v>
      </c>
      <c r="T92" t="n">
        <v>0</v>
      </c>
      <c r="U92" t="n">
        <v>0</v>
      </c>
      <c r="V92" s="2" t="inlineStr"/>
    </row>
    <row r="93">
      <c r="A93" t="inlineStr">
        <is>
          <t>A 35356-2026</t>
        </is>
      </c>
      <c r="B93" t="inlineStr">
        <is>
          <t>avverkningsanmälan</t>
        </is>
      </c>
      <c r="C93" t="inlineStr">
        <is>
          <t>Föryngringsavverkning</t>
        </is>
      </c>
      <c r="D93" s="1" t="n">
        <v>46261</v>
      </c>
      <c r="E93" s="1" t="n">
        <v>46275</v>
      </c>
      <c r="F93" t="inlineStr">
        <is>
          <t>UPPSALA LÄN</t>
        </is>
      </c>
      <c r="G93" t="inlineStr">
        <is>
          <t>ÄLVKARLEBY</t>
        </is>
      </c>
      <c r="H93" t="inlineStr">
        <is>
          <t>Bergvik skog öst AB</t>
        </is>
      </c>
      <c r="I93" t="n">
        <v>2.1</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2026-09-10T02:09:09Z</dcterms:created>
  <dcterms:modified xmlns:dcterms="http://purl.org/dc/terms/" xmlns:xsi="http://www.w3.org/2001/XMLSchema-instance" xsi:type="dcterms:W3CDTF">2026-09-10T02:09:09Z</dcterms:modified>
</cp:coreProperties>
</file>