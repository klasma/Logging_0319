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46267</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46267</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46267</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46267</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46267</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46267</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46267</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46267</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46267</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46267</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46267</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46267</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46267</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46267</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46267</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46267</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46267</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46267</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46267</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46267</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46267</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46267</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46267</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46267</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46267</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4131-2026</t>
        </is>
      </c>
      <c r="B30" t="inlineStr">
        <is>
          <t>avverkningsanmälan</t>
        </is>
      </c>
      <c r="C30" t="inlineStr">
        <is>
          <t>Föryngringsavverkning</t>
        </is>
      </c>
      <c r="D30" s="1" t="n">
        <v>46044</v>
      </c>
      <c r="E30" s="1" t="n">
        <v>46267</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19300-2024</t>
        </is>
      </c>
      <c r="B31" t="inlineStr">
        <is>
          <t>avverkningsanmälan</t>
        </is>
      </c>
      <c r="C31" t="inlineStr">
        <is>
          <t>Föryngringsavverkning</t>
        </is>
      </c>
      <c r="D31" s="1" t="n">
        <v>45428</v>
      </c>
      <c r="E31" s="1" t="n">
        <v>46267</v>
      </c>
      <c r="F31" t="inlineStr">
        <is>
          <t>UPPSALA LÄN</t>
        </is>
      </c>
      <c r="G31" t="inlineStr">
        <is>
          <t>ÄLVKARLEBY</t>
        </is>
      </c>
      <c r="I31" t="n">
        <v>0.9</v>
      </c>
      <c r="J31" t="n">
        <v>1</v>
      </c>
      <c r="K31" t="n">
        <v>0</v>
      </c>
      <c r="L31" t="n">
        <v>1</v>
      </c>
      <c r="M31" t="n">
        <v>0</v>
      </c>
      <c r="N31" t="n">
        <v>0</v>
      </c>
      <c r="O31" t="n">
        <v>0</v>
      </c>
      <c r="P31" t="n">
        <v>0</v>
      </c>
      <c r="Q31" t="n">
        <v>1</v>
      </c>
      <c r="R31" t="n">
        <v>0</v>
      </c>
      <c r="S31" t="n">
        <v>1</v>
      </c>
      <c r="T31" t="n">
        <v>1</v>
      </c>
      <c r="U31" t="n">
        <v>1</v>
      </c>
      <c r="V31" s="2" t="inlineStr">
        <is>
          <t>Kricka</t>
        </is>
      </c>
      <c r="W31">
        <f>HYPERLINK("https://klasma.github.io/Logging_0319/artfynd/A 19300-2024 artfynd.xlsx", "A 19300-2024")</f>
        <v/>
      </c>
      <c r="X31">
        <f>HYPERLINK("https://klasma.github.io/Logging_0319/kartor/A 19300-2024 karta.png", "A 19300-2024")</f>
        <v/>
      </c>
      <c r="Y31">
        <f>HYPERLINK("https://klasma.github.io/Logging_0319/kartor_geotiff/A 19300-2024 georefererad karta.tif", "A 19300-2024")</f>
        <v/>
      </c>
      <c r="AA31">
        <f>HYPERLINK("https://klasma.github.io/Logging_0319/klagomål/A 19300-2024 FSC-klagomål.docx", "A 19300-2024")</f>
        <v/>
      </c>
      <c r="AB31">
        <f>HYPERLINK("https://klasma.github.io/Logging_0319/klagomålsmail/A 19300-2024 FSC-klagomål mail.docx", "A 19300-2024")</f>
        <v/>
      </c>
      <c r="AC31">
        <f>HYPERLINK("https://klasma.github.io/Logging_0319/tillsyn/A 19300-2024 tillsynsbegäran.docx", "A 19300-2024")</f>
        <v/>
      </c>
      <c r="AD31">
        <f>HYPERLINK("https://klasma.github.io/Logging_0319/tillsynsmail/A 19300-2024 tillsynsbegäran mail.docx", "A 19300-2024")</f>
        <v/>
      </c>
      <c r="AE31">
        <f>HYPERLINK("https://klasma.github.io/Logging_0319/fåglar/A 19300-2024 prioriterade fågelarter.docx", "A 19300-2024")</f>
        <v/>
      </c>
    </row>
    <row r="32" ht="15" customHeight="1">
      <c r="A32" t="inlineStr">
        <is>
          <t>A 51238-2025</t>
        </is>
      </c>
      <c r="B32" t="inlineStr">
        <is>
          <t>avverkningsanmälan</t>
        </is>
      </c>
      <c r="C32" t="inlineStr">
        <is>
          <t>Föryngringsavverkning</t>
        </is>
      </c>
      <c r="D32" s="1" t="n">
        <v>45947</v>
      </c>
      <c r="E32" s="1" t="n">
        <v>46267</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7286-2023</t>
        </is>
      </c>
      <c r="B33" t="inlineStr">
        <is>
          <t>avverkningsanmälan</t>
        </is>
      </c>
      <c r="C33" t="inlineStr">
        <is>
          <t>Avverkning för annat ändamål</t>
        </is>
      </c>
      <c r="D33" s="1" t="n">
        <v>44970</v>
      </c>
      <c r="E33" s="1" t="n">
        <v>46267</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10455-2022</t>
        </is>
      </c>
      <c r="B34" t="inlineStr">
        <is>
          <t>avverkningsanmälan</t>
        </is>
      </c>
      <c r="C34" t="inlineStr">
        <is>
          <t>Föryngringsavverkning</t>
        </is>
      </c>
      <c r="D34" s="1" t="n">
        <v>44623</v>
      </c>
      <c r="E34" s="1" t="n">
        <v>46267</v>
      </c>
      <c r="F34" t="inlineStr">
        <is>
          <t>UPPSALA LÄN</t>
        </is>
      </c>
      <c r="G34" t="inlineStr">
        <is>
          <t>ÄLVKARLEBY</t>
        </is>
      </c>
      <c r="H34" t="inlineStr">
        <is>
          <t>Bergvik skog öst AB</t>
        </is>
      </c>
      <c r="I34" t="n">
        <v>1.1</v>
      </c>
      <c r="J34" t="n">
        <v>0</v>
      </c>
      <c r="K34" t="n">
        <v>0</v>
      </c>
      <c r="L34" t="n">
        <v>1</v>
      </c>
      <c r="M34" t="n">
        <v>0</v>
      </c>
      <c r="N34" t="n">
        <v>0</v>
      </c>
      <c r="O34" t="n">
        <v>0</v>
      </c>
      <c r="P34" t="n">
        <v>0</v>
      </c>
      <c r="Q34" t="n">
        <v>1</v>
      </c>
      <c r="R34" t="n">
        <v>0</v>
      </c>
      <c r="S34" t="n">
        <v>1</v>
      </c>
      <c r="T34" t="n">
        <v>4</v>
      </c>
      <c r="U34" t="n">
        <v>1</v>
      </c>
      <c r="V34" s="2" t="inlineStr">
        <is>
          <t>Sandviol</t>
        </is>
      </c>
      <c r="W34">
        <f>HYPERLINK("https://klasma.github.io/Logging_0319/artfynd/A 10455-2022 artfynd.xlsx", "A 10455-2022")</f>
        <v/>
      </c>
      <c r="X34">
        <f>HYPERLINK("https://klasma.github.io/Logging_0319/kartor/A 10455-2022 karta.png", "A 10455-2022")</f>
        <v/>
      </c>
      <c r="Y34">
        <f>HYPERLINK("https://klasma.github.io/Logging_0319/kartor_geotiff/A 10455-2022 georefererad karta.tif", "A 10455-2022")</f>
        <v/>
      </c>
      <c r="AA34">
        <f>HYPERLINK("https://klasma.github.io/Logging_0319/klagomål/A 10455-2022 FSC-klagomål.docx", "A 10455-2022")</f>
        <v/>
      </c>
      <c r="AB34">
        <f>HYPERLINK("https://klasma.github.io/Logging_0319/klagomålsmail/A 10455-2022 FSC-klagomål mail.docx", "A 10455-2022")</f>
        <v/>
      </c>
      <c r="AC34">
        <f>HYPERLINK("https://klasma.github.io/Logging_0319/tillsyn/A 10455-2022 tillsynsbegäran.docx", "A 10455-2022")</f>
        <v/>
      </c>
      <c r="AD34">
        <f>HYPERLINK("https://klasma.github.io/Logging_0319/tillsynsmail/A 10455-2022 tillsynsbegäran mail.docx", "A 10455-2022")</f>
        <v/>
      </c>
    </row>
    <row r="35" ht="15" customHeight="1">
      <c r="A35" t="inlineStr">
        <is>
          <t>A 57734-2025</t>
        </is>
      </c>
      <c r="B35" t="inlineStr">
        <is>
          <t>avverkningsanmälan</t>
        </is>
      </c>
      <c r="C35" t="inlineStr">
        <is>
          <t>Föryngringsavverkning</t>
        </is>
      </c>
      <c r="D35" s="1" t="n">
        <v>45981</v>
      </c>
      <c r="E35" s="1" t="n">
        <v>46267</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46267</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46267</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70017-2021</t>
        </is>
      </c>
      <c r="B38" t="inlineStr">
        <is>
          <t>avverkningsanmälan</t>
        </is>
      </c>
      <c r="C38" t="inlineStr">
        <is>
          <t>Föryngringsavverkning</t>
        </is>
      </c>
      <c r="D38" s="1" t="n">
        <v>44533</v>
      </c>
      <c r="E38" s="1" t="n">
        <v>46267</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63004-2025</t>
        </is>
      </c>
      <c r="B39" t="inlineStr">
        <is>
          <t>avverkningsanmälan</t>
        </is>
      </c>
      <c r="C39" t="inlineStr">
        <is>
          <t>Föryngringsavverkning</t>
        </is>
      </c>
      <c r="D39" s="1" t="n">
        <v>46009</v>
      </c>
      <c r="E39" s="1" t="n">
        <v>46267</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14127-2026</t>
        </is>
      </c>
      <c r="B40" t="inlineStr">
        <is>
          <t>avverkningsanmälan</t>
        </is>
      </c>
      <c r="C40" t="inlineStr">
        <is>
          <t>Föryngringsavverkning</t>
        </is>
      </c>
      <c r="D40" s="1" t="n">
        <v>46099</v>
      </c>
      <c r="E40" s="1" t="n">
        <v>46267</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1673-2026</t>
        </is>
      </c>
      <c r="B41" t="inlineStr">
        <is>
          <t>avverkningsanmälan</t>
        </is>
      </c>
      <c r="C41" t="inlineStr">
        <is>
          <t>Föryngringsavverkning</t>
        </is>
      </c>
      <c r="D41" s="1" t="n">
        <v>46034</v>
      </c>
      <c r="E41" s="1" t="n">
        <v>46267</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t="n">
        <v>0</v>
      </c>
      <c r="V41" s="2" t="inlineStr">
        <is>
          <t>Tibast</t>
        </is>
      </c>
      <c r="W41">
        <f>HYPERLINK("https://klasma.github.io/Logging_0319/artfynd/A 1673-2026 artfynd.xlsx", "A 1673-2026")</f>
        <v/>
      </c>
      <c r="X41">
        <f>HYPERLINK("https://klasma.github.io/Logging_0319/kartor/A 1673-2026 karta.png", "A 1673-2026")</f>
        <v/>
      </c>
      <c r="Y41">
        <f>HYPERLINK("https://klasma.github.io/Logging_0319/kartor_geotiff/A 1673-2026 georefererad karta.tif", "A 1673-2026")</f>
        <v/>
      </c>
      <c r="AA41">
        <f>HYPERLINK("https://klasma.github.io/Logging_0319/klagomål/A 1673-2026 FSC-klagomål.docx", "A 1673-2026")</f>
        <v/>
      </c>
      <c r="AB41">
        <f>HYPERLINK("https://klasma.github.io/Logging_0319/klagomålsmail/A 1673-2026 FSC-klagomål mail.docx", "A 1673-2026")</f>
        <v/>
      </c>
      <c r="AC41">
        <f>HYPERLINK("https://klasma.github.io/Logging_0319/tillsyn/A 1673-2026 tillsynsbegäran.docx", "A 1673-2026")</f>
        <v/>
      </c>
      <c r="AD41">
        <f>HYPERLINK("https://klasma.github.io/Logging_0319/tillsynsmail/A 1673-2026 tillsynsbegäran mail.docx", "A 1673-2026")</f>
        <v/>
      </c>
    </row>
    <row r="42" ht="15" customHeight="1">
      <c r="A42" t="inlineStr">
        <is>
          <t>A 19304-2024</t>
        </is>
      </c>
      <c r="B42" t="inlineStr">
        <is>
          <t>avverkningsanmälan</t>
        </is>
      </c>
      <c r="C42" t="inlineStr">
        <is>
          <t>Föryngringsavverkning</t>
        </is>
      </c>
      <c r="D42" s="1" t="n">
        <v>45428</v>
      </c>
      <c r="E42" s="1" t="n">
        <v>46267</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43285-2023</t>
        </is>
      </c>
      <c r="B43" t="inlineStr">
        <is>
          <t>avverkningsanmälan</t>
        </is>
      </c>
      <c r="C43" t="inlineStr">
        <is>
          <t>Föryngringsavverkning</t>
        </is>
      </c>
      <c r="D43" s="1" t="n">
        <v>45183</v>
      </c>
      <c r="E43" s="1" t="n">
        <v>46267</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46267</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46267</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46267</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46267</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46267</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46267</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46267</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46267</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4134-2026</t>
        </is>
      </c>
      <c r="B52" t="inlineStr">
        <is>
          <t>avverkningsanmälan</t>
        </is>
      </c>
      <c r="C52" t="inlineStr">
        <is>
          <t>Föryngringsavverkning</t>
        </is>
      </c>
      <c r="D52" s="1" t="n">
        <v>46044</v>
      </c>
      <c r="E52" s="1" t="n">
        <v>46267</v>
      </c>
      <c r="F52" t="inlineStr">
        <is>
          <t>UPPSALA LÄN</t>
        </is>
      </c>
      <c r="G52" t="inlineStr">
        <is>
          <t>ÄLVKARLEBY</t>
        </is>
      </c>
      <c r="H52" t="inlineStr">
        <is>
          <t>Bergvik skog öst AB</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46267</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46267</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32187-2025</t>
        </is>
      </c>
      <c r="B55" t="inlineStr">
        <is>
          <t>avverkningsanmälan</t>
        </is>
      </c>
      <c r="C55" t="inlineStr">
        <is>
          <t>Föryngringsavverkning</t>
        </is>
      </c>
      <c r="D55" s="1" t="n">
        <v>45835</v>
      </c>
      <c r="E55" s="1" t="n">
        <v>46267</v>
      </c>
      <c r="F55" t="inlineStr">
        <is>
          <t>UPPSALA LÄN</t>
        </is>
      </c>
      <c r="G55" t="inlineStr">
        <is>
          <t>ÄLVKARLEBY</t>
        </is>
      </c>
      <c r="H55" t="inlineStr">
        <is>
          <t>Bergvik skog väst AB</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26664-2025</t>
        </is>
      </c>
      <c r="B56" t="inlineStr">
        <is>
          <t>avverkningsanmälan</t>
        </is>
      </c>
      <c r="C56" t="inlineStr">
        <is>
          <t>Avverkning för att bevara och utveckla /försöksver</t>
        </is>
      </c>
      <c r="D56" s="1" t="n">
        <v>45810</v>
      </c>
      <c r="E56" s="1" t="n">
        <v>46267</v>
      </c>
      <c r="F56" t="inlineStr">
        <is>
          <t>UPPSALA LÄN</t>
        </is>
      </c>
      <c r="G56" t="inlineStr">
        <is>
          <t>ÄLVKARLEBY</t>
        </is>
      </c>
      <c r="H56" t="inlineStr">
        <is>
          <t>Bergvik skog väst AB</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45033-2025</t>
        </is>
      </c>
      <c r="B57" t="inlineStr">
        <is>
          <t>avverkningsanmälan</t>
        </is>
      </c>
      <c r="C57" t="inlineStr">
        <is>
          <t>Föryngringsavverkning</t>
        </is>
      </c>
      <c r="D57" s="1" t="n">
        <v>45918</v>
      </c>
      <c r="E57" s="1" t="n">
        <v>46267</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46267</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46267</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46267</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46267</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26815-2022</t>
        </is>
      </c>
      <c r="B62" t="inlineStr">
        <is>
          <t>avverkningsanmälan</t>
        </is>
      </c>
      <c r="C62" t="inlineStr">
        <is>
          <t>Föryngringsavverkning</t>
        </is>
      </c>
      <c r="D62" s="1" t="n">
        <v>44740</v>
      </c>
      <c r="E62" s="1" t="n">
        <v>46267</v>
      </c>
      <c r="F62" t="inlineStr">
        <is>
          <t>UPPSALA LÄN</t>
        </is>
      </c>
      <c r="G62" t="inlineStr">
        <is>
          <t>ÄLVKARLEBY</t>
        </is>
      </c>
      <c r="I62" t="n">
        <v>5.8</v>
      </c>
      <c r="J62" t="n">
        <v>0</v>
      </c>
      <c r="K62" t="n">
        <v>0</v>
      </c>
      <c r="L62" t="n">
        <v>0</v>
      </c>
      <c r="M62" t="n">
        <v>0</v>
      </c>
      <c r="N62" t="n">
        <v>0</v>
      </c>
      <c r="O62" t="n">
        <v>0</v>
      </c>
      <c r="P62" t="n">
        <v>0</v>
      </c>
      <c r="Q62" t="n">
        <v>0</v>
      </c>
      <c r="R62" t="n">
        <v>0</v>
      </c>
      <c r="S62" t="n">
        <v>0</v>
      </c>
      <c r="T62" t="n">
        <v>0</v>
      </c>
      <c r="U62" t="n">
        <v>0</v>
      </c>
      <c r="V62" s="2" t="inlineStr"/>
    </row>
    <row r="63" ht="15" customHeight="1">
      <c r="A63" t="inlineStr">
        <is>
          <t>A 52477-2025</t>
        </is>
      </c>
      <c r="B63" t="inlineStr">
        <is>
          <t>avverkningsanmälan</t>
        </is>
      </c>
      <c r="C63" t="inlineStr">
        <is>
          <t>Föryngringsavverkning</t>
        </is>
      </c>
      <c r="D63" s="1" t="n">
        <v>45954</v>
      </c>
      <c r="E63" s="1" t="n">
        <v>46267</v>
      </c>
      <c r="F63" t="inlineStr">
        <is>
          <t>UPPSALA LÄN</t>
        </is>
      </c>
      <c r="G63" t="inlineStr">
        <is>
          <t>ÄLVKARLEBY</t>
        </is>
      </c>
      <c r="H63" t="inlineStr">
        <is>
          <t>Bergvik skog väst AB</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46267</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46267</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46267</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9394-2026</t>
        </is>
      </c>
      <c r="B67" t="inlineStr">
        <is>
          <t>avverkningsanmälan</t>
        </is>
      </c>
      <c r="C67" t="inlineStr">
        <is>
          <t>Föryngringsavverkning</t>
        </is>
      </c>
      <c r="D67" s="1" t="n">
        <v>46071</v>
      </c>
      <c r="E67" s="1" t="n">
        <v>46267</v>
      </c>
      <c r="F67" t="inlineStr">
        <is>
          <t>UPPSALA LÄN</t>
        </is>
      </c>
      <c r="G67" t="inlineStr">
        <is>
          <t>ÄLVKARLEBY</t>
        </is>
      </c>
      <c r="H67" t="inlineStr">
        <is>
          <t>Bergvik skog väst AB</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11467-2026</t>
        </is>
      </c>
      <c r="B68" t="inlineStr">
        <is>
          <t>avverkningsanmälan</t>
        </is>
      </c>
      <c r="C68" t="inlineStr">
        <is>
          <t>Föryngringsavverkning</t>
        </is>
      </c>
      <c r="D68" s="1" t="n">
        <v>46083</v>
      </c>
      <c r="E68" s="1" t="n">
        <v>46267</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46267</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46267</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11848-2026</t>
        </is>
      </c>
      <c r="B71" t="inlineStr">
        <is>
          <t>avverkningsanmälan</t>
        </is>
      </c>
      <c r="C71" t="inlineStr">
        <is>
          <t>Föryngringsavverkning</t>
        </is>
      </c>
      <c r="D71" s="1" t="n">
        <v>46085</v>
      </c>
      <c r="E71" s="1" t="n">
        <v>46267</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46267</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46267</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46267</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46267</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14091-2026</t>
        </is>
      </c>
      <c r="B76" t="inlineStr">
        <is>
          <t>avverkningsanmälan</t>
        </is>
      </c>
      <c r="C76" t="inlineStr">
        <is>
          <t>Föryngringsavverkning</t>
        </is>
      </c>
      <c r="D76" s="1" t="n">
        <v>46099</v>
      </c>
      <c r="E76" s="1" t="n">
        <v>46267</v>
      </c>
      <c r="F76" t="inlineStr">
        <is>
          <t>UPPSALA LÄN</t>
        </is>
      </c>
      <c r="G76" t="inlineStr">
        <is>
          <t>ÄLVKARLEBY</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46267</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46267</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46267</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41272-2023</t>
        </is>
      </c>
      <c r="B80" t="inlineStr">
        <is>
          <t>avverkningsanmälan</t>
        </is>
      </c>
      <c r="C80" t="inlineStr">
        <is>
          <t>Föryngringsavverkning</t>
        </is>
      </c>
      <c r="D80" s="1" t="n">
        <v>45174</v>
      </c>
      <c r="E80" s="1" t="n">
        <v>46267</v>
      </c>
      <c r="F80" t="inlineStr">
        <is>
          <t>UPPSALA LÄN</t>
        </is>
      </c>
      <c r="G80" t="inlineStr">
        <is>
          <t>ÄLVKARLEBY</t>
        </is>
      </c>
      <c r="H80" t="inlineStr">
        <is>
          <t>Bergvik skog väst AB</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2183-2024</t>
        </is>
      </c>
      <c r="B81" t="inlineStr">
        <is>
          <t>avverkningsanmälan</t>
        </is>
      </c>
      <c r="C81" t="inlineStr">
        <is>
          <t>Föryngringsavverkning</t>
        </is>
      </c>
      <c r="D81" s="1" t="n">
        <v>45309</v>
      </c>
      <c r="E81" s="1" t="n">
        <v>46267</v>
      </c>
      <c r="F81" t="inlineStr">
        <is>
          <t>UPPSALA LÄN</t>
        </is>
      </c>
      <c r="G81" t="inlineStr">
        <is>
          <t>ÄLVKARLEBY</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17851-2026</t>
        </is>
      </c>
      <c r="B82" t="inlineStr">
        <is>
          <t>avverkningsanmälan</t>
        </is>
      </c>
      <c r="C82" t="inlineStr">
        <is>
          <t>Föryngringsavverkning</t>
        </is>
      </c>
      <c r="D82" s="1" t="n">
        <v>46122</v>
      </c>
      <c r="E82" s="1" t="n">
        <v>46267</v>
      </c>
      <c r="F82" t="inlineStr">
        <is>
          <t>UPPSALA LÄN</t>
        </is>
      </c>
      <c r="G82" t="inlineStr">
        <is>
          <t>ÄLVKARLEBY</t>
        </is>
      </c>
      <c r="H82" t="inlineStr">
        <is>
          <t>Bergvik skog öst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46267</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46113-2023</t>
        </is>
      </c>
      <c r="B84" t="inlineStr">
        <is>
          <t>avverkningsanmälan</t>
        </is>
      </c>
      <c r="C84" t="inlineStr">
        <is>
          <t>Föryngringsavverkning</t>
        </is>
      </c>
      <c r="D84" s="1" t="n">
        <v>45196</v>
      </c>
      <c r="E84" s="1" t="n">
        <v>46267</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41276-2023</t>
        </is>
      </c>
      <c r="B85" t="inlineStr">
        <is>
          <t>avverkningsanmälan</t>
        </is>
      </c>
      <c r="C85" t="inlineStr">
        <is>
          <t>Föryngringsavverkning</t>
        </is>
      </c>
      <c r="D85" s="1" t="n">
        <v>45174</v>
      </c>
      <c r="E85" s="1" t="n">
        <v>46267</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46267</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14590-2023</t>
        </is>
      </c>
      <c r="B87" t="inlineStr">
        <is>
          <t>avverkningsanmälan</t>
        </is>
      </c>
      <c r="C87" t="inlineStr">
        <is>
          <t>Föryngringsavverkning</t>
        </is>
      </c>
      <c r="D87" s="1" t="n">
        <v>45013</v>
      </c>
      <c r="E87" s="1" t="n">
        <v>46267</v>
      </c>
      <c r="F87" t="inlineStr">
        <is>
          <t>UPPSALA LÄN</t>
        </is>
      </c>
      <c r="G87" t="inlineStr">
        <is>
          <t>ÄLVKARLEBY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46267</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30238-2026</t>
        </is>
      </c>
      <c r="B89" t="inlineStr">
        <is>
          <t>avverkningsanmälan</t>
        </is>
      </c>
      <c r="C89" t="inlineStr">
        <is>
          <t>Föryngringsavverkning</t>
        </is>
      </c>
      <c r="D89" s="1" t="n">
        <v>46206</v>
      </c>
      <c r="E89" s="1" t="n">
        <v>46267</v>
      </c>
      <c r="F89" t="inlineStr">
        <is>
          <t>UPPSALA LÄN</t>
        </is>
      </c>
      <c r="G89" t="inlineStr">
        <is>
          <t>ÄLVKARLEBY</t>
        </is>
      </c>
      <c r="H89" t="inlineStr">
        <is>
          <t>Bergvik skog öst AB</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30234-2026</t>
        </is>
      </c>
      <c r="B90" t="inlineStr">
        <is>
          <t>avverkningsanmälan</t>
        </is>
      </c>
      <c r="C90" t="inlineStr">
        <is>
          <t>Föryngringsavverkning</t>
        </is>
      </c>
      <c r="D90" s="1" t="n">
        <v>46206</v>
      </c>
      <c r="E90" s="1" t="n">
        <v>46267</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9533-2025</t>
        </is>
      </c>
      <c r="B91" t="inlineStr">
        <is>
          <t>avverkningsanmälan</t>
        </is>
      </c>
      <c r="C91" t="inlineStr">
        <is>
          <t>Föryngringsavverkning</t>
        </is>
      </c>
      <c r="D91" s="1" t="n">
        <v>45715</v>
      </c>
      <c r="E91" s="1" t="n">
        <v>46267</v>
      </c>
      <c r="F91" t="inlineStr">
        <is>
          <t>UPPSALA LÄN</t>
        </is>
      </c>
      <c r="G91" t="inlineStr">
        <is>
          <t>ÄLVKARLEBY</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34575-2026</t>
        </is>
      </c>
      <c r="B92" t="inlineStr">
        <is>
          <t>avverkningsanmälan</t>
        </is>
      </c>
      <c r="C92" t="inlineStr">
        <is>
          <t>Föryngringsavverkning</t>
        </is>
      </c>
      <c r="D92" s="1" t="n">
        <v>46255</v>
      </c>
      <c r="E92" s="1" t="n">
        <v>46267</v>
      </c>
      <c r="F92" t="inlineStr">
        <is>
          <t>UPPSALA LÄN</t>
        </is>
      </c>
      <c r="G92" t="inlineStr">
        <is>
          <t>ÄLVKARLEBY</t>
        </is>
      </c>
      <c r="H92" t="inlineStr">
        <is>
          <t>Bergvik skog öst AB</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35356-2026</t>
        </is>
      </c>
      <c r="B93" t="inlineStr">
        <is>
          <t>avverkningsanmälan</t>
        </is>
      </c>
      <c r="C93" t="inlineStr">
        <is>
          <t>Föryngringsavverkning</t>
        </is>
      </c>
      <c r="D93" s="1" t="n">
        <v>46261</v>
      </c>
      <c r="E93" s="1" t="n">
        <v>46267</v>
      </c>
      <c r="F93" t="inlineStr">
        <is>
          <t>UPPSALA LÄN</t>
        </is>
      </c>
      <c r="G93" t="inlineStr">
        <is>
          <t>ÄLVKARLEBY</t>
        </is>
      </c>
      <c r="H93" t="inlineStr">
        <is>
          <t>Bergvik skog öst AB</t>
        </is>
      </c>
      <c r="I93" t="n">
        <v>2.1</v>
      </c>
      <c r="J93" t="n">
        <v>0</v>
      </c>
      <c r="K93" t="n">
        <v>0</v>
      </c>
      <c r="L93" t="n">
        <v>0</v>
      </c>
      <c r="M93" t="n">
        <v>0</v>
      </c>
      <c r="N93" t="n">
        <v>0</v>
      </c>
      <c r="O93" t="n">
        <v>0</v>
      </c>
      <c r="P93" t="n">
        <v>0</v>
      </c>
      <c r="Q93" t="n">
        <v>0</v>
      </c>
      <c r="R93" t="n">
        <v>0</v>
      </c>
      <c r="S93" t="n">
        <v>0</v>
      </c>
      <c r="T93" t="n">
        <v>0</v>
      </c>
      <c r="U93" t="n">
        <v>0</v>
      </c>
      <c r="V93" s="2" t="inlineStr"/>
    </row>
    <row r="94">
      <c r="A94" t="inlineStr">
        <is>
          <t>A 25330-2025</t>
        </is>
      </c>
      <c r="B94" t="inlineStr">
        <is>
          <t>avverkningsanmälan</t>
        </is>
      </c>
      <c r="C94" t="inlineStr">
        <is>
          <t>Föryngringsavverkning</t>
        </is>
      </c>
      <c r="D94" s="1" t="n">
        <v>45800</v>
      </c>
      <c r="E94" s="1" t="n">
        <v>46267</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2026-09-02T02:04:16Z</dcterms:created>
  <dcterms:modified xmlns:dcterms="http://purl.org/dc/terms/" xmlns:xsi="http://www.w3.org/2001/XMLSchema-instance" xsi:type="dcterms:W3CDTF">2026-09-02T02:04:16Z</dcterms:modified>
</cp:coreProperties>
</file>