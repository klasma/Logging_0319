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45885</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45885</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45885</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45885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45885</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45885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45885</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45885</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45885</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45885</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30484-2025</t>
        </is>
      </c>
      <c r="B13" s="1" t="n">
        <v>45828.75157407407</v>
      </c>
      <c r="C13" s="1" t="n">
        <v>45885</v>
      </c>
      <c r="D13" t="inlineStr">
        <is>
          <t>UPPSALA LÄN</t>
        </is>
      </c>
      <c r="E13" t="inlineStr">
        <is>
          <t>ÄLVKARLEBY</t>
        </is>
      </c>
      <c r="F13" t="inlineStr">
        <is>
          <t>Bergvik skog väst AB</t>
        </is>
      </c>
      <c r="G13" t="n">
        <v>1.6</v>
      </c>
      <c r="H13" t="n">
        <v>1</v>
      </c>
      <c r="I13" t="n">
        <v>1</v>
      </c>
      <c r="J13" t="n">
        <v>1</v>
      </c>
      <c r="K13" t="n">
        <v>0</v>
      </c>
      <c r="L13" t="n">
        <v>0</v>
      </c>
      <c r="M13" t="n">
        <v>0</v>
      </c>
      <c r="N13" t="n">
        <v>0</v>
      </c>
      <c r="O13" t="n">
        <v>1</v>
      </c>
      <c r="P13" t="n">
        <v>0</v>
      </c>
      <c r="Q13" t="n">
        <v>3</v>
      </c>
      <c r="R13" s="2" t="inlineStr">
        <is>
          <t>Slåtterfibbla
Svart trolldruva
Gullviva</t>
        </is>
      </c>
      <c r="S13">
        <f>HYPERLINK("https://klasma.github.io/Logging_0319/artfynd/A 30484-2025 artfynd.xlsx", "A 30484-2025")</f>
        <v/>
      </c>
      <c r="T13">
        <f>HYPERLINK("https://klasma.github.io/Logging_0319/kartor/A 30484-2025 karta.png", "A 30484-2025")</f>
        <v/>
      </c>
      <c r="V13">
        <f>HYPERLINK("https://klasma.github.io/Logging_0319/klagomål/A 30484-2025 FSC-klagomål.docx", "A 30484-2025")</f>
        <v/>
      </c>
      <c r="W13">
        <f>HYPERLINK("https://klasma.github.io/Logging_0319/klagomålsmail/A 30484-2025 FSC-klagomål mail.docx", "A 30484-2025")</f>
        <v/>
      </c>
      <c r="X13">
        <f>HYPERLINK("https://klasma.github.io/Logging_0319/tillsyn/A 30484-2025 tillsynsbegäran.docx", "A 30484-2025")</f>
        <v/>
      </c>
      <c r="Y13">
        <f>HYPERLINK("https://klasma.github.io/Logging_0319/tillsynsmail/A 30484-2025 tillsynsbegäran mail.docx", "A 30484-2025")</f>
        <v/>
      </c>
    </row>
    <row r="14" ht="15" customHeight="1">
      <c r="A14" t="inlineStr">
        <is>
          <t>A 55555-2024</t>
        </is>
      </c>
      <c r="B14" s="1" t="n">
        <v>45622.51762731482</v>
      </c>
      <c r="C14" s="1" t="n">
        <v>45885</v>
      </c>
      <c r="D14" t="inlineStr">
        <is>
          <t>UPPSALA LÄN</t>
        </is>
      </c>
      <c r="E14" t="inlineStr">
        <is>
          <t>ÄLVKARLEBY</t>
        </is>
      </c>
      <c r="F14" t="inlineStr">
        <is>
          <t>Bergvik skog väst AB</t>
        </is>
      </c>
      <c r="G14" t="n">
        <v>0.7</v>
      </c>
      <c r="H14" t="n">
        <v>1</v>
      </c>
      <c r="I14" t="n">
        <v>0</v>
      </c>
      <c r="J14" t="n">
        <v>1</v>
      </c>
      <c r="K14" t="n">
        <v>1</v>
      </c>
      <c r="L14" t="n">
        <v>1</v>
      </c>
      <c r="M14" t="n">
        <v>0</v>
      </c>
      <c r="N14" t="n">
        <v>0</v>
      </c>
      <c r="O14" t="n">
        <v>3</v>
      </c>
      <c r="P14" t="n">
        <v>2</v>
      </c>
      <c r="Q14" t="n">
        <v>3</v>
      </c>
      <c r="R14" s="2" t="inlineStr">
        <is>
          <t>Skeletocutis jelicii
Knärot
Vedtrappmossa</t>
        </is>
      </c>
      <c r="S14">
        <f>HYPERLINK("https://klasma.github.io/Logging_0319/artfynd/A 55555-2024 artfynd.xlsx", "A 55555-2024")</f>
        <v/>
      </c>
      <c r="T14">
        <f>HYPERLINK("https://klasma.github.io/Logging_0319/kartor/A 55555-2024 karta.png", "A 55555-2024")</f>
        <v/>
      </c>
      <c r="U14">
        <f>HYPERLINK("https://klasma.github.io/Logging_0319/knärot/A 55555-2024 karta knärot.png", "A 55555-2024")</f>
        <v/>
      </c>
      <c r="V14">
        <f>HYPERLINK("https://klasma.github.io/Logging_0319/klagomål/A 55555-2024 FSC-klagomål.docx", "A 55555-2024")</f>
        <v/>
      </c>
      <c r="W14">
        <f>HYPERLINK("https://klasma.github.io/Logging_0319/klagomålsmail/A 55555-2024 FSC-klagomål mail.docx", "A 55555-2024")</f>
        <v/>
      </c>
      <c r="X14">
        <f>HYPERLINK("https://klasma.github.io/Logging_0319/tillsyn/A 55555-2024 tillsynsbegäran.docx", "A 55555-2024")</f>
        <v/>
      </c>
      <c r="Y14">
        <f>HYPERLINK("https://klasma.github.io/Logging_0319/tillsynsmail/A 55555-2024 tillsynsbegäran mail.docx", "A 55555-2024")</f>
        <v/>
      </c>
    </row>
    <row r="15" ht="15" customHeight="1">
      <c r="A15" t="inlineStr">
        <is>
          <t>A 55547-2024</t>
        </is>
      </c>
      <c r="B15" s="1" t="n">
        <v>45622.5105787037</v>
      </c>
      <c r="C15" s="1" t="n">
        <v>45885</v>
      </c>
      <c r="D15" t="inlineStr">
        <is>
          <t>UPPSALA LÄN</t>
        </is>
      </c>
      <c r="E15" t="inlineStr">
        <is>
          <t>ÄLVKARLEBY</t>
        </is>
      </c>
      <c r="F15" t="inlineStr">
        <is>
          <t>Bergvik skog väst AB</t>
        </is>
      </c>
      <c r="G15" t="n">
        <v>0.9</v>
      </c>
      <c r="H15" t="n">
        <v>2</v>
      </c>
      <c r="I15" t="n">
        <v>1</v>
      </c>
      <c r="J15" t="n">
        <v>0</v>
      </c>
      <c r="K15" t="n">
        <v>1</v>
      </c>
      <c r="L15" t="n">
        <v>0</v>
      </c>
      <c r="M15" t="n">
        <v>0</v>
      </c>
      <c r="N15" t="n">
        <v>0</v>
      </c>
      <c r="O15" t="n">
        <v>1</v>
      </c>
      <c r="P15" t="n">
        <v>1</v>
      </c>
      <c r="Q15" t="n">
        <v>3</v>
      </c>
      <c r="R15" s="2" t="inlineStr">
        <is>
          <t>Knärot
Vedticka
Sparvuggla</t>
        </is>
      </c>
      <c r="S15">
        <f>HYPERLINK("https://klasma.github.io/Logging_0319/artfynd/A 55547-2024 artfynd.xlsx", "A 55547-2024")</f>
        <v/>
      </c>
      <c r="T15">
        <f>HYPERLINK("https://klasma.github.io/Logging_0319/kartor/A 55547-2024 karta.png", "A 55547-2024")</f>
        <v/>
      </c>
      <c r="U15">
        <f>HYPERLINK("https://klasma.github.io/Logging_0319/knärot/A 55547-2024 karta knärot.png", "A 55547-2024")</f>
        <v/>
      </c>
      <c r="V15">
        <f>HYPERLINK("https://klasma.github.io/Logging_0319/klagomål/A 55547-2024 FSC-klagomål.docx", "A 55547-2024")</f>
        <v/>
      </c>
      <c r="W15">
        <f>HYPERLINK("https://klasma.github.io/Logging_0319/klagomålsmail/A 55547-2024 FSC-klagomål mail.docx", "A 55547-2024")</f>
        <v/>
      </c>
      <c r="X15">
        <f>HYPERLINK("https://klasma.github.io/Logging_0319/tillsyn/A 55547-2024 tillsynsbegäran.docx", "A 55547-2024")</f>
        <v/>
      </c>
      <c r="Y15">
        <f>HYPERLINK("https://klasma.github.io/Logging_0319/tillsynsmail/A 55547-2024 tillsynsbegäran mail.docx", "A 55547-2024")</f>
        <v/>
      </c>
      <c r="Z15">
        <f>HYPERLINK("https://klasma.github.io/Logging_0319/fåglar/A 55547-2024 prioriterade fågelarter.docx", "A 55547-2024")</f>
        <v/>
      </c>
    </row>
    <row r="16" ht="15" customHeight="1">
      <c r="A16" t="inlineStr">
        <is>
          <t>A 34798-2024</t>
        </is>
      </c>
      <c r="B16" s="1" t="n">
        <v>45526</v>
      </c>
      <c r="C16" s="1" t="n">
        <v>45885</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21007-2025</t>
        </is>
      </c>
      <c r="B17" s="1" t="n">
        <v>45777</v>
      </c>
      <c r="C17" s="1" t="n">
        <v>45885</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45885</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45885</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45885</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9521-2025</t>
        </is>
      </c>
      <c r="B21" s="1" t="n">
        <v>45715.56259259259</v>
      </c>
      <c r="C21" s="1" t="n">
        <v>45885</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66277-2020</t>
        </is>
      </c>
      <c r="B22" s="1" t="n">
        <v>44176</v>
      </c>
      <c r="C22" s="1" t="n">
        <v>45885</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19300-2024</t>
        </is>
      </c>
      <c r="B23" s="1" t="n">
        <v>45428.70128472222</v>
      </c>
      <c r="C23" s="1" t="n">
        <v>45885</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21700-2024</t>
        </is>
      </c>
      <c r="B24" s="1" t="n">
        <v>45442</v>
      </c>
      <c r="C24" s="1" t="n">
        <v>45885</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45885</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50416-2020</t>
        </is>
      </c>
      <c r="B26" s="1" t="n">
        <v>44110</v>
      </c>
      <c r="C26" s="1" t="n">
        <v>45885</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45885</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45885</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45885</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9533-2025</t>
        </is>
      </c>
      <c r="B30" s="1" t="n">
        <v>45715.57082175926</v>
      </c>
      <c r="C30" s="1" t="n">
        <v>45885</v>
      </c>
      <c r="D30" t="inlineStr">
        <is>
          <t>UPPSALA LÄN</t>
        </is>
      </c>
      <c r="E30" t="inlineStr">
        <is>
          <t>ÄLVKARLEBY</t>
        </is>
      </c>
      <c r="G30" t="n">
        <v>2.1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45885</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19697-2025</t>
        </is>
      </c>
      <c r="B32" s="1" t="n">
        <v>45771</v>
      </c>
      <c r="C32" s="1" t="n">
        <v>45885</v>
      </c>
      <c r="D32" t="inlineStr">
        <is>
          <t>UPPSALA LÄN</t>
        </is>
      </c>
      <c r="E32" t="inlineStr">
        <is>
          <t>ÄLVKARLEBY</t>
        </is>
      </c>
      <c r="F32" t="inlineStr">
        <is>
          <t>Bergvik skog väst AB</t>
        </is>
      </c>
      <c r="G32" t="n">
        <v>3.3</v>
      </c>
      <c r="H32" t="n">
        <v>0</v>
      </c>
      <c r="I32" t="n">
        <v>0</v>
      </c>
      <c r="J32" t="n">
        <v>0</v>
      </c>
      <c r="K32" t="n">
        <v>0</v>
      </c>
      <c r="L32" t="n">
        <v>0</v>
      </c>
      <c r="M32" t="n">
        <v>0</v>
      </c>
      <c r="N32" t="n">
        <v>0</v>
      </c>
      <c r="O32" t="n">
        <v>0</v>
      </c>
      <c r="P32" t="n">
        <v>0</v>
      </c>
      <c r="Q32" t="n">
        <v>0</v>
      </c>
      <c r="R32" s="2" t="inlineStr"/>
    </row>
    <row r="33" ht="15" customHeight="1">
      <c r="A33" t="inlineStr">
        <is>
          <t>A 21012-2025</t>
        </is>
      </c>
      <c r="B33" s="1" t="n">
        <v>45777</v>
      </c>
      <c r="C33" s="1" t="n">
        <v>45885</v>
      </c>
      <c r="D33" t="inlineStr">
        <is>
          <t>UPPSALA LÄN</t>
        </is>
      </c>
      <c r="E33" t="inlineStr">
        <is>
          <t>ÄLVKARLEBY</t>
        </is>
      </c>
      <c r="F33" t="inlineStr">
        <is>
          <t>Bergvik skog väst AB</t>
        </is>
      </c>
      <c r="G33" t="n">
        <v>1.8</v>
      </c>
      <c r="H33" t="n">
        <v>0</v>
      </c>
      <c r="I33" t="n">
        <v>0</v>
      </c>
      <c r="J33" t="n">
        <v>0</v>
      </c>
      <c r="K33" t="n">
        <v>0</v>
      </c>
      <c r="L33" t="n">
        <v>0</v>
      </c>
      <c r="M33" t="n">
        <v>0</v>
      </c>
      <c r="N33" t="n">
        <v>0</v>
      </c>
      <c r="O33" t="n">
        <v>0</v>
      </c>
      <c r="P33" t="n">
        <v>0</v>
      </c>
      <c r="Q33" t="n">
        <v>0</v>
      </c>
      <c r="R33" s="2" t="inlineStr"/>
    </row>
    <row r="34" ht="15" customHeight="1">
      <c r="A34" t="inlineStr">
        <is>
          <t>A 22223-2025</t>
        </is>
      </c>
      <c r="B34" s="1" t="n">
        <v>45785</v>
      </c>
      <c r="C34" s="1" t="n">
        <v>45885</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41272-2023</t>
        </is>
      </c>
      <c r="B35" s="1" t="n">
        <v>45174</v>
      </c>
      <c r="C35" s="1" t="n">
        <v>45885</v>
      </c>
      <c r="D35" t="inlineStr">
        <is>
          <t>UPPSALA LÄN</t>
        </is>
      </c>
      <c r="E35" t="inlineStr">
        <is>
          <t>ÄLVKARLEBY</t>
        </is>
      </c>
      <c r="F35" t="inlineStr">
        <is>
          <t>Bergvik skog väst AB</t>
        </is>
      </c>
      <c r="G35" t="n">
        <v>0.9</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45885</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19304-2024</t>
        </is>
      </c>
      <c r="B37" s="1" t="n">
        <v>45428</v>
      </c>
      <c r="C37" s="1" t="n">
        <v>45885</v>
      </c>
      <c r="D37" t="inlineStr">
        <is>
          <t>UPPSALA LÄN</t>
        </is>
      </c>
      <c r="E37" t="inlineStr">
        <is>
          <t>ÄLVKARLEBY</t>
        </is>
      </c>
      <c r="G37" t="n">
        <v>0.2</v>
      </c>
      <c r="H37" t="n">
        <v>0</v>
      </c>
      <c r="I37" t="n">
        <v>0</v>
      </c>
      <c r="J37" t="n">
        <v>0</v>
      </c>
      <c r="K37" t="n">
        <v>0</v>
      </c>
      <c r="L37" t="n">
        <v>0</v>
      </c>
      <c r="M37" t="n">
        <v>0</v>
      </c>
      <c r="N37" t="n">
        <v>0</v>
      </c>
      <c r="O37" t="n">
        <v>0</v>
      </c>
      <c r="P37" t="n">
        <v>0</v>
      </c>
      <c r="Q37" t="n">
        <v>0</v>
      </c>
      <c r="R37" s="2" t="inlineStr"/>
    </row>
    <row r="38" ht="15" customHeight="1">
      <c r="A38" t="inlineStr">
        <is>
          <t>A 24593-2025</t>
        </is>
      </c>
      <c r="B38" s="1" t="n">
        <v>45798</v>
      </c>
      <c r="C38" s="1" t="n">
        <v>45885</v>
      </c>
      <c r="D38" t="inlineStr">
        <is>
          <t>UPPSALA LÄN</t>
        </is>
      </c>
      <c r="E38" t="inlineStr">
        <is>
          <t>ÄLVKARLEBY</t>
        </is>
      </c>
      <c r="F38" t="inlineStr">
        <is>
          <t>Bergvik skog väst AB</t>
        </is>
      </c>
      <c r="G38" t="n">
        <v>0.6</v>
      </c>
      <c r="H38" t="n">
        <v>0</v>
      </c>
      <c r="I38" t="n">
        <v>0</v>
      </c>
      <c r="J38" t="n">
        <v>0</v>
      </c>
      <c r="K38" t="n">
        <v>0</v>
      </c>
      <c r="L38" t="n">
        <v>0</v>
      </c>
      <c r="M38" t="n">
        <v>0</v>
      </c>
      <c r="N38" t="n">
        <v>0</v>
      </c>
      <c r="O38" t="n">
        <v>0</v>
      </c>
      <c r="P38" t="n">
        <v>0</v>
      </c>
      <c r="Q38" t="n">
        <v>0</v>
      </c>
      <c r="R38" s="2" t="inlineStr"/>
    </row>
    <row r="39" ht="15" customHeight="1">
      <c r="A39" t="inlineStr">
        <is>
          <t>A 24591-2025</t>
        </is>
      </c>
      <c r="B39" s="1" t="n">
        <v>45798.53666666667</v>
      </c>
      <c r="C39" s="1" t="n">
        <v>45885</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56864-2024</t>
        </is>
      </c>
      <c r="B40" s="1" t="n">
        <v>45628.55212962963</v>
      </c>
      <c r="C40" s="1" t="n">
        <v>45885</v>
      </c>
      <c r="D40" t="inlineStr">
        <is>
          <t>UPPSALA LÄN</t>
        </is>
      </c>
      <c r="E40" t="inlineStr">
        <is>
          <t>ÄLVKARLEBY</t>
        </is>
      </c>
      <c r="F40" t="inlineStr">
        <is>
          <t>Bergvik skog väst AB</t>
        </is>
      </c>
      <c r="G40" t="n">
        <v>11.3</v>
      </c>
      <c r="H40" t="n">
        <v>0</v>
      </c>
      <c r="I40" t="n">
        <v>0</v>
      </c>
      <c r="J40" t="n">
        <v>0</v>
      </c>
      <c r="K40" t="n">
        <v>0</v>
      </c>
      <c r="L40" t="n">
        <v>0</v>
      </c>
      <c r="M40" t="n">
        <v>0</v>
      </c>
      <c r="N40" t="n">
        <v>0</v>
      </c>
      <c r="O40" t="n">
        <v>0</v>
      </c>
      <c r="P40" t="n">
        <v>0</v>
      </c>
      <c r="Q40" t="n">
        <v>0</v>
      </c>
      <c r="R40" s="2" t="inlineStr"/>
    </row>
    <row r="41" ht="15" customHeight="1">
      <c r="A41" t="inlineStr">
        <is>
          <t>A 24592-2025</t>
        </is>
      </c>
      <c r="B41" s="1" t="n">
        <v>45798.54337962963</v>
      </c>
      <c r="C41" s="1" t="n">
        <v>45885</v>
      </c>
      <c r="D41" t="inlineStr">
        <is>
          <t>UPPSALA LÄN</t>
        </is>
      </c>
      <c r="E41" t="inlineStr">
        <is>
          <t>ÄLVKARLEBY</t>
        </is>
      </c>
      <c r="F41" t="inlineStr">
        <is>
          <t>Bergvik skog väst AB</t>
        </is>
      </c>
      <c r="G41" t="n">
        <v>2.5</v>
      </c>
      <c r="H41" t="n">
        <v>0</v>
      </c>
      <c r="I41" t="n">
        <v>0</v>
      </c>
      <c r="J41" t="n">
        <v>0</v>
      </c>
      <c r="K41" t="n">
        <v>0</v>
      </c>
      <c r="L41" t="n">
        <v>0</v>
      </c>
      <c r="M41" t="n">
        <v>0</v>
      </c>
      <c r="N41" t="n">
        <v>0</v>
      </c>
      <c r="O41" t="n">
        <v>0</v>
      </c>
      <c r="P41" t="n">
        <v>0</v>
      </c>
      <c r="Q41" t="n">
        <v>0</v>
      </c>
      <c r="R41" s="2" t="inlineStr"/>
    </row>
    <row r="42" ht="15" customHeight="1">
      <c r="A42" t="inlineStr">
        <is>
          <t>A 25330-2025</t>
        </is>
      </c>
      <c r="B42" s="1" t="n">
        <v>45800.59114583334</v>
      </c>
      <c r="C42" s="1" t="n">
        <v>45885</v>
      </c>
      <c r="D42" t="inlineStr">
        <is>
          <t>UPPSALA LÄN</t>
        </is>
      </c>
      <c r="E42" t="inlineStr">
        <is>
          <t>ÄLVKARLEBY</t>
        </is>
      </c>
      <c r="F42" t="inlineStr">
        <is>
          <t>Bergvik skog väst AB</t>
        </is>
      </c>
      <c r="G42" t="n">
        <v>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45885</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45885</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15739-2025</t>
        </is>
      </c>
      <c r="B45" s="1" t="n">
        <v>45748.54612268518</v>
      </c>
      <c r="C45" s="1" t="n">
        <v>45885</v>
      </c>
      <c r="D45" t="inlineStr">
        <is>
          <t>UPPSALA LÄN</t>
        </is>
      </c>
      <c r="E45" t="inlineStr">
        <is>
          <t>ÄLVKARLEBY</t>
        </is>
      </c>
      <c r="F45" t="inlineStr">
        <is>
          <t>Kyrkan</t>
        </is>
      </c>
      <c r="G45" t="n">
        <v>2.4</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45885</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19303-2024</t>
        </is>
      </c>
      <c r="B47" s="1" t="n">
        <v>45428.70386574074</v>
      </c>
      <c r="C47" s="1" t="n">
        <v>45885</v>
      </c>
      <c r="D47" t="inlineStr">
        <is>
          <t>UPPSALA LÄN</t>
        </is>
      </c>
      <c r="E47" t="inlineStr">
        <is>
          <t>ÄLVKARLEBY</t>
        </is>
      </c>
      <c r="G47" t="n">
        <v>0.4</v>
      </c>
      <c r="H47" t="n">
        <v>0</v>
      </c>
      <c r="I47" t="n">
        <v>0</v>
      </c>
      <c r="J47" t="n">
        <v>0</v>
      </c>
      <c r="K47" t="n">
        <v>0</v>
      </c>
      <c r="L47" t="n">
        <v>0</v>
      </c>
      <c r="M47" t="n">
        <v>0</v>
      </c>
      <c r="N47" t="n">
        <v>0</v>
      </c>
      <c r="O47" t="n">
        <v>0</v>
      </c>
      <c r="P47" t="n">
        <v>0</v>
      </c>
      <c r="Q47" t="n">
        <v>0</v>
      </c>
      <c r="R47" s="2" t="inlineStr"/>
    </row>
    <row r="48" ht="15" customHeight="1">
      <c r="A48" t="inlineStr">
        <is>
          <t>A 11553-2021</t>
        </is>
      </c>
      <c r="B48" s="1" t="n">
        <v>44264.48725694444</v>
      </c>
      <c r="C48" s="1" t="n">
        <v>45885</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45885</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26668-2025</t>
        </is>
      </c>
      <c r="B50" s="1" t="n">
        <v>45810.41017361111</v>
      </c>
      <c r="C50" s="1" t="n">
        <v>45885</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45885</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3950-2025</t>
        </is>
      </c>
      <c r="B52" s="1" t="n">
        <v>45684</v>
      </c>
      <c r="C52" s="1" t="n">
        <v>45885</v>
      </c>
      <c r="D52" t="inlineStr">
        <is>
          <t>UPPSALA LÄN</t>
        </is>
      </c>
      <c r="E52" t="inlineStr">
        <is>
          <t>ÄLVKARLEBY</t>
        </is>
      </c>
      <c r="G52" t="n">
        <v>3.1</v>
      </c>
      <c r="H52" t="n">
        <v>0</v>
      </c>
      <c r="I52" t="n">
        <v>0</v>
      </c>
      <c r="J52" t="n">
        <v>0</v>
      </c>
      <c r="K52" t="n">
        <v>0</v>
      </c>
      <c r="L52" t="n">
        <v>0</v>
      </c>
      <c r="M52" t="n">
        <v>0</v>
      </c>
      <c r="N52" t="n">
        <v>0</v>
      </c>
      <c r="O52" t="n">
        <v>0</v>
      </c>
      <c r="P52" t="n">
        <v>0</v>
      </c>
      <c r="Q52" t="n">
        <v>0</v>
      </c>
      <c r="R52" s="2" t="inlineStr"/>
    </row>
    <row r="53" ht="15" customHeight="1">
      <c r="A53" t="inlineStr">
        <is>
          <t>A 27330-2025</t>
        </is>
      </c>
      <c r="B53" s="1" t="n">
        <v>45812.60934027778</v>
      </c>
      <c r="C53" s="1" t="n">
        <v>45885</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27743-2025</t>
        </is>
      </c>
      <c r="B54" s="1" t="n">
        <v>45815.53981481482</v>
      </c>
      <c r="C54" s="1" t="n">
        <v>45885</v>
      </c>
      <c r="D54" t="inlineStr">
        <is>
          <t>UPPSALA LÄN</t>
        </is>
      </c>
      <c r="E54" t="inlineStr">
        <is>
          <t>ÄLVKARLEBY</t>
        </is>
      </c>
      <c r="F54" t="inlineStr">
        <is>
          <t>Bergvik skog väst AB</t>
        </is>
      </c>
      <c r="G54" t="n">
        <v>1.1</v>
      </c>
      <c r="H54" t="n">
        <v>0</v>
      </c>
      <c r="I54" t="n">
        <v>0</v>
      </c>
      <c r="J54" t="n">
        <v>0</v>
      </c>
      <c r="K54" t="n">
        <v>0</v>
      </c>
      <c r="L54" t="n">
        <v>0</v>
      </c>
      <c r="M54" t="n">
        <v>0</v>
      </c>
      <c r="N54" t="n">
        <v>0</v>
      </c>
      <c r="O54" t="n">
        <v>0</v>
      </c>
      <c r="P54" t="n">
        <v>0</v>
      </c>
      <c r="Q54" t="n">
        <v>0</v>
      </c>
      <c r="R54" s="2" t="inlineStr"/>
    </row>
    <row r="55" ht="15" customHeight="1">
      <c r="A55" t="inlineStr">
        <is>
          <t>A 27742-2025</t>
        </is>
      </c>
      <c r="B55" s="1" t="n">
        <v>45815.53724537037</v>
      </c>
      <c r="C55" s="1" t="n">
        <v>45885</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38226-2023</t>
        </is>
      </c>
      <c r="B56" s="1" t="n">
        <v>45161</v>
      </c>
      <c r="C56" s="1" t="n">
        <v>45885</v>
      </c>
      <c r="D56" t="inlineStr">
        <is>
          <t>UPPSALA LÄN</t>
        </is>
      </c>
      <c r="E56" t="inlineStr">
        <is>
          <t>ÄLVKARLEBY</t>
        </is>
      </c>
      <c r="F56" t="inlineStr">
        <is>
          <t>Bergvik skog väst AB</t>
        </is>
      </c>
      <c r="G56" t="n">
        <v>4.5</v>
      </c>
      <c r="H56" t="n">
        <v>0</v>
      </c>
      <c r="I56" t="n">
        <v>0</v>
      </c>
      <c r="J56" t="n">
        <v>0</v>
      </c>
      <c r="K56" t="n">
        <v>0</v>
      </c>
      <c r="L56" t="n">
        <v>0</v>
      </c>
      <c r="M56" t="n">
        <v>0</v>
      </c>
      <c r="N56" t="n">
        <v>0</v>
      </c>
      <c r="O56" t="n">
        <v>0</v>
      </c>
      <c r="P56" t="n">
        <v>0</v>
      </c>
      <c r="Q56" t="n">
        <v>0</v>
      </c>
      <c r="R56" s="2" t="inlineStr"/>
    </row>
    <row r="57" ht="15" customHeight="1">
      <c r="A57" t="inlineStr">
        <is>
          <t>A 27741-2025</t>
        </is>
      </c>
      <c r="B57" s="1" t="n">
        <v>45815.5346875</v>
      </c>
      <c r="C57" s="1" t="n">
        <v>45885</v>
      </c>
      <c r="D57" t="inlineStr">
        <is>
          <t>UPPSALA LÄN</t>
        </is>
      </c>
      <c r="E57" t="inlineStr">
        <is>
          <t>ÄLVKARLEBY</t>
        </is>
      </c>
      <c r="F57" t="inlineStr">
        <is>
          <t>Bergvik skog väst AB</t>
        </is>
      </c>
      <c r="G57" t="n">
        <v>4.4</v>
      </c>
      <c r="H57" t="n">
        <v>0</v>
      </c>
      <c r="I57" t="n">
        <v>0</v>
      </c>
      <c r="J57" t="n">
        <v>0</v>
      </c>
      <c r="K57" t="n">
        <v>0</v>
      </c>
      <c r="L57" t="n">
        <v>0</v>
      </c>
      <c r="M57" t="n">
        <v>0</v>
      </c>
      <c r="N57" t="n">
        <v>0</v>
      </c>
      <c r="O57" t="n">
        <v>0</v>
      </c>
      <c r="P57" t="n">
        <v>0</v>
      </c>
      <c r="Q57" t="n">
        <v>0</v>
      </c>
      <c r="R57" s="2" t="inlineStr"/>
    </row>
    <row r="58" ht="15" customHeight="1">
      <c r="A58" t="inlineStr">
        <is>
          <t>A 8030-2025</t>
        </is>
      </c>
      <c r="B58" s="1" t="n">
        <v>45707.59064814815</v>
      </c>
      <c r="C58" s="1" t="n">
        <v>45885</v>
      </c>
      <c r="D58" t="inlineStr">
        <is>
          <t>UPPSALA LÄN</t>
        </is>
      </c>
      <c r="E58" t="inlineStr">
        <is>
          <t>ÄLVKARLEBY</t>
        </is>
      </c>
      <c r="F58" t="inlineStr">
        <is>
          <t>Bergvik skog väst AB</t>
        </is>
      </c>
      <c r="G58" t="n">
        <v>3.6</v>
      </c>
      <c r="H58" t="n">
        <v>0</v>
      </c>
      <c r="I58" t="n">
        <v>0</v>
      </c>
      <c r="J58" t="n">
        <v>0</v>
      </c>
      <c r="K58" t="n">
        <v>0</v>
      </c>
      <c r="L58" t="n">
        <v>0</v>
      </c>
      <c r="M58" t="n">
        <v>0</v>
      </c>
      <c r="N58" t="n">
        <v>0</v>
      </c>
      <c r="O58" t="n">
        <v>0</v>
      </c>
      <c r="P58" t="n">
        <v>0</v>
      </c>
      <c r="Q58" t="n">
        <v>0</v>
      </c>
      <c r="R58" s="2" t="inlineStr"/>
    </row>
    <row r="59" ht="15" customHeight="1">
      <c r="A59" t="inlineStr">
        <is>
          <t>A 28670-2025</t>
        </is>
      </c>
      <c r="B59" s="1" t="n">
        <v>45819.67130787037</v>
      </c>
      <c r="C59" s="1" t="n">
        <v>45885</v>
      </c>
      <c r="D59" t="inlineStr">
        <is>
          <t>UPPSALA LÄN</t>
        </is>
      </c>
      <c r="E59" t="inlineStr">
        <is>
          <t>ÄLVKARLEBY</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28668-2025</t>
        </is>
      </c>
      <c r="B60" s="1" t="n">
        <v>45819.66650462963</v>
      </c>
      <c r="C60" s="1" t="n">
        <v>45885</v>
      </c>
      <c r="D60" t="inlineStr">
        <is>
          <t>UPPSALA LÄN</t>
        </is>
      </c>
      <c r="E60" t="inlineStr">
        <is>
          <t>ÄLVKARLEBY</t>
        </is>
      </c>
      <c r="F60" t="inlineStr">
        <is>
          <t>Bergvik skog väst AB</t>
        </is>
      </c>
      <c r="G60" t="n">
        <v>8.300000000000001</v>
      </c>
      <c r="H60" t="n">
        <v>0</v>
      </c>
      <c r="I60" t="n">
        <v>0</v>
      </c>
      <c r="J60" t="n">
        <v>0</v>
      </c>
      <c r="K60" t="n">
        <v>0</v>
      </c>
      <c r="L60" t="n">
        <v>0</v>
      </c>
      <c r="M60" t="n">
        <v>0</v>
      </c>
      <c r="N60" t="n">
        <v>0</v>
      </c>
      <c r="O60" t="n">
        <v>0</v>
      </c>
      <c r="P60" t="n">
        <v>0</v>
      </c>
      <c r="Q60" t="n">
        <v>0</v>
      </c>
      <c r="R60" s="2" t="inlineStr"/>
    </row>
    <row r="61" ht="15" customHeight="1">
      <c r="A61" t="inlineStr">
        <is>
          <t>A 30483-2025</t>
        </is>
      </c>
      <c r="B61" s="1" t="n">
        <v>45828.68988425926</v>
      </c>
      <c r="C61" s="1" t="n">
        <v>45885</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45885</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19703-2025</t>
        </is>
      </c>
      <c r="B63" s="1" t="n">
        <v>45771</v>
      </c>
      <c r="C63" s="1" t="n">
        <v>45885</v>
      </c>
      <c r="D63" t="inlineStr">
        <is>
          <t>UPPSALA LÄN</t>
        </is>
      </c>
      <c r="E63" t="inlineStr">
        <is>
          <t>ÄLVKARLEBY</t>
        </is>
      </c>
      <c r="F63" t="inlineStr">
        <is>
          <t>Bergvik skog väst AB</t>
        </is>
      </c>
      <c r="G63" t="n">
        <v>3.8</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45885</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45372-2024</t>
        </is>
      </c>
      <c r="B65" s="1" t="n">
        <v>45576.51116898148</v>
      </c>
      <c r="C65" s="1" t="n">
        <v>45885</v>
      </c>
      <c r="D65" t="inlineStr">
        <is>
          <t>UPPSALA LÄN</t>
        </is>
      </c>
      <c r="E65" t="inlineStr">
        <is>
          <t>ÄLVKARLEBY</t>
        </is>
      </c>
      <c r="F65" t="inlineStr">
        <is>
          <t>Bergvik skog väst AB</t>
        </is>
      </c>
      <c r="G65" t="n">
        <v>3.4</v>
      </c>
      <c r="H65" t="n">
        <v>0</v>
      </c>
      <c r="I65" t="n">
        <v>0</v>
      </c>
      <c r="J65" t="n">
        <v>0</v>
      </c>
      <c r="K65" t="n">
        <v>0</v>
      </c>
      <c r="L65" t="n">
        <v>0</v>
      </c>
      <c r="M65" t="n">
        <v>0</v>
      </c>
      <c r="N65" t="n">
        <v>0</v>
      </c>
      <c r="O65" t="n">
        <v>0</v>
      </c>
      <c r="P65" t="n">
        <v>0</v>
      </c>
      <c r="Q65" t="n">
        <v>0</v>
      </c>
      <c r="R65" s="2" t="inlineStr"/>
    </row>
    <row r="66" ht="15" customHeight="1">
      <c r="A66" t="inlineStr">
        <is>
          <t>A 30936-2025</t>
        </is>
      </c>
      <c r="B66" s="1" t="n">
        <v>45832.40586805555</v>
      </c>
      <c r="C66" s="1" t="n">
        <v>45885</v>
      </c>
      <c r="D66" t="inlineStr">
        <is>
          <t>UPPSALA LÄN</t>
        </is>
      </c>
      <c r="E66" t="inlineStr">
        <is>
          <t>ÄLVKARLEBY</t>
        </is>
      </c>
      <c r="F66" t="inlineStr">
        <is>
          <t>Bergvik skog öst AB</t>
        </is>
      </c>
      <c r="G66" t="n">
        <v>7.2</v>
      </c>
      <c r="H66" t="n">
        <v>0</v>
      </c>
      <c r="I66" t="n">
        <v>0</v>
      </c>
      <c r="J66" t="n">
        <v>0</v>
      </c>
      <c r="K66" t="n">
        <v>0</v>
      </c>
      <c r="L66" t="n">
        <v>0</v>
      </c>
      <c r="M66" t="n">
        <v>0</v>
      </c>
      <c r="N66" t="n">
        <v>0</v>
      </c>
      <c r="O66" t="n">
        <v>0</v>
      </c>
      <c r="P66" t="n">
        <v>0</v>
      </c>
      <c r="Q66" t="n">
        <v>0</v>
      </c>
      <c r="R66" s="2" t="inlineStr"/>
    </row>
    <row r="67" ht="15" customHeight="1">
      <c r="A67" t="inlineStr">
        <is>
          <t>A 46113-2023</t>
        </is>
      </c>
      <c r="B67" s="1" t="n">
        <v>45196.54938657407</v>
      </c>
      <c r="C67" s="1" t="n">
        <v>45885</v>
      </c>
      <c r="D67" t="inlineStr">
        <is>
          <t>UPPSALA LÄN</t>
        </is>
      </c>
      <c r="E67" t="inlineStr">
        <is>
          <t>ÄLVKARLEBY</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50409-2020</t>
        </is>
      </c>
      <c r="B68" s="1" t="n">
        <v>44110</v>
      </c>
      <c r="C68" s="1" t="n">
        <v>45885</v>
      </c>
      <c r="D68" t="inlineStr">
        <is>
          <t>UPPSALA LÄN</t>
        </is>
      </c>
      <c r="E68" t="inlineStr">
        <is>
          <t>ÄLVKARLEBY</t>
        </is>
      </c>
      <c r="F68" t="inlineStr">
        <is>
          <t>Bergvik skog väst AB</t>
        </is>
      </c>
      <c r="G68" t="n">
        <v>4</v>
      </c>
      <c r="H68" t="n">
        <v>0</v>
      </c>
      <c r="I68" t="n">
        <v>0</v>
      </c>
      <c r="J68" t="n">
        <v>0</v>
      </c>
      <c r="K68" t="n">
        <v>0</v>
      </c>
      <c r="L68" t="n">
        <v>0</v>
      </c>
      <c r="M68" t="n">
        <v>0</v>
      </c>
      <c r="N68" t="n">
        <v>0</v>
      </c>
      <c r="O68" t="n">
        <v>0</v>
      </c>
      <c r="P68" t="n">
        <v>0</v>
      </c>
      <c r="Q68" t="n">
        <v>0</v>
      </c>
      <c r="R68" s="2" t="inlineStr"/>
    </row>
    <row r="69" ht="15" customHeight="1">
      <c r="A69" t="inlineStr">
        <is>
          <t>A 32221-2025</t>
        </is>
      </c>
      <c r="B69" s="1" t="n">
        <v>45835.5909837963</v>
      </c>
      <c r="C69" s="1" t="n">
        <v>45885</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32203-2025</t>
        </is>
      </c>
      <c r="B70" s="1" t="n">
        <v>45835.57951388889</v>
      </c>
      <c r="C70" s="1" t="n">
        <v>45885</v>
      </c>
      <c r="D70" t="inlineStr">
        <is>
          <t>UPPSALA LÄN</t>
        </is>
      </c>
      <c r="E70" t="inlineStr">
        <is>
          <t>ÄLVKARLEBY</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16990-2022</t>
        </is>
      </c>
      <c r="B71" s="1" t="n">
        <v>44676.6122337963</v>
      </c>
      <c r="C71" s="1" t="n">
        <v>45885</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32186-2025</t>
        </is>
      </c>
      <c r="B72" s="1" t="n">
        <v>45835.5667824074</v>
      </c>
      <c r="C72" s="1" t="n">
        <v>45885</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32187-2025</t>
        </is>
      </c>
      <c r="B73" s="1" t="n">
        <v>45835.56949074074</v>
      </c>
      <c r="C73" s="1" t="n">
        <v>45885</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32212-2025</t>
        </is>
      </c>
      <c r="B74" s="1" t="n">
        <v>45835.58509259259</v>
      </c>
      <c r="C74" s="1" t="n">
        <v>45885</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41979-2024</t>
        </is>
      </c>
      <c r="B75" s="1" t="n">
        <v>45561</v>
      </c>
      <c r="C75" s="1" t="n">
        <v>45885</v>
      </c>
      <c r="D75" t="inlineStr">
        <is>
          <t>UPPSALA LÄN</t>
        </is>
      </c>
      <c r="E75" t="inlineStr">
        <is>
          <t>ÄLVKARLEBY</t>
        </is>
      </c>
      <c r="F75" t="inlineStr">
        <is>
          <t>Bergvik skog väst AB</t>
        </is>
      </c>
      <c r="G75" t="n">
        <v>2.8</v>
      </c>
      <c r="H75" t="n">
        <v>0</v>
      </c>
      <c r="I75" t="n">
        <v>0</v>
      </c>
      <c r="J75" t="n">
        <v>0</v>
      </c>
      <c r="K75" t="n">
        <v>0</v>
      </c>
      <c r="L75" t="n">
        <v>0</v>
      </c>
      <c r="M75" t="n">
        <v>0</v>
      </c>
      <c r="N75" t="n">
        <v>0</v>
      </c>
      <c r="O75" t="n">
        <v>0</v>
      </c>
      <c r="P75" t="n">
        <v>0</v>
      </c>
      <c r="Q75" t="n">
        <v>0</v>
      </c>
      <c r="R75" s="2" t="inlineStr"/>
    </row>
    <row r="76" ht="15" customHeight="1">
      <c r="A76" t="inlineStr">
        <is>
          <t>A 39791-2021</t>
        </is>
      </c>
      <c r="B76" s="1" t="n">
        <v>44417</v>
      </c>
      <c r="C76" s="1" t="n">
        <v>45885</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41276-2023</t>
        </is>
      </c>
      <c r="B77" s="1" t="n">
        <v>45174</v>
      </c>
      <c r="C77" s="1" t="n">
        <v>45885</v>
      </c>
      <c r="D77" t="inlineStr">
        <is>
          <t>UPPSALA LÄN</t>
        </is>
      </c>
      <c r="E77" t="inlineStr">
        <is>
          <t>ÄLVKARLEBY</t>
        </is>
      </c>
      <c r="F77" t="inlineStr">
        <is>
          <t>Bergvik skog väst AB</t>
        </is>
      </c>
      <c r="G77" t="n">
        <v>0.3</v>
      </c>
      <c r="H77" t="n">
        <v>0</v>
      </c>
      <c r="I77" t="n">
        <v>0</v>
      </c>
      <c r="J77" t="n">
        <v>0</v>
      </c>
      <c r="K77" t="n">
        <v>0</v>
      </c>
      <c r="L77" t="n">
        <v>0</v>
      </c>
      <c r="M77" t="n">
        <v>0</v>
      </c>
      <c r="N77" t="n">
        <v>0</v>
      </c>
      <c r="O77" t="n">
        <v>0</v>
      </c>
      <c r="P77" t="n">
        <v>0</v>
      </c>
      <c r="Q77" t="n">
        <v>0</v>
      </c>
      <c r="R77" s="2" t="inlineStr"/>
    </row>
    <row r="78" ht="15" customHeight="1">
      <c r="A78" t="inlineStr">
        <is>
          <t>A 41929-2024</t>
        </is>
      </c>
      <c r="B78" s="1" t="n">
        <v>45561</v>
      </c>
      <c r="C78" s="1" t="n">
        <v>45885</v>
      </c>
      <c r="D78" t="inlineStr">
        <is>
          <t>UPPSALA LÄN</t>
        </is>
      </c>
      <c r="E78" t="inlineStr">
        <is>
          <t>ÄLVKARLEBY</t>
        </is>
      </c>
      <c r="F78" t="inlineStr">
        <is>
          <t>Bergvik skog väst AB</t>
        </is>
      </c>
      <c r="G78" t="n">
        <v>4.9</v>
      </c>
      <c r="H78" t="n">
        <v>0</v>
      </c>
      <c r="I78" t="n">
        <v>0</v>
      </c>
      <c r="J78" t="n">
        <v>0</v>
      </c>
      <c r="K78" t="n">
        <v>0</v>
      </c>
      <c r="L78" t="n">
        <v>0</v>
      </c>
      <c r="M78" t="n">
        <v>0</v>
      </c>
      <c r="N78" t="n">
        <v>0</v>
      </c>
      <c r="O78" t="n">
        <v>0</v>
      </c>
      <c r="P78" t="n">
        <v>0</v>
      </c>
      <c r="Q78" t="n">
        <v>0</v>
      </c>
      <c r="R78" s="2" t="inlineStr"/>
    </row>
    <row r="79" ht="15" customHeight="1">
      <c r="A79" t="inlineStr">
        <is>
          <t>A 18451-2025</t>
        </is>
      </c>
      <c r="B79" s="1" t="n">
        <v>45762</v>
      </c>
      <c r="C79" s="1" t="n">
        <v>45885</v>
      </c>
      <c r="D79" t="inlineStr">
        <is>
          <t>UPPSALA LÄN</t>
        </is>
      </c>
      <c r="E79" t="inlineStr">
        <is>
          <t>ÄLVKARLEBY</t>
        </is>
      </c>
      <c r="F79" t="inlineStr">
        <is>
          <t>Bergvik skog väst AB</t>
        </is>
      </c>
      <c r="G79" t="n">
        <v>1.2</v>
      </c>
      <c r="H79" t="n">
        <v>0</v>
      </c>
      <c r="I79" t="n">
        <v>0</v>
      </c>
      <c r="J79" t="n">
        <v>0</v>
      </c>
      <c r="K79" t="n">
        <v>0</v>
      </c>
      <c r="L79" t="n">
        <v>0</v>
      </c>
      <c r="M79" t="n">
        <v>0</v>
      </c>
      <c r="N79" t="n">
        <v>0</v>
      </c>
      <c r="O79" t="n">
        <v>0</v>
      </c>
      <c r="P79" t="n">
        <v>0</v>
      </c>
      <c r="Q79" t="n">
        <v>0</v>
      </c>
      <c r="R79" s="2" t="inlineStr"/>
    </row>
    <row r="80" ht="15" customHeight="1">
      <c r="A80" t="inlineStr">
        <is>
          <t>A 967-2021</t>
        </is>
      </c>
      <c r="B80" s="1" t="n">
        <v>44207</v>
      </c>
      <c r="C80" s="1" t="n">
        <v>45885</v>
      </c>
      <c r="D80" t="inlineStr">
        <is>
          <t>UPPSALA LÄN</t>
        </is>
      </c>
      <c r="E80" t="inlineStr">
        <is>
          <t>ÄLVKARLEBY</t>
        </is>
      </c>
      <c r="G80" t="n">
        <v>0.7</v>
      </c>
      <c r="H80" t="n">
        <v>0</v>
      </c>
      <c r="I80" t="n">
        <v>0</v>
      </c>
      <c r="J80" t="n">
        <v>0</v>
      </c>
      <c r="K80" t="n">
        <v>0</v>
      </c>
      <c r="L80" t="n">
        <v>0</v>
      </c>
      <c r="M80" t="n">
        <v>0</v>
      </c>
      <c r="N80" t="n">
        <v>0</v>
      </c>
      <c r="O80" t="n">
        <v>0</v>
      </c>
      <c r="P80" t="n">
        <v>0</v>
      </c>
      <c r="Q80" t="n">
        <v>0</v>
      </c>
      <c r="R80" s="2" t="inlineStr"/>
    </row>
    <row r="81" ht="15" customHeight="1">
      <c r="A81" t="inlineStr">
        <is>
          <t>A 14004-2025</t>
        </is>
      </c>
      <c r="B81" s="1" t="n">
        <v>45740.2997337963</v>
      </c>
      <c r="C81" s="1" t="n">
        <v>45885</v>
      </c>
      <c r="D81" t="inlineStr">
        <is>
          <t>UPPSALA LÄN</t>
        </is>
      </c>
      <c r="E81" t="inlineStr">
        <is>
          <t>ÄLVKARLEBY</t>
        </is>
      </c>
      <c r="F81" t="inlineStr">
        <is>
          <t>Bergvik skog öst AB</t>
        </is>
      </c>
      <c r="G81" t="n">
        <v>10.1</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45885</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45885</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26815-2022</t>
        </is>
      </c>
      <c r="B84" s="1" t="n">
        <v>44740.44644675926</v>
      </c>
      <c r="C84" s="1" t="n">
        <v>45885</v>
      </c>
      <c r="D84" t="inlineStr">
        <is>
          <t>UPPSALA LÄN</t>
        </is>
      </c>
      <c r="E84" t="inlineStr">
        <is>
          <t>ÄLVKARLEBY</t>
        </is>
      </c>
      <c r="G84" t="n">
        <v>5.8</v>
      </c>
      <c r="H84" t="n">
        <v>0</v>
      </c>
      <c r="I84" t="n">
        <v>0</v>
      </c>
      <c r="J84" t="n">
        <v>0</v>
      </c>
      <c r="K84" t="n">
        <v>0</v>
      </c>
      <c r="L84" t="n">
        <v>0</v>
      </c>
      <c r="M84" t="n">
        <v>0</v>
      </c>
      <c r="N84" t="n">
        <v>0</v>
      </c>
      <c r="O84" t="n">
        <v>0</v>
      </c>
      <c r="P84" t="n">
        <v>0</v>
      </c>
      <c r="Q84" t="n">
        <v>0</v>
      </c>
      <c r="R84" s="2" t="inlineStr"/>
    </row>
    <row r="85" ht="15" customHeight="1">
      <c r="A85" t="inlineStr">
        <is>
          <t>A 19740-2025</t>
        </is>
      </c>
      <c r="B85" s="1" t="n">
        <v>45771</v>
      </c>
      <c r="C85" s="1" t="n">
        <v>45885</v>
      </c>
      <c r="D85" t="inlineStr">
        <is>
          <t>UPPSALA LÄN</t>
        </is>
      </c>
      <c r="E85" t="inlineStr">
        <is>
          <t>ÄLVKARLEBY</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14590-2023</t>
        </is>
      </c>
      <c r="B86" s="1" t="n">
        <v>45013.54621527778</v>
      </c>
      <c r="C86" s="1" t="n">
        <v>45885</v>
      </c>
      <c r="D86" t="inlineStr">
        <is>
          <t>UPPSALA LÄN</t>
        </is>
      </c>
      <c r="E86" t="inlineStr">
        <is>
          <t>ÄLVKARLEBY</t>
        </is>
      </c>
      <c r="G86" t="n">
        <v>1.8</v>
      </c>
      <c r="H86" t="n">
        <v>0</v>
      </c>
      <c r="I86" t="n">
        <v>0</v>
      </c>
      <c r="J86" t="n">
        <v>0</v>
      </c>
      <c r="K86" t="n">
        <v>0</v>
      </c>
      <c r="L86" t="n">
        <v>0</v>
      </c>
      <c r="M86" t="n">
        <v>0</v>
      </c>
      <c r="N86" t="n">
        <v>0</v>
      </c>
      <c r="O86" t="n">
        <v>0</v>
      </c>
      <c r="P86" t="n">
        <v>0</v>
      </c>
      <c r="Q86" t="n">
        <v>0</v>
      </c>
      <c r="R86" s="2" t="inlineStr"/>
    </row>
    <row r="87">
      <c r="A87" t="inlineStr">
        <is>
          <t>A 19862-2025</t>
        </is>
      </c>
      <c r="B87" s="1" t="n">
        <v>45771.53560185185</v>
      </c>
      <c r="C87" s="1" t="n">
        <v>45885</v>
      </c>
      <c r="D87" t="inlineStr">
        <is>
          <t>UPPSALA LÄN</t>
        </is>
      </c>
      <c r="E87" t="inlineStr">
        <is>
          <t>ÄLVKARLEBY</t>
        </is>
      </c>
      <c r="F87" t="inlineStr">
        <is>
          <t>Kyrkan</t>
        </is>
      </c>
      <c r="G87" t="n">
        <v>3</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2025-08-16T08:30:32Z</dcterms:created>
  <dcterms:modified xmlns:dcterms="http://purl.org/dc/terms/" xmlns:xsi="http://www.w3.org/2001/XMLSchema-instance" xsi:type="dcterms:W3CDTF">2025-08-16T08:30:32Z</dcterms:modified>
</cp:coreProperties>
</file>