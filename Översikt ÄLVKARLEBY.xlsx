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58719-2024</t>
        </is>
      </c>
      <c r="B2" t="inlineStr">
        <is>
          <t>avverkningsanmälan</t>
        </is>
      </c>
      <c r="C2" t="inlineStr">
        <is>
          <t>Avverkning för att bevara och utveckla /försöksver</t>
        </is>
      </c>
      <c r="D2" s="1" t="n">
        <v>45635</v>
      </c>
      <c r="E2" s="1" t="n">
        <v>46248</v>
      </c>
      <c r="F2" t="inlineStr">
        <is>
          <t>UPPSALA LÄN</t>
        </is>
      </c>
      <c r="G2" t="inlineStr">
        <is>
          <t>ÄLVKARLEBY</t>
        </is>
      </c>
      <c r="H2" t="inlineStr">
        <is>
          <t>Bergvik skog väst AB</t>
        </is>
      </c>
      <c r="I2" t="n">
        <v>60.6</v>
      </c>
      <c r="J2" t="n">
        <v>13</v>
      </c>
      <c r="K2" t="n">
        <v>14</v>
      </c>
      <c r="L2" t="n">
        <v>18</v>
      </c>
      <c r="M2" t="n">
        <v>2</v>
      </c>
      <c r="N2" t="n">
        <v>2</v>
      </c>
      <c r="O2" t="n">
        <v>0</v>
      </c>
      <c r="P2" t="n">
        <v>0</v>
      </c>
      <c r="Q2" t="n">
        <v>22</v>
      </c>
      <c r="R2" t="n">
        <v>4</v>
      </c>
      <c r="S2" t="n">
        <v>45</v>
      </c>
      <c r="T2" t="n">
        <v>261</v>
      </c>
      <c r="U2" t="n">
        <v>8</v>
      </c>
      <c r="V2"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2">
        <f>HYPERLINK("https://klasma.github.io/Logging_0319/artfynd/A 58719-2024 artfynd.xlsx", "A 58719-2024")</f>
        <v/>
      </c>
      <c r="X2">
        <f>HYPERLINK("https://klasma.github.io/Logging_0319/kartor/A 58719-2024 karta.png", "A 58719-2024")</f>
        <v/>
      </c>
      <c r="Y2">
        <f>HYPERLINK("https://klasma.github.io/Logging_0319/kartor_geotiff/A 58719-2024 georefererad karta.tif", "A 58719-2024")</f>
        <v/>
      </c>
      <c r="AA2">
        <f>HYPERLINK("https://klasma.github.io/Logging_0319/klagomål/A 58719-2024 FSC-klagomål.docx", "A 58719-2024")</f>
        <v/>
      </c>
      <c r="AB2">
        <f>HYPERLINK("https://klasma.github.io/Logging_0319/klagomålsmail/A 58719-2024 FSC-klagomål mail.docx", "A 58719-2024")</f>
        <v/>
      </c>
      <c r="AC2">
        <f>HYPERLINK("https://klasma.github.io/Logging_0319/tillsyn/A 58719-2024 tillsynsbegäran.docx", "A 58719-2024")</f>
        <v/>
      </c>
      <c r="AD2">
        <f>HYPERLINK("https://klasma.github.io/Logging_0319/tillsynsmail/A 58719-2024 tillsynsbegäran mail.docx", "A 58719-2024")</f>
        <v/>
      </c>
      <c r="AE2">
        <f>HYPERLINK("https://klasma.github.io/Logging_0319/fåglar/A 58719-2024 prioriterade fågelarter.docx", "A 58719-2024")</f>
        <v/>
      </c>
    </row>
    <row r="3" ht="15" customHeight="1">
      <c r="A3" t="inlineStr">
        <is>
          <t>A 30484-2025</t>
        </is>
      </c>
      <c r="B3" t="inlineStr">
        <is>
          <t>avverkningsanmälan</t>
        </is>
      </c>
      <c r="C3" t="inlineStr">
        <is>
          <t>Föryngringsavverkning</t>
        </is>
      </c>
      <c r="D3" s="1" t="n">
        <v>45828</v>
      </c>
      <c r="E3" s="1" t="n">
        <v>46248</v>
      </c>
      <c r="F3" t="inlineStr">
        <is>
          <t>UPPSALA LÄN</t>
        </is>
      </c>
      <c r="G3" t="inlineStr">
        <is>
          <t>ÄLVKARLEBY</t>
        </is>
      </c>
      <c r="H3" t="inlineStr">
        <is>
          <t>Bergvik skog väst AB</t>
        </is>
      </c>
      <c r="I3" t="n">
        <v>1.6</v>
      </c>
      <c r="J3" t="n">
        <v>7</v>
      </c>
      <c r="K3" t="n">
        <v>7</v>
      </c>
      <c r="L3" t="n">
        <v>21</v>
      </c>
      <c r="M3" t="n">
        <v>9</v>
      </c>
      <c r="N3" t="n">
        <v>2</v>
      </c>
      <c r="O3" t="n">
        <v>0</v>
      </c>
      <c r="P3" t="n">
        <v>0</v>
      </c>
      <c r="Q3" t="n">
        <v>32</v>
      </c>
      <c r="R3" t="n">
        <v>11</v>
      </c>
      <c r="S3" t="n">
        <v>44</v>
      </c>
      <c r="T3" t="n">
        <v>75</v>
      </c>
      <c r="U3" t="n">
        <v>20</v>
      </c>
      <c r="V3"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3">
        <f>HYPERLINK("https://klasma.github.io/Logging_0319/artfynd/A 30484-2025 artfynd.xlsx", "A 30484-2025")</f>
        <v/>
      </c>
      <c r="X3">
        <f>HYPERLINK("https://klasma.github.io/Logging_0319/kartor/A 30484-2025 karta.png", "A 30484-2025")</f>
        <v/>
      </c>
      <c r="Y3">
        <f>HYPERLINK("https://klasma.github.io/Logging_0319/kartor_geotiff/A 30484-2025 georefererad karta.tif", "A 30484-2025")</f>
        <v/>
      </c>
      <c r="AA3">
        <f>HYPERLINK("https://klasma.github.io/Logging_0319/klagomål/A 30484-2025 FSC-klagomål.docx", "A 30484-2025")</f>
        <v/>
      </c>
      <c r="AB3">
        <f>HYPERLINK("https://klasma.github.io/Logging_0319/klagomålsmail/A 30484-2025 FSC-klagomål mail.docx", "A 30484-2025")</f>
        <v/>
      </c>
      <c r="AC3">
        <f>HYPERLINK("https://klasma.github.io/Logging_0319/tillsyn/A 30484-2025 tillsynsbegäran.docx", "A 30484-2025")</f>
        <v/>
      </c>
      <c r="AD3">
        <f>HYPERLINK("https://klasma.github.io/Logging_0319/tillsynsmail/A 30484-2025 tillsynsbegäran mail.docx", "A 30484-2025")</f>
        <v/>
      </c>
      <c r="AE3">
        <f>HYPERLINK("https://klasma.github.io/Logging_0319/fåglar/A 30484-2025 prioriterade fågelarter.docx", "A 30484-2025")</f>
        <v/>
      </c>
    </row>
    <row r="4" ht="15" customHeight="1">
      <c r="A4" t="inlineStr">
        <is>
          <t>S 3260-2025</t>
        </is>
      </c>
      <c r="B4" t="inlineStr">
        <is>
          <t>samrådsanmälan</t>
        </is>
      </c>
      <c r="C4" t="inlineStr">
        <is>
          <t>Skogsgödsling</t>
        </is>
      </c>
      <c r="D4" s="1" t="n">
        <v>45982</v>
      </c>
      <c r="E4" s="1" t="n">
        <v>46248</v>
      </c>
      <c r="F4" t="inlineStr">
        <is>
          <t>UPPSALA LÄN</t>
        </is>
      </c>
      <c r="G4" t="inlineStr">
        <is>
          <t>ÄLVKARLEBY</t>
        </is>
      </c>
      <c r="H4" t="inlineStr">
        <is>
          <t>Bergvik skog väst AB</t>
        </is>
      </c>
      <c r="I4" t="n">
        <v>82</v>
      </c>
      <c r="J4" t="n">
        <v>6</v>
      </c>
      <c r="K4" t="n">
        <v>1</v>
      </c>
      <c r="L4" t="n">
        <v>5</v>
      </c>
      <c r="M4" t="n">
        <v>4</v>
      </c>
      <c r="N4" t="n">
        <v>1</v>
      </c>
      <c r="O4" t="n">
        <v>0</v>
      </c>
      <c r="P4" t="n">
        <v>0</v>
      </c>
      <c r="Q4" t="n">
        <v>10</v>
      </c>
      <c r="R4" t="n">
        <v>5</v>
      </c>
      <c r="S4" t="n">
        <v>15</v>
      </c>
      <c r="T4" t="n">
        <v>43</v>
      </c>
      <c r="U4" t="n">
        <v>4</v>
      </c>
      <c r="V4" s="2" t="inlineStr">
        <is>
          <t>Stor bockrot
Fältgentiana
Kattunvisslare
Väddnätfjäril
Ängsblåvinge
Enkelbeckasin
Månlåsbräken
Skogsklocka
Turkos blåvinge
Vårärt
Vätteros
Huggorm
Kopparödla
Grönvit nattviol
Lopplummer (aggregat)</t>
        </is>
      </c>
      <c r="W4">
        <f>HYPERLINK("https://klasma.github.io/Logging_0319/artfynd/S 3260-2025 artfynd.xlsx", "S 3260-2025")</f>
        <v/>
      </c>
      <c r="X4">
        <f>HYPERLINK("https://klasma.github.io/Logging_0319/kartor/S 3260-2025 karta.png", "S 3260-2025")</f>
        <v/>
      </c>
      <c r="Y4">
        <f>HYPERLINK("https://klasma.github.io/Logging_0319/kartor_geotiff/S 3260-2025 georefererad karta.tif", "S 3260-2025")</f>
        <v/>
      </c>
      <c r="AA4">
        <f>HYPERLINK("https://klasma.github.io/Logging_0319/klagomål/S 3260-2025 FSC-klagomål.docx", "S 3260-2025")</f>
        <v/>
      </c>
      <c r="AB4">
        <f>HYPERLINK("https://klasma.github.io/Logging_0319/klagomålsmail/S 3260-2025 FSC-klagomål mail.docx", "S 3260-2025")</f>
        <v/>
      </c>
      <c r="AC4">
        <f>HYPERLINK("https://klasma.github.io/Logging_0319/tillsyn/S 3260-2025 tillsynsbegäran.docx", "S 3260-2025")</f>
        <v/>
      </c>
      <c r="AD4">
        <f>HYPERLINK("https://klasma.github.io/Logging_0319/tillsynsmail/S 3260-2025 tillsynsbegäran mail.docx", "S 3260-2025")</f>
        <v/>
      </c>
      <c r="AE4">
        <f>HYPERLINK("https://klasma.github.io/Logging_0319/fåglar/S 3260-2025 prioriterade fågelarter.docx", "S 3260-2025")</f>
        <v/>
      </c>
    </row>
    <row r="5" ht="15" customHeight="1">
      <c r="A5" t="inlineStr">
        <is>
          <t>A 51149-2025</t>
        </is>
      </c>
      <c r="B5" t="inlineStr">
        <is>
          <t>avverkningsanmälan</t>
        </is>
      </c>
      <c r="C5" t="inlineStr">
        <is>
          <t>Avverkning för att bevara och utveckla /försöksver</t>
        </is>
      </c>
      <c r="D5" s="1" t="n">
        <v>45947</v>
      </c>
      <c r="E5" s="1" t="n">
        <v>46248</v>
      </c>
      <c r="F5" t="inlineStr">
        <is>
          <t>UPPSALA LÄN</t>
        </is>
      </c>
      <c r="G5" t="inlineStr">
        <is>
          <t>ÄLVKARLEBY</t>
        </is>
      </c>
      <c r="H5" t="inlineStr">
        <is>
          <t>Bergvik skog väst AB</t>
        </is>
      </c>
      <c r="I5" t="n">
        <v>2.9</v>
      </c>
      <c r="J5" t="n">
        <v>2</v>
      </c>
      <c r="K5" t="n">
        <v>7</v>
      </c>
      <c r="L5" t="n">
        <v>3</v>
      </c>
      <c r="M5" t="n">
        <v>1</v>
      </c>
      <c r="N5" t="n">
        <v>0</v>
      </c>
      <c r="O5" t="n">
        <v>0</v>
      </c>
      <c r="P5" t="n">
        <v>0</v>
      </c>
      <c r="Q5" t="n">
        <v>4</v>
      </c>
      <c r="R5" t="n">
        <v>1</v>
      </c>
      <c r="S5" t="n">
        <v>12</v>
      </c>
      <c r="T5" t="n">
        <v>19</v>
      </c>
      <c r="U5" t="n">
        <v>19</v>
      </c>
      <c r="V5" s="2" t="inlineStr">
        <is>
          <t>Läderdoftande fingersvamp
Svart taggsvamp
Ullticka
Vårärt
Guldlockmossa
Mindre märgborre
Mörk husmossa
Platt fjädermossa
Skogsknipprot
Stubbspretmossa
Tibast
Blåsippa</t>
        </is>
      </c>
      <c r="W5">
        <f>HYPERLINK("https://klasma.github.io/Logging_0319/artfynd/A 51149-2025 artfynd.xlsx", "A 51149-2025")</f>
        <v/>
      </c>
      <c r="X5">
        <f>HYPERLINK("https://klasma.github.io/Logging_0319/kartor/A 51149-2025 karta.png", "A 51149-2025")</f>
        <v/>
      </c>
      <c r="Y5">
        <f>HYPERLINK("https://klasma.github.io/Logging_0319/kartor_geotiff/A 51149-2025 georefererad karta.tif", "A 51149-2025")</f>
        <v/>
      </c>
      <c r="AA5">
        <f>HYPERLINK("https://klasma.github.io/Logging_0319/klagomål/A 51149-2025 FSC-klagomål.docx", "A 51149-2025")</f>
        <v/>
      </c>
      <c r="AB5">
        <f>HYPERLINK("https://klasma.github.io/Logging_0319/klagomålsmail/A 51149-2025 FSC-klagomål mail.docx", "A 51149-2025")</f>
        <v/>
      </c>
      <c r="AC5">
        <f>HYPERLINK("https://klasma.github.io/Logging_0319/tillsyn/A 51149-2025 tillsynsbegäran.docx", "A 51149-2025")</f>
        <v/>
      </c>
      <c r="AD5">
        <f>HYPERLINK("https://klasma.github.io/Logging_0319/tillsynsmail/A 51149-2025 tillsynsbegäran mail.docx", "A 51149-2025")</f>
        <v/>
      </c>
    </row>
    <row r="6" ht="15" customHeight="1">
      <c r="A6" t="inlineStr">
        <is>
          <t>A 3954-2025</t>
        </is>
      </c>
      <c r="B6" t="inlineStr">
        <is>
          <t>avverkningsanmälan</t>
        </is>
      </c>
      <c r="C6" t="inlineStr">
        <is>
          <t>Avverkning för annat ändamål</t>
        </is>
      </c>
      <c r="D6" s="1" t="n">
        <v>45684</v>
      </c>
      <c r="E6" s="1" t="n">
        <v>46248</v>
      </c>
      <c r="F6" t="inlineStr">
        <is>
          <t>UPPSALA LÄN</t>
        </is>
      </c>
      <c r="G6" t="inlineStr">
        <is>
          <t>ÄLVKARLEBY</t>
        </is>
      </c>
      <c r="I6" t="n">
        <v>5.5</v>
      </c>
      <c r="J6" t="n">
        <v>2</v>
      </c>
      <c r="K6" t="n">
        <v>2</v>
      </c>
      <c r="L6" t="n">
        <v>6</v>
      </c>
      <c r="M6" t="n">
        <v>1</v>
      </c>
      <c r="N6" t="n">
        <v>0</v>
      </c>
      <c r="O6" t="n">
        <v>0</v>
      </c>
      <c r="P6" t="n">
        <v>0</v>
      </c>
      <c r="Q6" t="n">
        <v>7</v>
      </c>
      <c r="R6" t="n">
        <v>1</v>
      </c>
      <c r="S6" t="n">
        <v>11</v>
      </c>
      <c r="T6" t="n">
        <v>25</v>
      </c>
      <c r="U6" t="n">
        <v>0</v>
      </c>
      <c r="V6" s="2" t="inlineStr">
        <is>
          <t>Sanddraba
Backklöver
Flentimotej
Rödbrun jordtunga
Sandviol
Slåtterfibbla
Vanlig sandviol
Igelkottsröksvamp
Ängsvaxing agg.
Blåsippa
Revlummer</t>
        </is>
      </c>
      <c r="W6">
        <f>HYPERLINK("https://klasma.github.io/Logging_0319/artfynd/A 3954-2025 artfynd.xlsx", "A 3954-2025")</f>
        <v/>
      </c>
      <c r="X6">
        <f>HYPERLINK("https://klasma.github.io/Logging_0319/kartor/A 3954-2025 karta.png", "A 3954-2025")</f>
        <v/>
      </c>
      <c r="Y6">
        <f>HYPERLINK("https://klasma.github.io/Logging_0319/kartor_geotiff/A 3954-2025 georefererad karta.tif", "A 3954-2025")</f>
        <v/>
      </c>
      <c r="AA6">
        <f>HYPERLINK("https://klasma.github.io/Logging_0319/klagomål/A 3954-2025 FSC-klagomål.docx", "A 3954-2025")</f>
        <v/>
      </c>
      <c r="AB6">
        <f>HYPERLINK("https://klasma.github.io/Logging_0319/klagomålsmail/A 3954-2025 FSC-klagomål mail.docx", "A 3954-2025")</f>
        <v/>
      </c>
      <c r="AC6">
        <f>HYPERLINK("https://klasma.github.io/Logging_0319/tillsyn/A 3954-2025 tillsynsbegäran.docx", "A 3954-2025")</f>
        <v/>
      </c>
      <c r="AD6">
        <f>HYPERLINK("https://klasma.github.io/Logging_0319/tillsynsmail/A 3954-2025 tillsynsbegäran mail.docx", "A 3954-2025")</f>
        <v/>
      </c>
    </row>
    <row r="7" ht="15" customHeight="1">
      <c r="A7" t="inlineStr">
        <is>
          <t>A 27330-2025</t>
        </is>
      </c>
      <c r="B7" t="inlineStr">
        <is>
          <t>avverkningsanmälan</t>
        </is>
      </c>
      <c r="C7" t="inlineStr">
        <is>
          <t>Föryngringsavverkning</t>
        </is>
      </c>
      <c r="D7" s="1" t="n">
        <v>45812</v>
      </c>
      <c r="E7" s="1" t="n">
        <v>46248</v>
      </c>
      <c r="F7" t="inlineStr">
        <is>
          <t>UPPSALA LÄN</t>
        </is>
      </c>
      <c r="G7" t="inlineStr">
        <is>
          <t>ÄLVKARLEBY</t>
        </is>
      </c>
      <c r="H7" t="inlineStr">
        <is>
          <t>Bergvik skog väst AB</t>
        </is>
      </c>
      <c r="I7" t="n">
        <v>0.5</v>
      </c>
      <c r="J7" t="n">
        <v>1</v>
      </c>
      <c r="K7" t="n">
        <v>0</v>
      </c>
      <c r="L7" t="n">
        <v>2</v>
      </c>
      <c r="M7" t="n">
        <v>7</v>
      </c>
      <c r="N7" t="n">
        <v>1</v>
      </c>
      <c r="O7" t="n">
        <v>0</v>
      </c>
      <c r="P7" t="n">
        <v>0</v>
      </c>
      <c r="Q7" t="n">
        <v>10</v>
      </c>
      <c r="R7" t="n">
        <v>8</v>
      </c>
      <c r="S7" t="n">
        <v>11</v>
      </c>
      <c r="T7" t="n">
        <v>12</v>
      </c>
      <c r="U7" t="n">
        <v>7</v>
      </c>
      <c r="V7" s="2" t="inlineStr">
        <is>
          <t>Bitter taggsvamp
Bredbrämad bastardsvärmare
Frygisk spindling
Grangråticka
Kopparspindling
Mindre bastardsvärmare
Sexfläckig bastardsvärmare
Tvillingspindling
Rosenticka
Skarp dropptaggsvamp
Nattviol</t>
        </is>
      </c>
      <c r="W7">
        <f>HYPERLINK("https://klasma.github.io/Logging_0319/artfynd/A 27330-2025 artfynd.xlsx", "A 27330-2025")</f>
        <v/>
      </c>
      <c r="X7">
        <f>HYPERLINK("https://klasma.github.io/Logging_0319/kartor/A 27330-2025 karta.png", "A 27330-2025")</f>
        <v/>
      </c>
      <c r="Y7">
        <f>HYPERLINK("https://klasma.github.io/Logging_0319/kartor_geotiff/A 27330-2025 georefererad karta.tif", "A 27330-2025")</f>
        <v/>
      </c>
      <c r="AA7">
        <f>HYPERLINK("https://klasma.github.io/Logging_0319/klagomål/A 27330-2025 FSC-klagomål.docx", "A 27330-2025")</f>
        <v/>
      </c>
      <c r="AB7">
        <f>HYPERLINK("https://klasma.github.io/Logging_0319/klagomålsmail/A 27330-2025 FSC-klagomål mail.docx", "A 27330-2025")</f>
        <v/>
      </c>
      <c r="AC7">
        <f>HYPERLINK("https://klasma.github.io/Logging_0319/tillsyn/A 27330-2025 tillsynsbegäran.docx", "A 27330-2025")</f>
        <v/>
      </c>
      <c r="AD7">
        <f>HYPERLINK("https://klasma.github.io/Logging_0319/tillsynsmail/A 27330-2025 tillsynsbegäran mail.docx", "A 27330-2025")</f>
        <v/>
      </c>
    </row>
    <row r="8" ht="15" customHeight="1">
      <c r="A8" t="inlineStr">
        <is>
          <t>A 19703-2025</t>
        </is>
      </c>
      <c r="B8" t="inlineStr">
        <is>
          <t>avverkningsanmälan</t>
        </is>
      </c>
      <c r="C8" t="inlineStr">
        <is>
          <t>Föryngringsavverkning</t>
        </is>
      </c>
      <c r="D8" s="1" t="n">
        <v>45771</v>
      </c>
      <c r="E8" s="1" t="n">
        <v>46248</v>
      </c>
      <c r="F8" t="inlineStr">
        <is>
          <t>UPPSALA LÄN</t>
        </is>
      </c>
      <c r="G8" t="inlineStr">
        <is>
          <t>ÄLVKARLEBY</t>
        </is>
      </c>
      <c r="H8" t="inlineStr">
        <is>
          <t>Bergvik skog väst AB</t>
        </is>
      </c>
      <c r="I8" t="n">
        <v>3.8</v>
      </c>
      <c r="J8" t="n">
        <v>3</v>
      </c>
      <c r="K8" t="n">
        <v>7</v>
      </c>
      <c r="L8" t="n">
        <v>1</v>
      </c>
      <c r="M8" t="n">
        <v>0</v>
      </c>
      <c r="N8" t="n">
        <v>1</v>
      </c>
      <c r="O8" t="n">
        <v>0</v>
      </c>
      <c r="P8" t="n">
        <v>0</v>
      </c>
      <c r="Q8" t="n">
        <v>2</v>
      </c>
      <c r="R8" t="n">
        <v>1</v>
      </c>
      <c r="S8" t="n">
        <v>10</v>
      </c>
      <c r="T8" t="n">
        <v>19</v>
      </c>
      <c r="U8" t="n">
        <v>19</v>
      </c>
      <c r="V8" s="2" t="inlineStr">
        <is>
          <t>Ask
Kattfotslav
Brandticka
Skogsknipprot
Stubbspretmossa
Tibast
Tvåblad
Vedticka
Vågbandad barkbock
Fläcknycklar</t>
        </is>
      </c>
      <c r="W8">
        <f>HYPERLINK("https://klasma.github.io/Logging_0319/artfynd/A 19703-2025 artfynd.xlsx", "A 19703-2025")</f>
        <v/>
      </c>
      <c r="X8">
        <f>HYPERLINK("https://klasma.github.io/Logging_0319/kartor/A 19703-2025 karta.png", "A 19703-2025")</f>
        <v/>
      </c>
      <c r="Y8">
        <f>HYPERLINK("https://klasma.github.io/Logging_0319/kartor_geotiff/A 19703-2025 georefererad karta.tif", "A 19703-2025")</f>
        <v/>
      </c>
      <c r="AA8">
        <f>HYPERLINK("https://klasma.github.io/Logging_0319/klagomål/A 19703-2025 FSC-klagomål.docx", "A 19703-2025")</f>
        <v/>
      </c>
      <c r="AB8">
        <f>HYPERLINK("https://klasma.github.io/Logging_0319/klagomålsmail/A 19703-2025 FSC-klagomål mail.docx", "A 19703-2025")</f>
        <v/>
      </c>
      <c r="AC8">
        <f>HYPERLINK("https://klasma.github.io/Logging_0319/tillsyn/A 19703-2025 tillsynsbegäran.docx", "A 19703-2025")</f>
        <v/>
      </c>
      <c r="AD8">
        <f>HYPERLINK("https://klasma.github.io/Logging_0319/tillsynsmail/A 19703-2025 tillsynsbegäran mail.docx", "A 19703-2025")</f>
        <v/>
      </c>
    </row>
    <row r="9" ht="15" customHeight="1">
      <c r="A9" t="inlineStr">
        <is>
          <t>A 3949-2025</t>
        </is>
      </c>
      <c r="B9" t="inlineStr">
        <is>
          <t>avverkningsanmälan</t>
        </is>
      </c>
      <c r="C9" t="inlineStr">
        <is>
          <t>Avverkning för annat ändamål</t>
        </is>
      </c>
      <c r="D9" s="1" t="n">
        <v>45684</v>
      </c>
      <c r="E9" s="1" t="n">
        <v>46248</v>
      </c>
      <c r="F9" t="inlineStr">
        <is>
          <t>UPPSALA LÄN</t>
        </is>
      </c>
      <c r="G9" t="inlineStr">
        <is>
          <t>ÄLVKARLEBY</t>
        </is>
      </c>
      <c r="I9" t="n">
        <v>5.2</v>
      </c>
      <c r="J9" t="n">
        <v>6</v>
      </c>
      <c r="K9" t="n">
        <v>2</v>
      </c>
      <c r="L9" t="n">
        <v>1</v>
      </c>
      <c r="M9" t="n">
        <v>2</v>
      </c>
      <c r="N9" t="n">
        <v>0</v>
      </c>
      <c r="O9" t="n">
        <v>0</v>
      </c>
      <c r="P9" t="n">
        <v>0</v>
      </c>
      <c r="Q9" t="n">
        <v>3</v>
      </c>
      <c r="R9" t="n">
        <v>2</v>
      </c>
      <c r="S9" t="n">
        <v>9</v>
      </c>
      <c r="T9" t="n">
        <v>67</v>
      </c>
      <c r="U9" t="n">
        <v>0</v>
      </c>
      <c r="V9" s="2" t="inlineStr">
        <is>
          <t>Sanddraba
Toppjungfrulin
Vanlig sandviol
Skogsknipprot
Tvåblad
Fläcknycklar
Kärrknipprot
Nattviol
Ängsnycklar</t>
        </is>
      </c>
      <c r="W9">
        <f>HYPERLINK("https://klasma.github.io/Logging_0319/artfynd/A 3949-2025 artfynd.xlsx", "A 3949-2025")</f>
        <v/>
      </c>
      <c r="X9">
        <f>HYPERLINK("https://klasma.github.io/Logging_0319/kartor/A 3949-2025 karta.png", "A 3949-2025")</f>
        <v/>
      </c>
      <c r="Y9">
        <f>HYPERLINK("https://klasma.github.io/Logging_0319/kartor_geotiff/A 3949-2025 georefererad karta.tif", "A 3949-2025")</f>
        <v/>
      </c>
      <c r="AA9">
        <f>HYPERLINK("https://klasma.github.io/Logging_0319/klagomål/A 3949-2025 FSC-klagomål.docx", "A 3949-2025")</f>
        <v/>
      </c>
      <c r="AB9">
        <f>HYPERLINK("https://klasma.github.io/Logging_0319/klagomålsmail/A 3949-2025 FSC-klagomål mail.docx", "A 3949-2025")</f>
        <v/>
      </c>
      <c r="AC9">
        <f>HYPERLINK("https://klasma.github.io/Logging_0319/tillsyn/A 3949-2025 tillsynsbegäran.docx", "A 3949-2025")</f>
        <v/>
      </c>
      <c r="AD9">
        <f>HYPERLINK("https://klasma.github.io/Logging_0319/tillsynsmail/A 3949-2025 tillsynsbegäran mail.docx", "A 3949-2025")</f>
        <v/>
      </c>
    </row>
    <row r="10" ht="15" customHeight="1">
      <c r="A10" t="inlineStr">
        <is>
          <t>A 46508-2025</t>
        </is>
      </c>
      <c r="B10" t="inlineStr">
        <is>
          <t>avverkningsanmälan</t>
        </is>
      </c>
      <c r="C10" t="inlineStr">
        <is>
          <t>Föryngringsavverkning</t>
        </is>
      </c>
      <c r="D10" s="1" t="n">
        <v>45925</v>
      </c>
      <c r="E10" s="1" t="n">
        <v>46248</v>
      </c>
      <c r="F10" t="inlineStr">
        <is>
          <t>UPPSALA LÄN</t>
        </is>
      </c>
      <c r="G10" t="inlineStr">
        <is>
          <t>ÄLVKARLEBY</t>
        </is>
      </c>
      <c r="I10" t="n">
        <v>6.9</v>
      </c>
      <c r="J10" t="n">
        <v>4</v>
      </c>
      <c r="K10" t="n">
        <v>3</v>
      </c>
      <c r="L10" t="n">
        <v>2</v>
      </c>
      <c r="M10" t="n">
        <v>3</v>
      </c>
      <c r="N10" t="n">
        <v>0</v>
      </c>
      <c r="O10" t="n">
        <v>0</v>
      </c>
      <c r="P10" t="n">
        <v>0</v>
      </c>
      <c r="Q10" t="n">
        <v>5</v>
      </c>
      <c r="R10" t="n">
        <v>3</v>
      </c>
      <c r="S10" t="n">
        <v>9</v>
      </c>
      <c r="T10" t="n">
        <v>17</v>
      </c>
      <c r="U10" t="n">
        <v>0</v>
      </c>
      <c r="V10" s="2" t="inlineStr">
        <is>
          <t>Grangråticka
Knärot
Kopparspindling
Tretåig hackspett
Vedtrappmossa
Nästrot
Svart trolldruva
Trådfräken
Blåsippa</t>
        </is>
      </c>
      <c r="W10">
        <f>HYPERLINK("https://klasma.github.io/Logging_0319/artfynd/A 46508-2025 artfynd.xlsx", "A 46508-2025")</f>
        <v/>
      </c>
      <c r="X10">
        <f>HYPERLINK("https://klasma.github.io/Logging_0319/kartor/A 46508-2025 karta.png", "A 46508-2025")</f>
        <v/>
      </c>
      <c r="Y10">
        <f>HYPERLINK("https://klasma.github.io/Logging_0319/kartor_geotiff/A 46508-2025 georefererad karta.tif", "A 46508-2025")</f>
        <v/>
      </c>
      <c r="Z10">
        <f>HYPERLINK("https://klasma.github.io/Logging_0319/knärot/A 46508-2025 karta knärot.png", "A 46508-2025")</f>
        <v/>
      </c>
      <c r="AA10">
        <f>HYPERLINK("https://klasma.github.io/Logging_0319/klagomål/A 46508-2025 FSC-klagomål.docx", "A 46508-2025")</f>
        <v/>
      </c>
      <c r="AB10">
        <f>HYPERLINK("https://klasma.github.io/Logging_0319/klagomålsmail/A 46508-2025 FSC-klagomål mail.docx", "A 46508-2025")</f>
        <v/>
      </c>
      <c r="AC10">
        <f>HYPERLINK("https://klasma.github.io/Logging_0319/tillsyn/A 46508-2025 tillsynsbegäran.docx", "A 46508-2025")</f>
        <v/>
      </c>
      <c r="AD10">
        <f>HYPERLINK("https://klasma.github.io/Logging_0319/tillsynsmail/A 46508-2025 tillsynsbegäran mail.docx", "A 46508-2025")</f>
        <v/>
      </c>
      <c r="AE10">
        <f>HYPERLINK("https://klasma.github.io/Logging_0319/fåglar/A 46508-2025 prioriterade fågelarter.docx", "A 46508-2025")</f>
        <v/>
      </c>
    </row>
    <row r="11" ht="15" customHeight="1">
      <c r="A11" t="inlineStr">
        <is>
          <t>A 34798-2024</t>
        </is>
      </c>
      <c r="B11" t="inlineStr">
        <is>
          <t>avverkningsanmälan</t>
        </is>
      </c>
      <c r="C11" t="inlineStr">
        <is>
          <t>Föryngringsavverkning</t>
        </is>
      </c>
      <c r="D11" s="1" t="n">
        <v>45526</v>
      </c>
      <c r="E11" s="1" t="n">
        <v>46248</v>
      </c>
      <c r="F11" t="inlineStr">
        <is>
          <t>UPPSALA LÄN</t>
        </is>
      </c>
      <c r="G11" t="inlineStr">
        <is>
          <t>ÄLVKARLEBY</t>
        </is>
      </c>
      <c r="H11" t="inlineStr">
        <is>
          <t>Bergvik skog väst AB</t>
        </is>
      </c>
      <c r="I11" t="n">
        <v>13.8</v>
      </c>
      <c r="J11" t="n">
        <v>2</v>
      </c>
      <c r="K11" t="n">
        <v>3</v>
      </c>
      <c r="L11" t="n">
        <v>2</v>
      </c>
      <c r="M11" t="n">
        <v>1</v>
      </c>
      <c r="N11" t="n">
        <v>0</v>
      </c>
      <c r="O11" t="n">
        <v>0</v>
      </c>
      <c r="P11" t="n">
        <v>0</v>
      </c>
      <c r="Q11" t="n">
        <v>3</v>
      </c>
      <c r="R11" t="n">
        <v>1</v>
      </c>
      <c r="S11" t="n">
        <v>8</v>
      </c>
      <c r="T11" t="n">
        <v>11</v>
      </c>
      <c r="U11" t="n">
        <v>0</v>
      </c>
      <c r="V11" s="2" t="inlineStr">
        <is>
          <t>Aspfjädermossa
Gullpudra
Lunglav
Rödgul trumpetsvamp
Tibast
Vätteros
Gråspett
Lopplummer (aggregat)</t>
        </is>
      </c>
      <c r="W11">
        <f>HYPERLINK("https://klasma.github.io/Logging_0319/artfynd/A 34798-2024 artfynd.xlsx", "A 34798-2024")</f>
        <v/>
      </c>
      <c r="X11">
        <f>HYPERLINK("https://klasma.github.io/Logging_0319/kartor/A 34798-2024 karta.png", "A 34798-2024")</f>
        <v/>
      </c>
      <c r="Y11">
        <f>HYPERLINK("https://klasma.github.io/Logging_0319/kartor_geotiff/A 34798-2024 georefererad karta.tif", "A 34798-2024")</f>
        <v/>
      </c>
      <c r="AA11">
        <f>HYPERLINK("https://klasma.github.io/Logging_0319/klagomål/A 34798-2024 FSC-klagomål.docx", "A 34798-2024")</f>
        <v/>
      </c>
      <c r="AB11">
        <f>HYPERLINK("https://klasma.github.io/Logging_0319/klagomålsmail/A 34798-2024 FSC-klagomål mail.docx", "A 34798-2024")</f>
        <v/>
      </c>
      <c r="AC11">
        <f>HYPERLINK("https://klasma.github.io/Logging_0319/tillsyn/A 34798-2024 tillsynsbegäran.docx", "A 34798-2024")</f>
        <v/>
      </c>
      <c r="AD11">
        <f>HYPERLINK("https://klasma.github.io/Logging_0319/tillsynsmail/A 34798-2024 tillsynsbegäran mail.docx", "A 34798-2024")</f>
        <v/>
      </c>
      <c r="AE11">
        <f>HYPERLINK("https://klasma.github.io/Logging_0319/fåglar/A 34798-2024 prioriterade fågelarter.docx", "A 34798-2024")</f>
        <v/>
      </c>
    </row>
    <row r="12" ht="15" customHeight="1">
      <c r="A12" t="inlineStr">
        <is>
          <t>A 3952-2025</t>
        </is>
      </c>
      <c r="B12" t="inlineStr">
        <is>
          <t>avverkningsanmälan</t>
        </is>
      </c>
      <c r="C12" t="inlineStr">
        <is>
          <t>Avverkning för annat ändamål</t>
        </is>
      </c>
      <c r="D12" s="1" t="n">
        <v>45684</v>
      </c>
      <c r="E12" s="1" t="n">
        <v>46248</v>
      </c>
      <c r="F12" t="inlineStr">
        <is>
          <t>UPPSALA LÄN</t>
        </is>
      </c>
      <c r="G12" t="inlineStr">
        <is>
          <t>ÄLVKARLEBY</t>
        </is>
      </c>
      <c r="I12" t="n">
        <v>1.5</v>
      </c>
      <c r="J12" t="n">
        <v>4</v>
      </c>
      <c r="K12" t="n">
        <v>2</v>
      </c>
      <c r="L12" t="n">
        <v>1</v>
      </c>
      <c r="M12" t="n">
        <v>2</v>
      </c>
      <c r="N12" t="n">
        <v>0</v>
      </c>
      <c r="O12" t="n">
        <v>0</v>
      </c>
      <c r="P12" t="n">
        <v>0</v>
      </c>
      <c r="Q12" t="n">
        <v>3</v>
      </c>
      <c r="R12" t="n">
        <v>2</v>
      </c>
      <c r="S12" t="n">
        <v>7</v>
      </c>
      <c r="T12" t="n">
        <v>22</v>
      </c>
      <c r="U12" t="n">
        <v>0</v>
      </c>
      <c r="V12" s="2" t="inlineStr">
        <is>
          <t>Mindre bastardsvärmare
Sexfläckig bastardsvärmare
Vanlig sandviol
Skogsknipprot
Tvåblad
Kärrknipprot
Ängsnycklar</t>
        </is>
      </c>
      <c r="W12">
        <f>HYPERLINK("https://klasma.github.io/Logging_0319/artfynd/A 3952-2025 artfynd.xlsx", "A 3952-2025")</f>
        <v/>
      </c>
      <c r="X12">
        <f>HYPERLINK("https://klasma.github.io/Logging_0319/kartor/A 3952-2025 karta.png", "A 3952-2025")</f>
        <v/>
      </c>
      <c r="Y12">
        <f>HYPERLINK("https://klasma.github.io/Logging_0319/kartor_geotiff/A 3952-2025 georefererad karta.tif", "A 3952-2025")</f>
        <v/>
      </c>
      <c r="AA12">
        <f>HYPERLINK("https://klasma.github.io/Logging_0319/klagomål/A 3952-2025 FSC-klagomål.docx", "A 3952-2025")</f>
        <v/>
      </c>
      <c r="AB12">
        <f>HYPERLINK("https://klasma.github.io/Logging_0319/klagomålsmail/A 3952-2025 FSC-klagomål mail.docx", "A 3952-2025")</f>
        <v/>
      </c>
      <c r="AC12">
        <f>HYPERLINK("https://klasma.github.io/Logging_0319/tillsyn/A 3952-2025 tillsynsbegäran.docx", "A 3952-2025")</f>
        <v/>
      </c>
      <c r="AD12">
        <f>HYPERLINK("https://klasma.github.io/Logging_0319/tillsynsmail/A 3952-2025 tillsynsbegäran mail.docx", "A 3952-2025")</f>
        <v/>
      </c>
    </row>
    <row r="13" ht="15" customHeight="1">
      <c r="A13" t="inlineStr">
        <is>
          <t>A 26681-2025</t>
        </is>
      </c>
      <c r="B13" t="inlineStr">
        <is>
          <t>avverkningsanmälan</t>
        </is>
      </c>
      <c r="C13" t="inlineStr">
        <is>
          <t>Föryngringsavverkning</t>
        </is>
      </c>
      <c r="D13" s="1" t="n">
        <v>45810</v>
      </c>
      <c r="E13" s="1" t="n">
        <v>46248</v>
      </c>
      <c r="F13" t="inlineStr">
        <is>
          <t>UPPSALA LÄN</t>
        </is>
      </c>
      <c r="G13" t="inlineStr">
        <is>
          <t>ÄLVKARLEBY</t>
        </is>
      </c>
      <c r="H13" t="inlineStr">
        <is>
          <t>Bergvik skog väst AB</t>
        </is>
      </c>
      <c r="I13" t="n">
        <v>3.4</v>
      </c>
      <c r="J13" t="n">
        <v>4</v>
      </c>
      <c r="K13" t="n">
        <v>4</v>
      </c>
      <c r="L13" t="n">
        <v>0</v>
      </c>
      <c r="M13" t="n">
        <v>0</v>
      </c>
      <c r="N13" t="n">
        <v>1</v>
      </c>
      <c r="O13" t="n">
        <v>0</v>
      </c>
      <c r="P13" t="n">
        <v>0</v>
      </c>
      <c r="Q13" t="n">
        <v>1</v>
      </c>
      <c r="R13" t="n">
        <v>1</v>
      </c>
      <c r="S13" t="n">
        <v>6</v>
      </c>
      <c r="T13" t="n">
        <v>18</v>
      </c>
      <c r="U13" t="n">
        <v>0</v>
      </c>
      <c r="V13" s="2" t="inlineStr">
        <is>
          <t>Ask
Nästrot
Skogsknipprot
Tibast
Tvåblad
Gullviva</t>
        </is>
      </c>
      <c r="W13">
        <f>HYPERLINK("https://klasma.github.io/Logging_0319/artfynd/A 26681-2025 artfynd.xlsx", "A 26681-2025")</f>
        <v/>
      </c>
      <c r="X13">
        <f>HYPERLINK("https://klasma.github.io/Logging_0319/kartor/A 26681-2025 karta.png", "A 26681-2025")</f>
        <v/>
      </c>
      <c r="Y13">
        <f>HYPERLINK("https://klasma.github.io/Logging_0319/kartor_geotiff/A 26681-2025 georefererad karta.tif", "A 26681-2025")</f>
        <v/>
      </c>
      <c r="AA13">
        <f>HYPERLINK("https://klasma.github.io/Logging_0319/klagomål/A 26681-2025 FSC-klagomål.docx", "A 26681-2025")</f>
        <v/>
      </c>
      <c r="AB13">
        <f>HYPERLINK("https://klasma.github.io/Logging_0319/klagomålsmail/A 26681-2025 FSC-klagomål mail.docx", "A 26681-2025")</f>
        <v/>
      </c>
      <c r="AC13">
        <f>HYPERLINK("https://klasma.github.io/Logging_0319/tillsyn/A 26681-2025 tillsynsbegäran.docx", "A 26681-2025")</f>
        <v/>
      </c>
      <c r="AD13">
        <f>HYPERLINK("https://klasma.github.io/Logging_0319/tillsynsmail/A 26681-2025 tillsynsbegäran mail.docx", "A 26681-2025")</f>
        <v/>
      </c>
    </row>
    <row r="14" ht="15" customHeight="1">
      <c r="A14" t="inlineStr">
        <is>
          <t>S 5067-2024</t>
        </is>
      </c>
      <c r="B14" t="inlineStr">
        <is>
          <t>samrådsanmälan</t>
        </is>
      </c>
      <c r="C14" t="inlineStr">
        <is>
          <t>Skogsgödsling</t>
        </is>
      </c>
      <c r="D14" s="1" t="n">
        <v>45638</v>
      </c>
      <c r="E14" s="1" t="n">
        <v>46248</v>
      </c>
      <c r="F14" t="inlineStr">
        <is>
          <t>UPPSALA LÄN</t>
        </is>
      </c>
      <c r="G14" t="inlineStr">
        <is>
          <t>ÄLVKARLEBY</t>
        </is>
      </c>
      <c r="H14" t="inlineStr">
        <is>
          <t>Bergvik skog väst AB</t>
        </is>
      </c>
      <c r="I14" t="n">
        <v>118.9</v>
      </c>
      <c r="J14" t="n">
        <v>5</v>
      </c>
      <c r="K14" t="n">
        <v>0</v>
      </c>
      <c r="L14" t="n">
        <v>1</v>
      </c>
      <c r="M14" t="n">
        <v>0</v>
      </c>
      <c r="N14" t="n">
        <v>0</v>
      </c>
      <c r="O14" t="n">
        <v>0</v>
      </c>
      <c r="P14" t="n">
        <v>0</v>
      </c>
      <c r="Q14" t="n">
        <v>1</v>
      </c>
      <c r="R14" t="n">
        <v>0</v>
      </c>
      <c r="S14" t="n">
        <v>6</v>
      </c>
      <c r="T14" t="n">
        <v>7</v>
      </c>
      <c r="U14" t="n">
        <v>0</v>
      </c>
      <c r="V14" s="2" t="inlineStr">
        <is>
          <t>Skogsklocka
Blåsippa
Gråspett
Tjäder
Kungsfågel
Lopplummer (aggregat)</t>
        </is>
      </c>
      <c r="W14">
        <f>HYPERLINK("https://klasma.github.io/Logging_0319/artfynd/S 5067-2024 artfynd.xlsx", "S 5067-2024")</f>
        <v/>
      </c>
      <c r="X14">
        <f>HYPERLINK("https://klasma.github.io/Logging_0319/kartor/S 5067-2024 karta.png", "S 5067-2024")</f>
        <v/>
      </c>
      <c r="Y14">
        <f>HYPERLINK("https://klasma.github.io/Logging_0319/kartor_geotiff/S 5067-2024 georefererad karta.tif", "S 5067-2024")</f>
        <v/>
      </c>
      <c r="AA14">
        <f>HYPERLINK("https://klasma.github.io/Logging_0319/klagomål/S 5067-2024 FSC-klagomål.docx", "S 5067-2024")</f>
        <v/>
      </c>
      <c r="AB14">
        <f>HYPERLINK("https://klasma.github.io/Logging_0319/klagomålsmail/S 5067-2024 FSC-klagomål mail.docx", "S 5067-2024")</f>
        <v/>
      </c>
      <c r="AC14">
        <f>HYPERLINK("https://klasma.github.io/Logging_0319/tillsyn/S 5067-2024 tillsynsbegäran.docx", "S 5067-2024")</f>
        <v/>
      </c>
      <c r="AD14">
        <f>HYPERLINK("https://klasma.github.io/Logging_0319/tillsynsmail/S 5067-2024 tillsynsbegäran mail.docx", "S 5067-2024")</f>
        <v/>
      </c>
      <c r="AE14">
        <f>HYPERLINK("https://klasma.github.io/Logging_0319/fåglar/S 5067-2024 prioriterade fågelarter.docx", "S 5067-2024")</f>
        <v/>
      </c>
    </row>
    <row r="15" ht="15" customHeight="1">
      <c r="A15" t="inlineStr">
        <is>
          <t>A 22563-2026</t>
        </is>
      </c>
      <c r="B15" t="inlineStr">
        <is>
          <t>avverkningsanmälan</t>
        </is>
      </c>
      <c r="C15" t="inlineStr">
        <is>
          <t>Föryngringsavverkning</t>
        </is>
      </c>
      <c r="D15" s="1" t="n">
        <v>46155</v>
      </c>
      <c r="E15" s="1" t="n">
        <v>46248</v>
      </c>
      <c r="F15" t="inlineStr">
        <is>
          <t>UPPSALA LÄN</t>
        </is>
      </c>
      <c r="G15" t="inlineStr">
        <is>
          <t>ÄLVKARLEBY</t>
        </is>
      </c>
      <c r="H15" t="inlineStr">
        <is>
          <t>Bergvik skog öst AB</t>
        </is>
      </c>
      <c r="I15" t="n">
        <v>3.5</v>
      </c>
      <c r="J15" t="n">
        <v>1</v>
      </c>
      <c r="K15" t="n">
        <v>3</v>
      </c>
      <c r="L15" t="n">
        <v>2</v>
      </c>
      <c r="M15" t="n">
        <v>0</v>
      </c>
      <c r="N15" t="n">
        <v>0</v>
      </c>
      <c r="O15" t="n">
        <v>0</v>
      </c>
      <c r="P15" t="n">
        <v>0</v>
      </c>
      <c r="Q15" t="n">
        <v>2</v>
      </c>
      <c r="R15" t="n">
        <v>0</v>
      </c>
      <c r="S15" t="n">
        <v>5</v>
      </c>
      <c r="T15" t="n">
        <v>5</v>
      </c>
      <c r="U15" t="n">
        <v>0</v>
      </c>
      <c r="V15" s="2" t="inlineStr">
        <is>
          <t>Backruta
Klasefibbla
Nästrot
Scharlakansskål
Tibast</t>
        </is>
      </c>
      <c r="W15">
        <f>HYPERLINK("https://klasma.github.io/Logging_0319/artfynd/A 22563-2026 artfynd.xlsx", "A 22563-2026")</f>
        <v/>
      </c>
      <c r="X15">
        <f>HYPERLINK("https://klasma.github.io/Logging_0319/kartor/A 22563-2026 karta.png", "A 22563-2026")</f>
        <v/>
      </c>
      <c r="Y15">
        <f>HYPERLINK("https://klasma.github.io/Logging_0319/kartor_geotiff/A 22563-2026 georefererad karta.tif", "A 22563-2026")</f>
        <v/>
      </c>
      <c r="AA15">
        <f>HYPERLINK("https://klasma.github.io/Logging_0319/klagomål/A 22563-2026 FSC-klagomål.docx", "A 22563-2026")</f>
        <v/>
      </c>
      <c r="AB15">
        <f>HYPERLINK("https://klasma.github.io/Logging_0319/klagomålsmail/A 22563-2026 FSC-klagomål mail.docx", "A 22563-2026")</f>
        <v/>
      </c>
      <c r="AC15">
        <f>HYPERLINK("https://klasma.github.io/Logging_0319/tillsyn/A 22563-2026 tillsynsbegäran.docx", "A 22563-2026")</f>
        <v/>
      </c>
      <c r="AD15">
        <f>HYPERLINK("https://klasma.github.io/Logging_0319/tillsynsmail/A 22563-2026 tillsynsbegäran mail.docx", "A 22563-2026")</f>
        <v/>
      </c>
    </row>
    <row r="16" ht="15" customHeight="1">
      <c r="A16" t="inlineStr">
        <is>
          <t>A 33464-2026</t>
        </is>
      </c>
      <c r="B16" t="inlineStr">
        <is>
          <t>avverkningsanmälan</t>
        </is>
      </c>
      <c r="C16" t="inlineStr">
        <is>
          <t>Föryngringsavverkning</t>
        </is>
      </c>
      <c r="D16" s="1" t="n">
        <v>46247</v>
      </c>
      <c r="E16" s="1" t="n">
        <v>46248</v>
      </c>
      <c r="F16" t="inlineStr">
        <is>
          <t>UPPSALA LÄN</t>
        </is>
      </c>
      <c r="G16" t="inlineStr">
        <is>
          <t>ÄLVKARLEBY</t>
        </is>
      </c>
      <c r="H16" t="inlineStr">
        <is>
          <t>Bergvik skog väst AB</t>
        </is>
      </c>
      <c r="I16" t="n">
        <v>5.1</v>
      </c>
      <c r="J16" t="n">
        <v>1</v>
      </c>
      <c r="K16" t="n">
        <v>1</v>
      </c>
      <c r="L16" t="n">
        <v>3</v>
      </c>
      <c r="M16" t="n">
        <v>1</v>
      </c>
      <c r="N16" t="n">
        <v>0</v>
      </c>
      <c r="O16" t="n">
        <v>0</v>
      </c>
      <c r="P16" t="n">
        <v>0</v>
      </c>
      <c r="Q16" t="n">
        <v>4</v>
      </c>
      <c r="R16" t="n">
        <v>1</v>
      </c>
      <c r="S16" t="n">
        <v>5</v>
      </c>
      <c r="T16" t="n">
        <v>6</v>
      </c>
      <c r="U16" t="n">
        <v>0</v>
      </c>
      <c r="V16" s="2" t="inlineStr">
        <is>
          <t>Skrovlig taggsvamp
Grantaggsvamp
Motaggsvamp
Orange taggsvamp
Skogsknipprot</t>
        </is>
      </c>
      <c r="W16">
        <f>HYPERLINK("https://klasma.github.io/Logging_0319/artfynd/A 33464-2026 artfynd.xlsx", "A 33464-2026")</f>
        <v/>
      </c>
      <c r="X16">
        <f>HYPERLINK("https://klasma.github.io/Logging_0319/kartor/A 33464-2026 karta.png", "A 33464-2026")</f>
        <v/>
      </c>
      <c r="Y16">
        <f>HYPERLINK("https://klasma.github.io/Logging_0319/kartor_geotiff/A 33464-2026 georefererad karta.tif", "A 33464-2026")</f>
        <v/>
      </c>
      <c r="AA16">
        <f>HYPERLINK("https://klasma.github.io/Logging_0319/klagomål/A 33464-2026 FSC-klagomål.docx", "A 33464-2026")</f>
        <v/>
      </c>
      <c r="AB16">
        <f>HYPERLINK("https://klasma.github.io/Logging_0319/klagomålsmail/A 33464-2026 FSC-klagomål mail.docx", "A 33464-2026")</f>
        <v/>
      </c>
      <c r="AC16">
        <f>HYPERLINK("https://klasma.github.io/Logging_0319/tillsyn/A 33464-2026 tillsynsbegäran.docx", "A 33464-2026")</f>
        <v/>
      </c>
      <c r="AD16">
        <f>HYPERLINK("https://klasma.github.io/Logging_0319/tillsynsmail/A 33464-2026 tillsynsbegäran mail.docx", "A 33464-2026")</f>
        <v/>
      </c>
    </row>
    <row r="17" ht="15" customHeight="1">
      <c r="A17" t="inlineStr">
        <is>
          <t>S 4507-2023</t>
        </is>
      </c>
      <c r="B17" t="inlineStr">
        <is>
          <t>samrådsanmälan</t>
        </is>
      </c>
      <c r="C17" t="inlineStr">
        <is>
          <t>Skogsgödsling</t>
        </is>
      </c>
      <c r="D17" s="1" t="n">
        <v>45274</v>
      </c>
      <c r="E17" s="1" t="n">
        <v>46248</v>
      </c>
      <c r="F17" t="inlineStr">
        <is>
          <t>UPPSALA LÄN</t>
        </is>
      </c>
      <c r="G17" t="inlineStr">
        <is>
          <t>ÄLVKARLEBY</t>
        </is>
      </c>
      <c r="H17" t="inlineStr">
        <is>
          <t>Bergvik skog väst AB</t>
        </is>
      </c>
      <c r="I17" t="n">
        <v>11.4</v>
      </c>
      <c r="J17" t="n">
        <v>2</v>
      </c>
      <c r="K17" t="n">
        <v>0</v>
      </c>
      <c r="L17" t="n">
        <v>0</v>
      </c>
      <c r="M17" t="n">
        <v>2</v>
      </c>
      <c r="N17" t="n">
        <v>1</v>
      </c>
      <c r="O17" t="n">
        <v>0</v>
      </c>
      <c r="P17" t="n">
        <v>0</v>
      </c>
      <c r="Q17" t="n">
        <v>3</v>
      </c>
      <c r="R17" t="n">
        <v>3</v>
      </c>
      <c r="S17" t="n">
        <v>5</v>
      </c>
      <c r="T17" t="n">
        <v>11</v>
      </c>
      <c r="U17" t="n">
        <v>7</v>
      </c>
      <c r="V17" s="2" t="inlineStr">
        <is>
          <t>Stor bockrot
Kattunvisslare
Mindre bastardsvärmare
Vanlig padda
Fläcknycklar</t>
        </is>
      </c>
      <c r="W17">
        <f>HYPERLINK("https://klasma.github.io/Logging_0319/artfynd/S 4507-2023 artfynd.xlsx", "S 4507-2023")</f>
        <v/>
      </c>
      <c r="X17">
        <f>HYPERLINK("https://klasma.github.io/Logging_0319/kartor/S 4507-2023 karta.png", "S 4507-2023")</f>
        <v/>
      </c>
      <c r="Y17">
        <f>HYPERLINK("https://klasma.github.io/Logging_0319/kartor_geotiff/S 4507-2023 georefererad karta.tif", "S 4507-2023")</f>
        <v/>
      </c>
      <c r="AA17">
        <f>HYPERLINK("https://klasma.github.io/Logging_0319/klagomål/S 4507-2023 FSC-klagomål.docx", "S 4507-2023")</f>
        <v/>
      </c>
      <c r="AB17">
        <f>HYPERLINK("https://klasma.github.io/Logging_0319/klagomålsmail/S 4507-2023 FSC-klagomål mail.docx", "S 4507-2023")</f>
        <v/>
      </c>
      <c r="AC17">
        <f>HYPERLINK("https://klasma.github.io/Logging_0319/tillsyn/S 4507-2023 tillsynsbegäran.docx", "S 4507-2023")</f>
        <v/>
      </c>
      <c r="AD17">
        <f>HYPERLINK("https://klasma.github.io/Logging_0319/tillsynsmail/S 4507-2023 tillsynsbegäran mail.docx", "S 4507-2023")</f>
        <v/>
      </c>
    </row>
    <row r="18" ht="15" customHeight="1">
      <c r="A18" t="inlineStr">
        <is>
          <t>A 58480-2025</t>
        </is>
      </c>
      <c r="B18" t="inlineStr">
        <is>
          <t>avverkningsanmälan</t>
        </is>
      </c>
      <c r="C18" t="inlineStr">
        <is>
          <t>Föryngringsavverkning</t>
        </is>
      </c>
      <c r="D18" s="1" t="n">
        <v>45985</v>
      </c>
      <c r="E18" s="1" t="n">
        <v>46248</v>
      </c>
      <c r="F18" t="inlineStr">
        <is>
          <t>UPPSALA LÄN</t>
        </is>
      </c>
      <c r="G18" t="inlineStr">
        <is>
          <t>ÄLVKARLEBY</t>
        </is>
      </c>
      <c r="H18" t="inlineStr">
        <is>
          <t>Bergvik skog väst AB</t>
        </is>
      </c>
      <c r="I18" t="n">
        <v>4.1</v>
      </c>
      <c r="J18" t="n">
        <v>1</v>
      </c>
      <c r="K18" t="n">
        <v>3</v>
      </c>
      <c r="L18" t="n">
        <v>0</v>
      </c>
      <c r="M18" t="n">
        <v>1</v>
      </c>
      <c r="N18" t="n">
        <v>0</v>
      </c>
      <c r="O18" t="n">
        <v>0</v>
      </c>
      <c r="P18" t="n">
        <v>0</v>
      </c>
      <c r="Q18" t="n">
        <v>1</v>
      </c>
      <c r="R18" t="n">
        <v>1</v>
      </c>
      <c r="S18" t="n">
        <v>4</v>
      </c>
      <c r="T18" t="n">
        <v>9</v>
      </c>
      <c r="U18" t="n">
        <v>3</v>
      </c>
      <c r="V18" s="2" t="inlineStr">
        <is>
          <t>Knärot
Svart trolldruva
Tibast
Vätteros</t>
        </is>
      </c>
      <c r="W18">
        <f>HYPERLINK("https://klasma.github.io/Logging_0319/artfynd/A 58480-2025 artfynd.xlsx", "A 58480-2025")</f>
        <v/>
      </c>
      <c r="X18">
        <f>HYPERLINK("https://klasma.github.io/Logging_0319/kartor/A 58480-2025 karta.png", "A 58480-2025")</f>
        <v/>
      </c>
      <c r="Y18">
        <f>HYPERLINK("https://klasma.github.io/Logging_0319/kartor_geotiff/A 58480-2025 georefererad karta.tif", "A 58480-2025")</f>
        <v/>
      </c>
      <c r="Z18">
        <f>HYPERLINK("https://klasma.github.io/Logging_0319/knärot/A 58480-2025 karta knärot.png", "A 58480-2025")</f>
        <v/>
      </c>
      <c r="AA18">
        <f>HYPERLINK("https://klasma.github.io/Logging_0319/klagomål/A 58480-2025 FSC-klagomål.docx", "A 58480-2025")</f>
        <v/>
      </c>
      <c r="AB18">
        <f>HYPERLINK("https://klasma.github.io/Logging_0319/klagomålsmail/A 58480-2025 FSC-klagomål mail.docx", "A 58480-2025")</f>
        <v/>
      </c>
      <c r="AC18">
        <f>HYPERLINK("https://klasma.github.io/Logging_0319/tillsyn/A 58480-2025 tillsynsbegäran.docx", "A 58480-2025")</f>
        <v/>
      </c>
      <c r="AD18">
        <f>HYPERLINK("https://klasma.github.io/Logging_0319/tillsynsmail/A 58480-2025 tillsynsbegäran mail.docx", "A 58480-2025")</f>
        <v/>
      </c>
    </row>
    <row r="19" ht="15" customHeight="1">
      <c r="A19" t="inlineStr">
        <is>
          <t>A 62278-2025</t>
        </is>
      </c>
      <c r="B19" t="inlineStr">
        <is>
          <t>avverkningsanmälan</t>
        </is>
      </c>
      <c r="C19" t="inlineStr">
        <is>
          <t>Föryngringsavverkning</t>
        </is>
      </c>
      <c r="D19" s="1" t="n">
        <v>46006</v>
      </c>
      <c r="E19" s="1" t="n">
        <v>46248</v>
      </c>
      <c r="F19" t="inlineStr">
        <is>
          <t>UPPSALA LÄN</t>
        </is>
      </c>
      <c r="G19" t="inlineStr">
        <is>
          <t>ÄLVKARLEBY</t>
        </is>
      </c>
      <c r="H19" t="inlineStr">
        <is>
          <t>Bergvik skog väst AB</t>
        </is>
      </c>
      <c r="I19" t="n">
        <v>6.3</v>
      </c>
      <c r="J19" t="n">
        <v>1</v>
      </c>
      <c r="K19" t="n">
        <v>0</v>
      </c>
      <c r="L19" t="n">
        <v>3</v>
      </c>
      <c r="M19" t="n">
        <v>1</v>
      </c>
      <c r="N19" t="n">
        <v>0</v>
      </c>
      <c r="O19" t="n">
        <v>0</v>
      </c>
      <c r="P19" t="n">
        <v>0</v>
      </c>
      <c r="Q19" t="n">
        <v>4</v>
      </c>
      <c r="R19" t="n">
        <v>1</v>
      </c>
      <c r="S19" t="n">
        <v>4</v>
      </c>
      <c r="T19" t="n">
        <v>6</v>
      </c>
      <c r="U19" t="n">
        <v>0</v>
      </c>
      <c r="V19" s="2" t="inlineStr">
        <is>
          <t>Knärot
Rökfingersvamp
Vanlig sandviol
Vårstarr</t>
        </is>
      </c>
      <c r="W19">
        <f>HYPERLINK("https://klasma.github.io/Logging_0319/artfynd/A 62278-2025 artfynd.xlsx", "A 62278-2025")</f>
        <v/>
      </c>
      <c r="X19">
        <f>HYPERLINK("https://klasma.github.io/Logging_0319/kartor/A 62278-2025 karta.png", "A 62278-2025")</f>
        <v/>
      </c>
      <c r="Y19">
        <f>HYPERLINK("https://klasma.github.io/Logging_0319/kartor_geotiff/A 62278-2025 georefererad karta.tif", "A 62278-2025")</f>
        <v/>
      </c>
      <c r="Z19">
        <f>HYPERLINK("https://klasma.github.io/Logging_0319/knärot/A 62278-2025 karta knärot.png", "A 62278-2025")</f>
        <v/>
      </c>
      <c r="AA19">
        <f>HYPERLINK("https://klasma.github.io/Logging_0319/klagomål/A 62278-2025 FSC-klagomål.docx", "A 62278-2025")</f>
        <v/>
      </c>
      <c r="AB19">
        <f>HYPERLINK("https://klasma.github.io/Logging_0319/klagomålsmail/A 62278-2025 FSC-klagomål mail.docx", "A 62278-2025")</f>
        <v/>
      </c>
      <c r="AC19">
        <f>HYPERLINK("https://klasma.github.io/Logging_0319/tillsyn/A 62278-2025 tillsynsbegäran.docx", "A 62278-2025")</f>
        <v/>
      </c>
      <c r="AD19">
        <f>HYPERLINK("https://klasma.github.io/Logging_0319/tillsynsmail/A 62278-2025 tillsynsbegäran mail.docx", "A 62278-2025")</f>
        <v/>
      </c>
    </row>
    <row r="20" ht="15" customHeight="1">
      <c r="A20" t="inlineStr">
        <is>
          <t>A 21700-2024</t>
        </is>
      </c>
      <c r="B20" t="inlineStr">
        <is>
          <t>avverkningsanmälan</t>
        </is>
      </c>
      <c r="C20" t="inlineStr">
        <is>
          <t>Föryngringsavverkning</t>
        </is>
      </c>
      <c r="D20" s="1" t="n">
        <v>45442</v>
      </c>
      <c r="E20" s="1" t="n">
        <v>46248</v>
      </c>
      <c r="F20" t="inlineStr">
        <is>
          <t>UPPSALA LÄN</t>
        </is>
      </c>
      <c r="G20" t="inlineStr">
        <is>
          <t>ÄLVKARLEBY</t>
        </is>
      </c>
      <c r="H20" t="inlineStr">
        <is>
          <t>Bergvik skog väst AB</t>
        </is>
      </c>
      <c r="I20" t="n">
        <v>1.1</v>
      </c>
      <c r="J20" t="n">
        <v>0</v>
      </c>
      <c r="K20" t="n">
        <v>1</v>
      </c>
      <c r="L20" t="n">
        <v>1</v>
      </c>
      <c r="M20" t="n">
        <v>1</v>
      </c>
      <c r="N20" t="n">
        <v>0</v>
      </c>
      <c r="O20" t="n">
        <v>0</v>
      </c>
      <c r="P20" t="n">
        <v>0</v>
      </c>
      <c r="Q20" t="n">
        <v>2</v>
      </c>
      <c r="R20" t="n">
        <v>1</v>
      </c>
      <c r="S20" t="n">
        <v>3</v>
      </c>
      <c r="T20" t="n">
        <v>3</v>
      </c>
      <c r="U20" t="n">
        <v>1</v>
      </c>
      <c r="V20" s="2" t="inlineStr">
        <is>
          <t>Töcknig trymal
Skuggorangelav
Scharlakansvårskål agg.</t>
        </is>
      </c>
      <c r="W20">
        <f>HYPERLINK("https://klasma.github.io/Logging_0319/artfynd/A 21700-2024 artfynd.xlsx", "A 21700-2024")</f>
        <v/>
      </c>
      <c r="X20">
        <f>HYPERLINK("https://klasma.github.io/Logging_0319/kartor/A 21700-2024 karta.png", "A 21700-2024")</f>
        <v/>
      </c>
      <c r="Y20">
        <f>HYPERLINK("https://klasma.github.io/Logging_0319/kartor_geotiff/A 21700-2024 georefererad karta.tif", "A 21700-2024")</f>
        <v/>
      </c>
      <c r="AA20">
        <f>HYPERLINK("https://klasma.github.io/Logging_0319/klagomål/A 21700-2024 FSC-klagomål.docx", "A 21700-2024")</f>
        <v/>
      </c>
      <c r="AB20">
        <f>HYPERLINK("https://klasma.github.io/Logging_0319/klagomålsmail/A 21700-2024 FSC-klagomål mail.docx", "A 21700-2024")</f>
        <v/>
      </c>
      <c r="AC20">
        <f>HYPERLINK("https://klasma.github.io/Logging_0319/tillsyn/A 21700-2024 tillsynsbegäran.docx", "A 21700-2024")</f>
        <v/>
      </c>
      <c r="AD20">
        <f>HYPERLINK("https://klasma.github.io/Logging_0319/tillsynsmail/A 21700-2024 tillsynsbegäran mail.docx", "A 21700-2024")</f>
        <v/>
      </c>
    </row>
    <row r="21" ht="15" customHeight="1">
      <c r="A21" t="inlineStr">
        <is>
          <t>A 61685-2025</t>
        </is>
      </c>
      <c r="B21" t="inlineStr">
        <is>
          <t>avverkningsanmälan</t>
        </is>
      </c>
      <c r="C21" t="inlineStr">
        <is>
          <t>Föryngringsavverkning</t>
        </is>
      </c>
      <c r="D21" s="1" t="n">
        <v>46002</v>
      </c>
      <c r="E21" s="1" t="n">
        <v>46248</v>
      </c>
      <c r="F21" t="inlineStr">
        <is>
          <t>UPPSALA LÄN</t>
        </is>
      </c>
      <c r="G21" t="inlineStr">
        <is>
          <t>ÄLVKARLEBY</t>
        </is>
      </c>
      <c r="H21" t="inlineStr">
        <is>
          <t>Bergvik skog öst AB</t>
        </is>
      </c>
      <c r="I21" t="n">
        <v>1</v>
      </c>
      <c r="J21" t="n">
        <v>2</v>
      </c>
      <c r="K21" t="n">
        <v>1</v>
      </c>
      <c r="L21" t="n">
        <v>1</v>
      </c>
      <c r="M21" t="n">
        <v>0</v>
      </c>
      <c r="N21" t="n">
        <v>0</v>
      </c>
      <c r="O21" t="n">
        <v>0</v>
      </c>
      <c r="P21" t="n">
        <v>0</v>
      </c>
      <c r="Q21" t="n">
        <v>1</v>
      </c>
      <c r="R21" t="n">
        <v>0</v>
      </c>
      <c r="S21" t="n">
        <v>3</v>
      </c>
      <c r="T21" t="n">
        <v>3</v>
      </c>
      <c r="U21" t="n">
        <v>0</v>
      </c>
      <c r="V21" s="2" t="inlineStr">
        <is>
          <t>Klasefibbla
Tvåblad
Kärrknipprot</t>
        </is>
      </c>
      <c r="W21">
        <f>HYPERLINK("https://klasma.github.io/Logging_0319/artfynd/A 61685-2025 artfynd.xlsx", "A 61685-2025")</f>
        <v/>
      </c>
      <c r="X21">
        <f>HYPERLINK("https://klasma.github.io/Logging_0319/kartor/A 61685-2025 karta.png", "A 61685-2025")</f>
        <v/>
      </c>
      <c r="Y21">
        <f>HYPERLINK("https://klasma.github.io/Logging_0319/kartor_geotiff/A 61685-2025 georefererad karta.tif", "A 61685-2025")</f>
        <v/>
      </c>
      <c r="AA21">
        <f>HYPERLINK("https://klasma.github.io/Logging_0319/klagomål/A 61685-2025 FSC-klagomål.docx", "A 61685-2025")</f>
        <v/>
      </c>
      <c r="AB21">
        <f>HYPERLINK("https://klasma.github.io/Logging_0319/klagomålsmail/A 61685-2025 FSC-klagomål mail.docx", "A 61685-2025")</f>
        <v/>
      </c>
      <c r="AC21">
        <f>HYPERLINK("https://klasma.github.io/Logging_0319/tillsyn/A 61685-2025 tillsynsbegäran.docx", "A 61685-2025")</f>
        <v/>
      </c>
      <c r="AD21">
        <f>HYPERLINK("https://klasma.github.io/Logging_0319/tillsynsmail/A 61685-2025 tillsynsbegäran mail.docx", "A 61685-2025")</f>
        <v/>
      </c>
    </row>
    <row r="22" ht="15" customHeight="1">
      <c r="A22" t="inlineStr">
        <is>
          <t>A 61693-2025</t>
        </is>
      </c>
      <c r="B22" t="inlineStr">
        <is>
          <t>avverkningsanmälan</t>
        </is>
      </c>
      <c r="C22" t="inlineStr">
        <is>
          <t>Föryngringsavverkning</t>
        </is>
      </c>
      <c r="D22" s="1" t="n">
        <v>46002</v>
      </c>
      <c r="E22" s="1" t="n">
        <v>46248</v>
      </c>
      <c r="F22" t="inlineStr">
        <is>
          <t>UPPSALA LÄN</t>
        </is>
      </c>
      <c r="G22" t="inlineStr">
        <is>
          <t>ÄLVKARLEBY</t>
        </is>
      </c>
      <c r="H22" t="inlineStr">
        <is>
          <t>Bergvik skog öst AB</t>
        </is>
      </c>
      <c r="I22" t="n">
        <v>9.199999999999999</v>
      </c>
      <c r="J22" t="n">
        <v>0</v>
      </c>
      <c r="K22" t="n">
        <v>1</v>
      </c>
      <c r="L22" t="n">
        <v>2</v>
      </c>
      <c r="M22" t="n">
        <v>0</v>
      </c>
      <c r="N22" t="n">
        <v>0</v>
      </c>
      <c r="O22" t="n">
        <v>0</v>
      </c>
      <c r="P22" t="n">
        <v>0</v>
      </c>
      <c r="Q22" t="n">
        <v>2</v>
      </c>
      <c r="R22" t="n">
        <v>0</v>
      </c>
      <c r="S22" t="n">
        <v>3</v>
      </c>
      <c r="T22" t="n">
        <v>4</v>
      </c>
      <c r="U22" t="n">
        <v>4</v>
      </c>
      <c r="V22" s="2" t="inlineStr">
        <is>
          <t>Sårläka
Vedtrappmossa
Brandticka</t>
        </is>
      </c>
      <c r="W22">
        <f>HYPERLINK("https://klasma.github.io/Logging_0319/artfynd/A 61693-2025 artfynd.xlsx", "A 61693-2025")</f>
        <v/>
      </c>
      <c r="X22">
        <f>HYPERLINK("https://klasma.github.io/Logging_0319/kartor/A 61693-2025 karta.png", "A 61693-2025")</f>
        <v/>
      </c>
      <c r="Y22">
        <f>HYPERLINK("https://klasma.github.io/Logging_0319/kartor_geotiff/A 61693-2025 georefererad karta.tif", "A 61693-2025")</f>
        <v/>
      </c>
      <c r="AA22">
        <f>HYPERLINK("https://klasma.github.io/Logging_0319/klagomål/A 61693-2025 FSC-klagomål.docx", "A 61693-2025")</f>
        <v/>
      </c>
      <c r="AB22">
        <f>HYPERLINK("https://klasma.github.io/Logging_0319/klagomålsmail/A 61693-2025 FSC-klagomål mail.docx", "A 61693-2025")</f>
        <v/>
      </c>
      <c r="AC22">
        <f>HYPERLINK("https://klasma.github.io/Logging_0319/tillsyn/A 61693-2025 tillsynsbegäran.docx", "A 61693-2025")</f>
        <v/>
      </c>
      <c r="AD22">
        <f>HYPERLINK("https://klasma.github.io/Logging_0319/tillsynsmail/A 61693-2025 tillsynsbegäran mail.docx", "A 61693-2025")</f>
        <v/>
      </c>
    </row>
    <row r="23" ht="15" customHeight="1">
      <c r="A23" t="inlineStr">
        <is>
          <t>A 33463-2026</t>
        </is>
      </c>
      <c r="B23" t="inlineStr">
        <is>
          <t>avverkningsanmälan</t>
        </is>
      </c>
      <c r="C23" t="inlineStr">
        <is>
          <t>Föryngringsavverkning</t>
        </is>
      </c>
      <c r="D23" s="1" t="n">
        <v>46247</v>
      </c>
      <c r="E23" s="1" t="n">
        <v>46248</v>
      </c>
      <c r="F23" t="inlineStr">
        <is>
          <t>UPPSALA LÄN</t>
        </is>
      </c>
      <c r="G23" t="inlineStr">
        <is>
          <t>ÄLVKARLEBY</t>
        </is>
      </c>
      <c r="H23" t="inlineStr">
        <is>
          <t>Bergvik skog öst AB</t>
        </is>
      </c>
      <c r="I23" t="n">
        <v>12.4</v>
      </c>
      <c r="J23" t="n">
        <v>1</v>
      </c>
      <c r="K23" t="n">
        <v>0</v>
      </c>
      <c r="L23" t="n">
        <v>1</v>
      </c>
      <c r="M23" t="n">
        <v>2</v>
      </c>
      <c r="N23" t="n">
        <v>0</v>
      </c>
      <c r="O23" t="n">
        <v>0</v>
      </c>
      <c r="P23" t="n">
        <v>0</v>
      </c>
      <c r="Q23" t="n">
        <v>3</v>
      </c>
      <c r="R23" t="n">
        <v>2</v>
      </c>
      <c r="S23" t="n">
        <v>3</v>
      </c>
      <c r="T23" t="n">
        <v>7</v>
      </c>
      <c r="U23" t="n">
        <v>0</v>
      </c>
      <c r="V23" s="2" t="inlineStr">
        <is>
          <t>Bredgentiana
Fältgentiana
Slåtterfibbla</t>
        </is>
      </c>
      <c r="W23">
        <f>HYPERLINK("https://klasma.github.io/Logging_0319/artfynd/A 33463-2026 artfynd.xlsx", "A 33463-2026")</f>
        <v/>
      </c>
      <c r="X23">
        <f>HYPERLINK("https://klasma.github.io/Logging_0319/kartor/A 33463-2026 karta.png", "A 33463-2026")</f>
        <v/>
      </c>
      <c r="Y23">
        <f>HYPERLINK("https://klasma.github.io/Logging_0319/kartor_geotiff/A 33463-2026 georefererad karta.tif", "A 33463-2026")</f>
        <v/>
      </c>
      <c r="AA23">
        <f>HYPERLINK("https://klasma.github.io/Logging_0319/klagomål/A 33463-2026 FSC-klagomål.docx", "A 33463-2026")</f>
        <v/>
      </c>
      <c r="AB23">
        <f>HYPERLINK("https://klasma.github.io/Logging_0319/klagomålsmail/A 33463-2026 FSC-klagomål mail.docx", "A 33463-2026")</f>
        <v/>
      </c>
      <c r="AC23">
        <f>HYPERLINK("https://klasma.github.io/Logging_0319/tillsyn/A 33463-2026 tillsynsbegäran.docx", "A 33463-2026")</f>
        <v/>
      </c>
      <c r="AD23">
        <f>HYPERLINK("https://klasma.github.io/Logging_0319/tillsynsmail/A 33463-2026 tillsynsbegäran mail.docx", "A 33463-2026")</f>
        <v/>
      </c>
    </row>
    <row r="24" ht="15" customHeight="1">
      <c r="A24" t="inlineStr">
        <is>
          <t>A 15739-2025</t>
        </is>
      </c>
      <c r="B24" t="inlineStr">
        <is>
          <t>avverkningsanmälan</t>
        </is>
      </c>
      <c r="C24" t="inlineStr">
        <is>
          <t>Föryngringsavverkning</t>
        </is>
      </c>
      <c r="D24" s="1" t="n">
        <v>45748</v>
      </c>
      <c r="E24" s="1" t="n">
        <v>46248</v>
      </c>
      <c r="F24" t="inlineStr">
        <is>
          <t>UPPSALA LÄN</t>
        </is>
      </c>
      <c r="G24" t="inlineStr">
        <is>
          <t>ÄLVKARLEBY</t>
        </is>
      </c>
      <c r="H24" t="inlineStr">
        <is>
          <t>Kyrkan</t>
        </is>
      </c>
      <c r="I24" t="n">
        <v>2.4</v>
      </c>
      <c r="J24" t="n">
        <v>0</v>
      </c>
      <c r="K24" t="n">
        <v>0</v>
      </c>
      <c r="L24" t="n">
        <v>2</v>
      </c>
      <c r="M24" t="n">
        <v>0</v>
      </c>
      <c r="N24" t="n">
        <v>0</v>
      </c>
      <c r="O24" t="n">
        <v>0</v>
      </c>
      <c r="P24" t="n">
        <v>0</v>
      </c>
      <c r="Q24" t="n">
        <v>2</v>
      </c>
      <c r="R24" t="n">
        <v>0</v>
      </c>
      <c r="S24" t="n">
        <v>2</v>
      </c>
      <c r="T24" t="n">
        <v>7</v>
      </c>
      <c r="U24" t="n">
        <v>0</v>
      </c>
      <c r="V24" s="2" t="inlineStr">
        <is>
          <t>Brunklöver
Slåtterfibbla</t>
        </is>
      </c>
      <c r="W24">
        <f>HYPERLINK("https://klasma.github.io/Logging_0319/artfynd/A 15739-2025 artfynd.xlsx", "A 15739-2025")</f>
        <v/>
      </c>
      <c r="X24">
        <f>HYPERLINK("https://klasma.github.io/Logging_0319/kartor/A 15739-2025 karta.png", "A 15739-2025")</f>
        <v/>
      </c>
      <c r="Y24">
        <f>HYPERLINK("https://klasma.github.io/Logging_0319/kartor_geotiff/A 15739-2025 georefererad karta.tif", "A 15739-2025")</f>
        <v/>
      </c>
      <c r="AA24">
        <f>HYPERLINK("https://klasma.github.io/Logging_0319/klagomål/A 15739-2025 FSC-klagomål.docx", "A 15739-2025")</f>
        <v/>
      </c>
      <c r="AB24">
        <f>HYPERLINK("https://klasma.github.io/Logging_0319/klagomålsmail/A 15739-2025 FSC-klagomål mail.docx", "A 15739-2025")</f>
        <v/>
      </c>
      <c r="AC24">
        <f>HYPERLINK("https://klasma.github.io/Logging_0319/tillsyn/A 15739-2025 tillsynsbegäran.docx", "A 15739-2025")</f>
        <v/>
      </c>
      <c r="AD24">
        <f>HYPERLINK("https://klasma.github.io/Logging_0319/tillsynsmail/A 15739-2025 tillsynsbegäran mail.docx", "A 15739-2025")</f>
        <v/>
      </c>
    </row>
    <row r="25" ht="15" customHeight="1">
      <c r="A25" t="inlineStr">
        <is>
          <t>A 58485-2025</t>
        </is>
      </c>
      <c r="B25" t="inlineStr">
        <is>
          <t>avverkningsanmälan</t>
        </is>
      </c>
      <c r="C25" t="inlineStr">
        <is>
          <t>Föryngringsavverkning</t>
        </is>
      </c>
      <c r="D25" s="1" t="n">
        <v>45985</v>
      </c>
      <c r="E25" s="1" t="n">
        <v>46248</v>
      </c>
      <c r="F25" t="inlineStr">
        <is>
          <t>UPPSALA LÄN</t>
        </is>
      </c>
      <c r="G25" t="inlineStr">
        <is>
          <t>ÄLVKARLEBY</t>
        </is>
      </c>
      <c r="H25" t="inlineStr">
        <is>
          <t>Bergvik skog väst AB</t>
        </is>
      </c>
      <c r="I25" t="n">
        <v>2</v>
      </c>
      <c r="J25" t="n">
        <v>1</v>
      </c>
      <c r="K25" t="n">
        <v>1</v>
      </c>
      <c r="L25" t="n">
        <v>0</v>
      </c>
      <c r="M25" t="n">
        <v>1</v>
      </c>
      <c r="N25" t="n">
        <v>0</v>
      </c>
      <c r="O25" t="n">
        <v>0</v>
      </c>
      <c r="P25" t="n">
        <v>0</v>
      </c>
      <c r="Q25" t="n">
        <v>1</v>
      </c>
      <c r="R25" t="n">
        <v>1</v>
      </c>
      <c r="S25" t="n">
        <v>2</v>
      </c>
      <c r="T25" t="n">
        <v>2</v>
      </c>
      <c r="U25" t="n">
        <v>1</v>
      </c>
      <c r="V25" s="2" t="inlineStr">
        <is>
          <t>Knärot
Myskmadra</t>
        </is>
      </c>
      <c r="W25">
        <f>HYPERLINK("https://klasma.github.io/Logging_0319/artfynd/A 58485-2025 artfynd.xlsx", "A 58485-2025")</f>
        <v/>
      </c>
      <c r="X25">
        <f>HYPERLINK("https://klasma.github.io/Logging_0319/kartor/A 58485-2025 karta.png", "A 58485-2025")</f>
        <v/>
      </c>
      <c r="Y25">
        <f>HYPERLINK("https://klasma.github.io/Logging_0319/kartor_geotiff/A 58485-2025 georefererad karta.tif", "A 58485-2025")</f>
        <v/>
      </c>
      <c r="Z25">
        <f>HYPERLINK("https://klasma.github.io/Logging_0319/knärot/A 58485-2025 karta knärot.png", "A 58485-2025")</f>
        <v/>
      </c>
      <c r="AA25">
        <f>HYPERLINK("https://klasma.github.io/Logging_0319/klagomål/A 58485-2025 FSC-klagomål.docx", "A 58485-2025")</f>
        <v/>
      </c>
      <c r="AB25">
        <f>HYPERLINK("https://klasma.github.io/Logging_0319/klagomålsmail/A 58485-2025 FSC-klagomål mail.docx", "A 58485-2025")</f>
        <v/>
      </c>
      <c r="AC25">
        <f>HYPERLINK("https://klasma.github.io/Logging_0319/tillsyn/A 58485-2025 tillsynsbegäran.docx", "A 58485-2025")</f>
        <v/>
      </c>
      <c r="AD25">
        <f>HYPERLINK("https://klasma.github.io/Logging_0319/tillsynsmail/A 58485-2025 tillsynsbegäran mail.docx", "A 58485-2025")</f>
        <v/>
      </c>
    </row>
    <row r="26" ht="15" customHeight="1">
      <c r="A26" t="inlineStr">
        <is>
          <t>A 4132-2026</t>
        </is>
      </c>
      <c r="B26" t="inlineStr">
        <is>
          <t>avverkningsanmälan</t>
        </is>
      </c>
      <c r="C26" t="inlineStr">
        <is>
          <t>Föryngringsavverkning</t>
        </is>
      </c>
      <c r="D26" s="1" t="n">
        <v>46044</v>
      </c>
      <c r="E26" s="1" t="n">
        <v>46248</v>
      </c>
      <c r="F26" t="inlineStr">
        <is>
          <t>UPPSALA LÄN</t>
        </is>
      </c>
      <c r="G26" t="inlineStr">
        <is>
          <t>ÄLVKARLEBY</t>
        </is>
      </c>
      <c r="H26" t="inlineStr">
        <is>
          <t>Bergvik skog öst AB</t>
        </is>
      </c>
      <c r="I26" t="n">
        <v>12.2</v>
      </c>
      <c r="J26" t="n">
        <v>2</v>
      </c>
      <c r="K26" t="n">
        <v>1</v>
      </c>
      <c r="L26" t="n">
        <v>0</v>
      </c>
      <c r="M26" t="n">
        <v>1</v>
      </c>
      <c r="N26" t="n">
        <v>0</v>
      </c>
      <c r="O26" t="n">
        <v>0</v>
      </c>
      <c r="P26" t="n">
        <v>0</v>
      </c>
      <c r="Q26" t="n">
        <v>1</v>
      </c>
      <c r="R26" t="n">
        <v>1</v>
      </c>
      <c r="S26" t="n">
        <v>2</v>
      </c>
      <c r="T26" t="n">
        <v>2</v>
      </c>
      <c r="U26" t="n">
        <v>0</v>
      </c>
      <c r="V26" s="2" t="inlineStr">
        <is>
          <t>Bredgentiana
Nästrot</t>
        </is>
      </c>
      <c r="W26">
        <f>HYPERLINK("https://klasma.github.io/Logging_0319/artfynd/A 4132-2026 artfynd.xlsx", "A 4132-2026")</f>
        <v/>
      </c>
      <c r="X26">
        <f>HYPERLINK("https://klasma.github.io/Logging_0319/kartor/A 4132-2026 karta.png", "A 4132-2026")</f>
        <v/>
      </c>
      <c r="Y26">
        <f>HYPERLINK("https://klasma.github.io/Logging_0319/kartor_geotiff/A 4132-2026 georefererad karta.tif", "A 4132-2026")</f>
        <v/>
      </c>
      <c r="AA26">
        <f>HYPERLINK("https://klasma.github.io/Logging_0319/klagomål/A 4132-2026 FSC-klagomål.docx", "A 4132-2026")</f>
        <v/>
      </c>
      <c r="AB26">
        <f>HYPERLINK("https://klasma.github.io/Logging_0319/klagomålsmail/A 4132-2026 FSC-klagomål mail.docx", "A 4132-2026")</f>
        <v/>
      </c>
      <c r="AC26">
        <f>HYPERLINK("https://klasma.github.io/Logging_0319/tillsyn/A 4132-2026 tillsynsbegäran.docx", "A 4132-2026")</f>
        <v/>
      </c>
      <c r="AD26">
        <f>HYPERLINK("https://klasma.github.io/Logging_0319/tillsynsmail/A 4132-2026 tillsynsbegäran mail.docx", "A 4132-2026")</f>
        <v/>
      </c>
    </row>
    <row r="27" ht="15" customHeight="1">
      <c r="A27" t="inlineStr">
        <is>
          <t>A 4133-2026</t>
        </is>
      </c>
      <c r="B27" t="inlineStr">
        <is>
          <t>avverkningsanmälan</t>
        </is>
      </c>
      <c r="C27" t="inlineStr">
        <is>
          <t>Föryngringsavverkning</t>
        </is>
      </c>
      <c r="D27" s="1" t="n">
        <v>46044</v>
      </c>
      <c r="E27" s="1" t="n">
        <v>46248</v>
      </c>
      <c r="F27" t="inlineStr">
        <is>
          <t>UPPSALA LÄN</t>
        </is>
      </c>
      <c r="G27" t="inlineStr">
        <is>
          <t>ÄLVKARLEBY</t>
        </is>
      </c>
      <c r="H27" t="inlineStr">
        <is>
          <t>Bergvik skog öst AB</t>
        </is>
      </c>
      <c r="I27" t="n">
        <v>4.1</v>
      </c>
      <c r="J27" t="n">
        <v>2</v>
      </c>
      <c r="K27" t="n">
        <v>1</v>
      </c>
      <c r="L27" t="n">
        <v>0</v>
      </c>
      <c r="M27" t="n">
        <v>0</v>
      </c>
      <c r="N27" t="n">
        <v>0</v>
      </c>
      <c r="O27" t="n">
        <v>0</v>
      </c>
      <c r="P27" t="n">
        <v>0</v>
      </c>
      <c r="Q27" t="n">
        <v>0</v>
      </c>
      <c r="R27" t="n">
        <v>0</v>
      </c>
      <c r="S27" t="n">
        <v>2</v>
      </c>
      <c r="T27" t="n">
        <v>2</v>
      </c>
      <c r="U27" t="n">
        <v>2</v>
      </c>
      <c r="V27" s="2" t="inlineStr">
        <is>
          <t>Tvåblad
Nattviol</t>
        </is>
      </c>
      <c r="W27">
        <f>HYPERLINK("https://klasma.github.io/Logging_0319/artfynd/A 4133-2026 artfynd.xlsx", "A 4133-2026")</f>
        <v/>
      </c>
      <c r="X27">
        <f>HYPERLINK("https://klasma.github.io/Logging_0319/kartor/A 4133-2026 karta.png", "A 4133-2026")</f>
        <v/>
      </c>
      <c r="Y27">
        <f>HYPERLINK("https://klasma.github.io/Logging_0319/kartor_geotiff/A 4133-2026 georefererad karta.tif", "A 4133-2026")</f>
        <v/>
      </c>
      <c r="AA27">
        <f>HYPERLINK("https://klasma.github.io/Logging_0319/klagomål/A 4133-2026 FSC-klagomål.docx", "A 4133-2026")</f>
        <v/>
      </c>
      <c r="AB27">
        <f>HYPERLINK("https://klasma.github.io/Logging_0319/klagomålsmail/A 4133-2026 FSC-klagomål mail.docx", "A 4133-2026")</f>
        <v/>
      </c>
      <c r="AC27">
        <f>HYPERLINK("https://klasma.github.io/Logging_0319/tillsyn/A 4133-2026 tillsynsbegäran.docx", "A 4133-2026")</f>
        <v/>
      </c>
      <c r="AD27">
        <f>HYPERLINK("https://klasma.github.io/Logging_0319/tillsynsmail/A 4133-2026 tillsynsbegäran mail.docx", "A 4133-2026")</f>
        <v/>
      </c>
    </row>
    <row r="28" ht="15" customHeight="1">
      <c r="A28" t="inlineStr">
        <is>
          <t>S 780-2024</t>
        </is>
      </c>
      <c r="B28" t="inlineStr">
        <is>
          <t>samrådsanmälan</t>
        </is>
      </c>
      <c r="C28" t="inlineStr">
        <is>
          <t>Annan skogsbruksåtgärd</t>
        </is>
      </c>
      <c r="D28" s="1" t="n">
        <v>45369</v>
      </c>
      <c r="E28" s="1" t="n">
        <v>46248</v>
      </c>
      <c r="F28" t="inlineStr">
        <is>
          <t>UPPSALA LÄN</t>
        </is>
      </c>
      <c r="G28" t="inlineStr">
        <is>
          <t>ÄLVKARLEBY</t>
        </is>
      </c>
      <c r="H28" t="inlineStr">
        <is>
          <t>Bergvik skog väst AB</t>
        </is>
      </c>
      <c r="I28" t="n">
        <v>0.2</v>
      </c>
      <c r="J28" t="n">
        <v>1</v>
      </c>
      <c r="K28" t="n">
        <v>0</v>
      </c>
      <c r="L28" t="n">
        <v>1</v>
      </c>
      <c r="M28" t="n">
        <v>0</v>
      </c>
      <c r="N28" t="n">
        <v>1</v>
      </c>
      <c r="O28" t="n">
        <v>0</v>
      </c>
      <c r="P28" t="n">
        <v>0</v>
      </c>
      <c r="Q28" t="n">
        <v>2</v>
      </c>
      <c r="R28" t="n">
        <v>1</v>
      </c>
      <c r="S28" t="n">
        <v>2</v>
      </c>
      <c r="T28" t="n">
        <v>10</v>
      </c>
      <c r="U28" t="n">
        <v>2</v>
      </c>
      <c r="V28" s="2" t="inlineStr">
        <is>
          <t>Mosippa
Motaggsvamp</t>
        </is>
      </c>
      <c r="W28">
        <f>HYPERLINK("https://klasma.github.io/Logging_0319/artfynd/S 780-2024 artfynd.xlsx", "S 780-2024")</f>
        <v/>
      </c>
      <c r="X28">
        <f>HYPERLINK("https://klasma.github.io/Logging_0319/kartor/S 780-2024 karta.png", "S 780-2024")</f>
        <v/>
      </c>
      <c r="Y28">
        <f>HYPERLINK("https://klasma.github.io/Logging_0319/kartor_geotiff/S 780-2024 georefererad karta.tif", "S 780-2024")</f>
        <v/>
      </c>
      <c r="AA28">
        <f>HYPERLINK("https://klasma.github.io/Logging_0319/klagomål/S 780-2024 FSC-klagomål.docx", "S 780-2024")</f>
        <v/>
      </c>
      <c r="AB28">
        <f>HYPERLINK("https://klasma.github.io/Logging_0319/klagomålsmail/S 780-2024 FSC-klagomål mail.docx", "S 780-2024")</f>
        <v/>
      </c>
      <c r="AC28">
        <f>HYPERLINK("https://klasma.github.io/Logging_0319/tillsyn/S 780-2024 tillsynsbegäran.docx", "S 780-2024")</f>
        <v/>
      </c>
      <c r="AD28">
        <f>HYPERLINK("https://klasma.github.io/Logging_0319/tillsynsmail/S 780-2024 tillsynsbegäran mail.docx", "S 780-2024")</f>
        <v/>
      </c>
    </row>
    <row r="29" ht="15" customHeight="1">
      <c r="A29" t="inlineStr">
        <is>
          <t>A 10455-2022</t>
        </is>
      </c>
      <c r="B29" t="inlineStr">
        <is>
          <t>avverkningsanmälan</t>
        </is>
      </c>
      <c r="C29" t="inlineStr">
        <is>
          <t>Föryngringsavverkning</t>
        </is>
      </c>
      <c r="D29" s="1" t="n">
        <v>44623</v>
      </c>
      <c r="E29" s="1" t="n">
        <v>46248</v>
      </c>
      <c r="F29" t="inlineStr">
        <is>
          <t>UPPSALA LÄN</t>
        </is>
      </c>
      <c r="G29" t="inlineStr">
        <is>
          <t>ÄLVKARLEBY</t>
        </is>
      </c>
      <c r="H29" t="inlineStr">
        <is>
          <t>Bergvik skog öst AB</t>
        </is>
      </c>
      <c r="I29" t="n">
        <v>1.1</v>
      </c>
      <c r="J29" t="n">
        <v>0</v>
      </c>
      <c r="K29" t="n">
        <v>0</v>
      </c>
      <c r="L29" t="n">
        <v>1</v>
      </c>
      <c r="M29" t="n">
        <v>0</v>
      </c>
      <c r="N29" t="n">
        <v>0</v>
      </c>
      <c r="O29" t="n">
        <v>0</v>
      </c>
      <c r="P29" t="n">
        <v>0</v>
      </c>
      <c r="Q29" t="n">
        <v>1</v>
      </c>
      <c r="R29" t="n">
        <v>0</v>
      </c>
      <c r="S29" t="n">
        <v>1</v>
      </c>
      <c r="T29" t="n">
        <v>4</v>
      </c>
      <c r="U29" t="n">
        <v>1</v>
      </c>
      <c r="V29" s="2" t="inlineStr">
        <is>
          <t>Sandviol</t>
        </is>
      </c>
      <c r="W29">
        <f>HYPERLINK("https://klasma.github.io/Logging_0319/artfynd/A 10455-2022 artfynd.xlsx", "A 10455-2022")</f>
        <v/>
      </c>
      <c r="X29">
        <f>HYPERLINK("https://klasma.github.io/Logging_0319/kartor/A 10455-2022 karta.png", "A 10455-2022")</f>
        <v/>
      </c>
      <c r="Y29">
        <f>HYPERLINK("https://klasma.github.io/Logging_0319/kartor_geotiff/A 10455-2022 georefererad karta.tif", "A 10455-2022")</f>
        <v/>
      </c>
      <c r="AA29">
        <f>HYPERLINK("https://klasma.github.io/Logging_0319/klagomål/A 10455-2022 FSC-klagomål.docx", "A 10455-2022")</f>
        <v/>
      </c>
      <c r="AB29">
        <f>HYPERLINK("https://klasma.github.io/Logging_0319/klagomålsmail/A 10455-2022 FSC-klagomål mail.docx", "A 10455-2022")</f>
        <v/>
      </c>
      <c r="AC29">
        <f>HYPERLINK("https://klasma.github.io/Logging_0319/tillsyn/A 10455-2022 tillsynsbegäran.docx", "A 10455-2022")</f>
        <v/>
      </c>
      <c r="AD29">
        <f>HYPERLINK("https://klasma.github.io/Logging_0319/tillsynsmail/A 10455-2022 tillsynsbegäran mail.docx", "A 10455-2022")</f>
        <v/>
      </c>
    </row>
    <row r="30" ht="15" customHeight="1">
      <c r="A30" t="inlineStr">
        <is>
          <t>A 19303-2024</t>
        </is>
      </c>
      <c r="B30" t="inlineStr">
        <is>
          <t>avverkningsanmälan</t>
        </is>
      </c>
      <c r="C30" t="inlineStr">
        <is>
          <t>Föryngringsavverkning</t>
        </is>
      </c>
      <c r="D30" s="1" t="n">
        <v>45428</v>
      </c>
      <c r="E30" s="1" t="n">
        <v>46248</v>
      </c>
      <c r="F30" t="inlineStr">
        <is>
          <t>UPPSALA LÄN</t>
        </is>
      </c>
      <c r="G30" t="inlineStr">
        <is>
          <t>ÄLVKARLEBY</t>
        </is>
      </c>
      <c r="I30" t="n">
        <v>0.4</v>
      </c>
      <c r="J30" t="n">
        <v>1</v>
      </c>
      <c r="K30" t="n">
        <v>0</v>
      </c>
      <c r="L30" t="n">
        <v>0</v>
      </c>
      <c r="M30" t="n">
        <v>1</v>
      </c>
      <c r="N30" t="n">
        <v>0</v>
      </c>
      <c r="O30" t="n">
        <v>0</v>
      </c>
      <c r="P30" t="n">
        <v>0</v>
      </c>
      <c r="Q30" t="n">
        <v>1</v>
      </c>
      <c r="R30" t="n">
        <v>1</v>
      </c>
      <c r="S30" t="n">
        <v>1</v>
      </c>
      <c r="T30" t="n">
        <v>1</v>
      </c>
      <c r="U30" t="n">
        <v>1</v>
      </c>
      <c r="V30" s="2" t="inlineStr">
        <is>
          <t>Gölgroda</t>
        </is>
      </c>
      <c r="W30">
        <f>HYPERLINK("https://klasma.github.io/Logging_0319/artfynd/A 19303-2024 artfynd.xlsx", "A 19303-2024")</f>
        <v/>
      </c>
      <c r="X30">
        <f>HYPERLINK("https://klasma.github.io/Logging_0319/kartor/A 19303-2024 karta.png", "A 19303-2024")</f>
        <v/>
      </c>
      <c r="Y30">
        <f>HYPERLINK("https://klasma.github.io/Logging_0319/kartor_geotiff/A 19303-2024 georefererad karta.tif", "A 19303-2024")</f>
        <v/>
      </c>
      <c r="AA30">
        <f>HYPERLINK("https://klasma.github.io/Logging_0319/klagomål/A 19303-2024 FSC-klagomål.docx", "A 19303-2024")</f>
        <v/>
      </c>
      <c r="AB30">
        <f>HYPERLINK("https://klasma.github.io/Logging_0319/klagomålsmail/A 19303-2024 FSC-klagomål mail.docx", "A 19303-2024")</f>
        <v/>
      </c>
      <c r="AC30">
        <f>HYPERLINK("https://klasma.github.io/Logging_0319/tillsyn/A 19303-2024 tillsynsbegäran.docx", "A 19303-2024")</f>
        <v/>
      </c>
      <c r="AD30">
        <f>HYPERLINK("https://klasma.github.io/Logging_0319/tillsynsmail/A 19303-2024 tillsynsbegäran mail.docx", "A 19303-2024")</f>
        <v/>
      </c>
    </row>
    <row r="31" ht="15" customHeight="1">
      <c r="A31" t="inlineStr">
        <is>
          <t>A 3950-2025</t>
        </is>
      </c>
      <c r="B31" t="inlineStr">
        <is>
          <t>avverkningsanmälan</t>
        </is>
      </c>
      <c r="C31" t="inlineStr">
        <is>
          <t>Avverkning för annat ändamål</t>
        </is>
      </c>
      <c r="D31" s="1" t="n">
        <v>45684</v>
      </c>
      <c r="E31" s="1" t="n">
        <v>46248</v>
      </c>
      <c r="F31" t="inlineStr">
        <is>
          <t>UPPSALA LÄN</t>
        </is>
      </c>
      <c r="G31" t="inlineStr">
        <is>
          <t>ÄLVKARLEBY</t>
        </is>
      </c>
      <c r="I31" t="n">
        <v>3.1</v>
      </c>
      <c r="J31" t="n">
        <v>0</v>
      </c>
      <c r="K31" t="n">
        <v>0</v>
      </c>
      <c r="L31" t="n">
        <v>1</v>
      </c>
      <c r="M31" t="n">
        <v>0</v>
      </c>
      <c r="N31" t="n">
        <v>0</v>
      </c>
      <c r="O31" t="n">
        <v>0</v>
      </c>
      <c r="P31" t="n">
        <v>0</v>
      </c>
      <c r="Q31" t="n">
        <v>1</v>
      </c>
      <c r="R31" t="n">
        <v>0</v>
      </c>
      <c r="S31" t="n">
        <v>1</v>
      </c>
      <c r="T31" t="n">
        <v>4</v>
      </c>
      <c r="U31" t="n">
        <v>0</v>
      </c>
      <c r="V31" s="2" t="inlineStr">
        <is>
          <t>Månlåsbräken</t>
        </is>
      </c>
      <c r="W31">
        <f>HYPERLINK("https://klasma.github.io/Logging_0319/artfynd/A 3950-2025 artfynd.xlsx", "A 3950-2025")</f>
        <v/>
      </c>
      <c r="X31">
        <f>HYPERLINK("https://klasma.github.io/Logging_0319/kartor/A 3950-2025 karta.png", "A 3950-2025")</f>
        <v/>
      </c>
      <c r="Y31">
        <f>HYPERLINK("https://klasma.github.io/Logging_0319/kartor_geotiff/A 3950-2025 georefererad karta.tif", "A 3950-2025")</f>
        <v/>
      </c>
      <c r="AA31">
        <f>HYPERLINK("https://klasma.github.io/Logging_0319/klagomål/A 3950-2025 FSC-klagomål.docx", "A 3950-2025")</f>
        <v/>
      </c>
      <c r="AB31">
        <f>HYPERLINK("https://klasma.github.io/Logging_0319/klagomålsmail/A 3950-2025 FSC-klagomål mail.docx", "A 3950-2025")</f>
        <v/>
      </c>
      <c r="AC31">
        <f>HYPERLINK("https://klasma.github.io/Logging_0319/tillsyn/A 3950-2025 tillsynsbegäran.docx", "A 3950-2025")</f>
        <v/>
      </c>
      <c r="AD31">
        <f>HYPERLINK("https://klasma.github.io/Logging_0319/tillsynsmail/A 3950-2025 tillsynsbegäran mail.docx", "A 3950-2025")</f>
        <v/>
      </c>
    </row>
    <row r="32" ht="15" customHeight="1">
      <c r="A32" t="inlineStr">
        <is>
          <t>A 7286-2023</t>
        </is>
      </c>
      <c r="B32" t="inlineStr">
        <is>
          <t>avverkningsanmälan</t>
        </is>
      </c>
      <c r="C32" t="inlineStr">
        <is>
          <t>Avverkning för annat ändamål</t>
        </is>
      </c>
      <c r="D32" s="1" t="n">
        <v>44970</v>
      </c>
      <c r="E32" s="1" t="n">
        <v>46248</v>
      </c>
      <c r="F32" t="inlineStr">
        <is>
          <t>UPPSALA LÄN</t>
        </is>
      </c>
      <c r="G32" t="inlineStr">
        <is>
          <t>ÄLVKARLEBY</t>
        </is>
      </c>
      <c r="H32" t="inlineStr">
        <is>
          <t>Bergvik skog väst AB</t>
        </is>
      </c>
      <c r="I32" t="n">
        <v>2.5</v>
      </c>
      <c r="J32" t="n">
        <v>0</v>
      </c>
      <c r="K32" t="n">
        <v>1</v>
      </c>
      <c r="L32" t="n">
        <v>0</v>
      </c>
      <c r="M32" t="n">
        <v>0</v>
      </c>
      <c r="N32" t="n">
        <v>0</v>
      </c>
      <c r="O32" t="n">
        <v>0</v>
      </c>
      <c r="P32" t="n">
        <v>0</v>
      </c>
      <c r="Q32" t="n">
        <v>0</v>
      </c>
      <c r="R32" t="n">
        <v>0</v>
      </c>
      <c r="S32" t="n">
        <v>1</v>
      </c>
      <c r="T32" t="n">
        <v>1</v>
      </c>
      <c r="U32" t="n">
        <v>0</v>
      </c>
      <c r="V32" s="2" t="inlineStr">
        <is>
          <t>Grönpyrola</t>
        </is>
      </c>
      <c r="W32">
        <f>HYPERLINK("https://klasma.github.io/Logging_0319/artfynd/A 7286-2023 artfynd.xlsx", "A 7286-2023")</f>
        <v/>
      </c>
      <c r="X32">
        <f>HYPERLINK("https://klasma.github.io/Logging_0319/kartor/A 7286-2023 karta.png", "A 7286-2023")</f>
        <v/>
      </c>
      <c r="Y32">
        <f>HYPERLINK("https://klasma.github.io/Logging_0319/kartor_geotiff/A 7286-2023 georefererad karta.tif", "A 7286-2023")</f>
        <v/>
      </c>
      <c r="AA32">
        <f>HYPERLINK("https://klasma.github.io/Logging_0319/klagomål/A 7286-2023 FSC-klagomål.docx", "A 7286-2023")</f>
        <v/>
      </c>
      <c r="AB32">
        <f>HYPERLINK("https://klasma.github.io/Logging_0319/klagomålsmail/A 7286-2023 FSC-klagomål mail.docx", "A 7286-2023")</f>
        <v/>
      </c>
      <c r="AC32">
        <f>HYPERLINK("https://klasma.github.io/Logging_0319/tillsyn/A 7286-2023 tillsynsbegäran.docx", "A 7286-2023")</f>
        <v/>
      </c>
      <c r="AD32">
        <f>HYPERLINK("https://klasma.github.io/Logging_0319/tillsynsmail/A 7286-2023 tillsynsbegäran mail.docx", "A 7286-2023")</f>
        <v/>
      </c>
    </row>
    <row r="33" ht="15" customHeight="1">
      <c r="A33" t="inlineStr">
        <is>
          <t>A 19300-2024</t>
        </is>
      </c>
      <c r="B33" t="inlineStr">
        <is>
          <t>avverkningsanmälan</t>
        </is>
      </c>
      <c r="C33" t="inlineStr">
        <is>
          <t>Föryngringsavverkning</t>
        </is>
      </c>
      <c r="D33" s="1" t="n">
        <v>45428</v>
      </c>
      <c r="E33" s="1" t="n">
        <v>46248</v>
      </c>
      <c r="F33" t="inlineStr">
        <is>
          <t>UPPSALA LÄN</t>
        </is>
      </c>
      <c r="G33" t="inlineStr">
        <is>
          <t>ÄLVKARLEBY</t>
        </is>
      </c>
      <c r="I33" t="n">
        <v>0.9</v>
      </c>
      <c r="J33" t="n">
        <v>1</v>
      </c>
      <c r="K33" t="n">
        <v>0</v>
      </c>
      <c r="L33" t="n">
        <v>1</v>
      </c>
      <c r="M33" t="n">
        <v>0</v>
      </c>
      <c r="N33" t="n">
        <v>0</v>
      </c>
      <c r="O33" t="n">
        <v>0</v>
      </c>
      <c r="P33" t="n">
        <v>0</v>
      </c>
      <c r="Q33" t="n">
        <v>1</v>
      </c>
      <c r="R33" t="n">
        <v>0</v>
      </c>
      <c r="S33" t="n">
        <v>1</v>
      </c>
      <c r="T33" t="n">
        <v>1</v>
      </c>
      <c r="U33" t="n">
        <v>1</v>
      </c>
      <c r="V33" s="2" t="inlineStr">
        <is>
          <t>Kricka</t>
        </is>
      </c>
      <c r="W33">
        <f>HYPERLINK("https://klasma.github.io/Logging_0319/artfynd/A 19300-2024 artfynd.xlsx", "A 19300-2024")</f>
        <v/>
      </c>
      <c r="X33">
        <f>HYPERLINK("https://klasma.github.io/Logging_0319/kartor/A 19300-2024 karta.png", "A 19300-2024")</f>
        <v/>
      </c>
      <c r="Y33">
        <f>HYPERLINK("https://klasma.github.io/Logging_0319/kartor_geotiff/A 19300-2024 georefererad karta.tif", "A 19300-2024")</f>
        <v/>
      </c>
      <c r="AA33">
        <f>HYPERLINK("https://klasma.github.io/Logging_0319/klagomål/A 19300-2024 FSC-klagomål.docx", "A 19300-2024")</f>
        <v/>
      </c>
      <c r="AB33">
        <f>HYPERLINK("https://klasma.github.io/Logging_0319/klagomålsmail/A 19300-2024 FSC-klagomål mail.docx", "A 19300-2024")</f>
        <v/>
      </c>
      <c r="AC33">
        <f>HYPERLINK("https://klasma.github.io/Logging_0319/tillsyn/A 19300-2024 tillsynsbegäran.docx", "A 19300-2024")</f>
        <v/>
      </c>
      <c r="AD33">
        <f>HYPERLINK("https://klasma.github.io/Logging_0319/tillsynsmail/A 19300-2024 tillsynsbegäran mail.docx", "A 19300-2024")</f>
        <v/>
      </c>
      <c r="AE33">
        <f>HYPERLINK("https://klasma.github.io/Logging_0319/fåglar/A 19300-2024 prioriterade fågelarter.docx", "A 19300-2024")</f>
        <v/>
      </c>
    </row>
    <row r="34" ht="15" customHeight="1">
      <c r="A34" t="inlineStr">
        <is>
          <t>A 43285-2023</t>
        </is>
      </c>
      <c r="B34" t="inlineStr">
        <is>
          <t>avverkningsanmälan</t>
        </is>
      </c>
      <c r="C34" t="inlineStr">
        <is>
          <t>Föryngringsavverkning</t>
        </is>
      </c>
      <c r="D34" s="1" t="n">
        <v>45183</v>
      </c>
      <c r="E34" s="1" t="n">
        <v>46248</v>
      </c>
      <c r="F34" t="inlineStr">
        <is>
          <t>UPPSALA LÄN</t>
        </is>
      </c>
      <c r="G34" t="inlineStr">
        <is>
          <t>ÄLVKARLEBY</t>
        </is>
      </c>
      <c r="H34" t="inlineStr">
        <is>
          <t>Bergvik skog väst AB</t>
        </is>
      </c>
      <c r="I34" t="n">
        <v>1.3</v>
      </c>
      <c r="J34" t="n">
        <v>1</v>
      </c>
      <c r="K34" t="n">
        <v>0</v>
      </c>
      <c r="L34" t="n">
        <v>0</v>
      </c>
      <c r="M34" t="n">
        <v>0</v>
      </c>
      <c r="N34" t="n">
        <v>0</v>
      </c>
      <c r="O34" t="n">
        <v>0</v>
      </c>
      <c r="P34" t="n">
        <v>0</v>
      </c>
      <c r="Q34" t="n">
        <v>0</v>
      </c>
      <c r="R34" t="n">
        <v>0</v>
      </c>
      <c r="S34" t="n">
        <v>1</v>
      </c>
      <c r="T34" t="n">
        <v>1</v>
      </c>
      <c r="U34" t="n">
        <v>0</v>
      </c>
      <c r="V34" s="2" t="inlineStr">
        <is>
          <t>Vanlig groda</t>
        </is>
      </c>
      <c r="W34">
        <f>HYPERLINK("https://klasma.github.io/Logging_0319/artfynd/A 43285-2023 artfynd.xlsx", "A 43285-2023")</f>
        <v/>
      </c>
      <c r="X34">
        <f>HYPERLINK("https://klasma.github.io/Logging_0319/kartor/A 43285-2023 karta.png", "A 43285-2023")</f>
        <v/>
      </c>
      <c r="Y34">
        <f>HYPERLINK("https://klasma.github.io/Logging_0319/kartor_geotiff/A 43285-2023 georefererad karta.tif", "A 43285-2023")</f>
        <v/>
      </c>
      <c r="AA34">
        <f>HYPERLINK("https://klasma.github.io/Logging_0319/klagomål/A 43285-2023 FSC-klagomål.docx", "A 43285-2023")</f>
        <v/>
      </c>
      <c r="AB34">
        <f>HYPERLINK("https://klasma.github.io/Logging_0319/klagomålsmail/A 43285-2023 FSC-klagomål mail.docx", "A 43285-2023")</f>
        <v/>
      </c>
      <c r="AC34">
        <f>HYPERLINK("https://klasma.github.io/Logging_0319/tillsyn/A 43285-2023 tillsynsbegäran.docx", "A 43285-2023")</f>
        <v/>
      </c>
      <c r="AD34">
        <f>HYPERLINK("https://klasma.github.io/Logging_0319/tillsynsmail/A 43285-2023 tillsynsbegäran mail.docx", "A 43285-2023")</f>
        <v/>
      </c>
    </row>
    <row r="35" ht="15" customHeight="1">
      <c r="A35" t="inlineStr">
        <is>
          <t>A 70017-2021</t>
        </is>
      </c>
      <c r="B35" t="inlineStr">
        <is>
          <t>avverkningsanmälan</t>
        </is>
      </c>
      <c r="C35" t="inlineStr">
        <is>
          <t>Föryngringsavverkning</t>
        </is>
      </c>
      <c r="D35" s="1" t="n">
        <v>44533</v>
      </c>
      <c r="E35" s="1" t="n">
        <v>46248</v>
      </c>
      <c r="F35" t="inlineStr">
        <is>
          <t>UPPSALA LÄN</t>
        </is>
      </c>
      <c r="G35" t="inlineStr">
        <is>
          <t>ÄLVKARLEBY</t>
        </is>
      </c>
      <c r="I35" t="n">
        <v>2.1</v>
      </c>
      <c r="J35" t="n">
        <v>1</v>
      </c>
      <c r="K35" t="n">
        <v>0</v>
      </c>
      <c r="L35" t="n">
        <v>0</v>
      </c>
      <c r="M35" t="n">
        <v>0</v>
      </c>
      <c r="N35" t="n">
        <v>0</v>
      </c>
      <c r="O35" t="n">
        <v>0</v>
      </c>
      <c r="P35" t="n">
        <v>0</v>
      </c>
      <c r="Q35" t="n">
        <v>0</v>
      </c>
      <c r="R35" t="n">
        <v>0</v>
      </c>
      <c r="S35" t="n">
        <v>1</v>
      </c>
      <c r="T35" t="n">
        <v>1</v>
      </c>
      <c r="U35" t="n">
        <v>1</v>
      </c>
      <c r="V35" s="2" t="inlineStr">
        <is>
          <t>Trana</t>
        </is>
      </c>
      <c r="W35">
        <f>HYPERLINK("https://klasma.github.io/Logging_0319/artfynd/A 70017-2021 artfynd.xlsx", "A 70017-2021")</f>
        <v/>
      </c>
      <c r="X35">
        <f>HYPERLINK("https://klasma.github.io/Logging_0319/kartor/A 70017-2021 karta.png", "A 70017-2021")</f>
        <v/>
      </c>
      <c r="Y35">
        <f>HYPERLINK("https://klasma.github.io/Logging_0319/kartor_geotiff/A 70017-2021 georefererad karta.tif", "A 70017-2021")</f>
        <v/>
      </c>
      <c r="AA35">
        <f>HYPERLINK("https://klasma.github.io/Logging_0319/klagomål/A 70017-2021 FSC-klagomål.docx", "A 70017-2021")</f>
        <v/>
      </c>
      <c r="AB35">
        <f>HYPERLINK("https://klasma.github.io/Logging_0319/klagomålsmail/A 70017-2021 FSC-klagomål mail.docx", "A 70017-2021")</f>
        <v/>
      </c>
      <c r="AC35">
        <f>HYPERLINK("https://klasma.github.io/Logging_0319/tillsyn/A 70017-2021 tillsynsbegäran.docx", "A 70017-2021")</f>
        <v/>
      </c>
      <c r="AD35">
        <f>HYPERLINK("https://klasma.github.io/Logging_0319/tillsynsmail/A 70017-2021 tillsynsbegäran mail.docx", "A 70017-2021")</f>
        <v/>
      </c>
      <c r="AE35">
        <f>HYPERLINK("https://klasma.github.io/Logging_0319/fåglar/A 70017-2021 prioriterade fågelarter.docx", "A 70017-2021")</f>
        <v/>
      </c>
    </row>
    <row r="36" ht="15" customHeight="1">
      <c r="A36" t="inlineStr">
        <is>
          <t>A 19304-2024</t>
        </is>
      </c>
      <c r="B36" t="inlineStr">
        <is>
          <t>avverkningsanmälan</t>
        </is>
      </c>
      <c r="C36" t="inlineStr">
        <is>
          <t>Föryngringsavverkning</t>
        </is>
      </c>
      <c r="D36" s="1" t="n">
        <v>45428</v>
      </c>
      <c r="E36" s="1" t="n">
        <v>46248</v>
      </c>
      <c r="F36" t="inlineStr">
        <is>
          <t>UPPSALA LÄN</t>
        </is>
      </c>
      <c r="G36" t="inlineStr">
        <is>
          <t>ÄLVKARLEBY</t>
        </is>
      </c>
      <c r="I36" t="n">
        <v>0.2</v>
      </c>
      <c r="J36" t="n">
        <v>0</v>
      </c>
      <c r="K36" t="n">
        <v>0</v>
      </c>
      <c r="L36" t="n">
        <v>0</v>
      </c>
      <c r="M36" t="n">
        <v>1</v>
      </c>
      <c r="N36" t="n">
        <v>0</v>
      </c>
      <c r="O36" t="n">
        <v>0</v>
      </c>
      <c r="P36" t="n">
        <v>0</v>
      </c>
      <c r="Q36" t="n">
        <v>1</v>
      </c>
      <c r="R36" t="n">
        <v>1</v>
      </c>
      <c r="S36" t="n">
        <v>1</v>
      </c>
      <c r="T36" t="n">
        <v>1</v>
      </c>
      <c r="U36" t="n">
        <v>0</v>
      </c>
      <c r="V36" s="2" t="inlineStr">
        <is>
          <t>Mindre bastardsvärmare</t>
        </is>
      </c>
      <c r="W36">
        <f>HYPERLINK("https://klasma.github.io/Logging_0319/artfynd/A 19304-2024 artfynd.xlsx", "A 19304-2024")</f>
        <v/>
      </c>
      <c r="X36">
        <f>HYPERLINK("https://klasma.github.io/Logging_0319/kartor/A 19304-2024 karta.png", "A 19304-2024")</f>
        <v/>
      </c>
      <c r="Y36">
        <f>HYPERLINK("https://klasma.github.io/Logging_0319/kartor_geotiff/A 19304-2024 georefererad karta.tif", "A 19304-2024")</f>
        <v/>
      </c>
      <c r="AA36">
        <f>HYPERLINK("https://klasma.github.io/Logging_0319/klagomål/A 19304-2024 FSC-klagomål.docx", "A 19304-2024")</f>
        <v/>
      </c>
      <c r="AB36">
        <f>HYPERLINK("https://klasma.github.io/Logging_0319/klagomålsmail/A 19304-2024 FSC-klagomål mail.docx", "A 19304-2024")</f>
        <v/>
      </c>
      <c r="AC36">
        <f>HYPERLINK("https://klasma.github.io/Logging_0319/tillsyn/A 19304-2024 tillsynsbegäran.docx", "A 19304-2024")</f>
        <v/>
      </c>
      <c r="AD36">
        <f>HYPERLINK("https://klasma.github.io/Logging_0319/tillsynsmail/A 19304-2024 tillsynsbegäran mail.docx", "A 19304-2024")</f>
        <v/>
      </c>
    </row>
    <row r="37" ht="15" customHeight="1">
      <c r="A37" t="inlineStr">
        <is>
          <t>A 30236-2026</t>
        </is>
      </c>
      <c r="B37" t="inlineStr">
        <is>
          <t>avverkningsanmälan</t>
        </is>
      </c>
      <c r="C37" t="inlineStr">
        <is>
          <t>Föryngringsavverkning</t>
        </is>
      </c>
      <c r="D37" s="1" t="n">
        <v>46206</v>
      </c>
      <c r="E37" s="1" t="n">
        <v>46248</v>
      </c>
      <c r="F37" t="inlineStr">
        <is>
          <t>UPPSALA LÄN</t>
        </is>
      </c>
      <c r="G37" t="inlineStr">
        <is>
          <t>ÄLVKARLEBY</t>
        </is>
      </c>
      <c r="H37" t="inlineStr">
        <is>
          <t>Bergvik skog öst AB</t>
        </is>
      </c>
      <c r="I37" t="n">
        <v>4.8</v>
      </c>
      <c r="J37" t="n">
        <v>1</v>
      </c>
      <c r="K37" t="n">
        <v>1</v>
      </c>
      <c r="L37" t="n">
        <v>0</v>
      </c>
      <c r="M37" t="n">
        <v>0</v>
      </c>
      <c r="N37" t="n">
        <v>0</v>
      </c>
      <c r="O37" t="n">
        <v>0</v>
      </c>
      <c r="P37" t="n">
        <v>0</v>
      </c>
      <c r="Q37" t="n">
        <v>0</v>
      </c>
      <c r="R37" t="n">
        <v>0</v>
      </c>
      <c r="S37" t="n">
        <v>1</v>
      </c>
      <c r="T37" t="n">
        <v>1</v>
      </c>
      <c r="U37" t="n">
        <v>0</v>
      </c>
      <c r="V37" s="2" t="inlineStr">
        <is>
          <t>Nästrot</t>
        </is>
      </c>
      <c r="W37">
        <f>HYPERLINK("https://klasma.github.io/Logging_0319/artfynd/A 30236-2026 artfynd.xlsx", "A 30236-2026")</f>
        <v/>
      </c>
      <c r="X37">
        <f>HYPERLINK("https://klasma.github.io/Logging_0319/kartor/A 30236-2026 karta.png", "A 30236-2026")</f>
        <v/>
      </c>
      <c r="Y37">
        <f>HYPERLINK("https://klasma.github.io/Logging_0319/kartor_geotiff/A 30236-2026 georefererad karta.tif", "A 30236-2026")</f>
        <v/>
      </c>
      <c r="AA37">
        <f>HYPERLINK("https://klasma.github.io/Logging_0319/klagomål/A 30236-2026 FSC-klagomål.docx", "A 30236-2026")</f>
        <v/>
      </c>
      <c r="AB37">
        <f>HYPERLINK("https://klasma.github.io/Logging_0319/klagomålsmail/A 30236-2026 FSC-klagomål mail.docx", "A 30236-2026")</f>
        <v/>
      </c>
      <c r="AC37">
        <f>HYPERLINK("https://klasma.github.io/Logging_0319/tillsyn/A 30236-2026 tillsynsbegäran.docx", "A 30236-2026")</f>
        <v/>
      </c>
      <c r="AD37">
        <f>HYPERLINK("https://klasma.github.io/Logging_0319/tillsynsmail/A 30236-2026 tillsynsbegäran mail.docx", "A 30236-2026")</f>
        <v/>
      </c>
    </row>
    <row r="38" ht="15" customHeight="1">
      <c r="A38" t="inlineStr">
        <is>
          <t>A 30233-2026</t>
        </is>
      </c>
      <c r="B38" t="inlineStr">
        <is>
          <t>avverkningsanmälan</t>
        </is>
      </c>
      <c r="C38" t="inlineStr">
        <is>
          <t>Föryngringsavverkning</t>
        </is>
      </c>
      <c r="D38" s="1" t="n">
        <v>46206</v>
      </c>
      <c r="E38" s="1" t="n">
        <v>46248</v>
      </c>
      <c r="F38" t="inlineStr">
        <is>
          <t>UPPSALA LÄN</t>
        </is>
      </c>
      <c r="G38" t="inlineStr">
        <is>
          <t>ÄLVKARLEBY</t>
        </is>
      </c>
      <c r="H38" t="inlineStr">
        <is>
          <t>Bergvik skog öst AB</t>
        </is>
      </c>
      <c r="I38" t="n">
        <v>6.8</v>
      </c>
      <c r="J38" t="n">
        <v>1</v>
      </c>
      <c r="K38" t="n">
        <v>1</v>
      </c>
      <c r="L38" t="n">
        <v>0</v>
      </c>
      <c r="M38" t="n">
        <v>0</v>
      </c>
      <c r="N38" t="n">
        <v>0</v>
      </c>
      <c r="O38" t="n">
        <v>0</v>
      </c>
      <c r="P38" t="n">
        <v>0</v>
      </c>
      <c r="Q38" t="n">
        <v>0</v>
      </c>
      <c r="R38" t="n">
        <v>0</v>
      </c>
      <c r="S38" t="n">
        <v>1</v>
      </c>
      <c r="T38" t="n">
        <v>1</v>
      </c>
      <c r="U38" t="n">
        <v>0</v>
      </c>
      <c r="V38" s="2" t="inlineStr">
        <is>
          <t>Nästrot</t>
        </is>
      </c>
      <c r="W38">
        <f>HYPERLINK("https://klasma.github.io/Logging_0319/artfynd/A 30233-2026 artfynd.xlsx", "A 30233-2026")</f>
        <v/>
      </c>
      <c r="X38">
        <f>HYPERLINK("https://klasma.github.io/Logging_0319/kartor/A 30233-2026 karta.png", "A 30233-2026")</f>
        <v/>
      </c>
      <c r="Y38">
        <f>HYPERLINK("https://klasma.github.io/Logging_0319/kartor_geotiff/A 30233-2026 georefererad karta.tif", "A 30233-2026")</f>
        <v/>
      </c>
      <c r="AA38">
        <f>HYPERLINK("https://klasma.github.io/Logging_0319/klagomål/A 30233-2026 FSC-klagomål.docx", "A 30233-2026")</f>
        <v/>
      </c>
      <c r="AB38">
        <f>HYPERLINK("https://klasma.github.io/Logging_0319/klagomålsmail/A 30233-2026 FSC-klagomål mail.docx", "A 30233-2026")</f>
        <v/>
      </c>
      <c r="AC38">
        <f>HYPERLINK("https://klasma.github.io/Logging_0319/tillsyn/A 30233-2026 tillsynsbegäran.docx", "A 30233-2026")</f>
        <v/>
      </c>
      <c r="AD38">
        <f>HYPERLINK("https://klasma.github.io/Logging_0319/tillsynsmail/A 30233-2026 tillsynsbegäran mail.docx", "A 30233-2026")</f>
        <v/>
      </c>
    </row>
    <row r="39" ht="15" customHeight="1">
      <c r="A39" t="inlineStr">
        <is>
          <t>A 51238-2025</t>
        </is>
      </c>
      <c r="B39" t="inlineStr">
        <is>
          <t>avverkningsanmälan</t>
        </is>
      </c>
      <c r="C39" t="inlineStr">
        <is>
          <t>Föryngringsavverkning</t>
        </is>
      </c>
      <c r="D39" s="1" t="n">
        <v>45947</v>
      </c>
      <c r="E39" s="1" t="n">
        <v>46248</v>
      </c>
      <c r="F39" t="inlineStr">
        <is>
          <t>UPPSALA LÄN</t>
        </is>
      </c>
      <c r="G39" t="inlineStr">
        <is>
          <t>ÄLVKARLEBY</t>
        </is>
      </c>
      <c r="H39" t="inlineStr">
        <is>
          <t>Bergvik skog väst AB</t>
        </is>
      </c>
      <c r="I39" t="n">
        <v>6</v>
      </c>
      <c r="J39" t="n">
        <v>1</v>
      </c>
      <c r="K39" t="n">
        <v>0</v>
      </c>
      <c r="L39" t="n">
        <v>0</v>
      </c>
      <c r="M39" t="n">
        <v>0</v>
      </c>
      <c r="N39" t="n">
        <v>0</v>
      </c>
      <c r="O39" t="n">
        <v>0</v>
      </c>
      <c r="P39" t="n">
        <v>0</v>
      </c>
      <c r="Q39" t="n">
        <v>0</v>
      </c>
      <c r="R39" t="n">
        <v>0</v>
      </c>
      <c r="S39" t="n">
        <v>1</v>
      </c>
      <c r="T39" t="n">
        <v>1</v>
      </c>
      <c r="U39" t="n">
        <v>0</v>
      </c>
      <c r="V39" s="2" t="inlineStr">
        <is>
          <t>Lopplummer (aggregat)</t>
        </is>
      </c>
      <c r="W39">
        <f>HYPERLINK("https://klasma.github.io/Logging_0319/artfynd/A 51238-2025 artfynd.xlsx", "A 51238-2025")</f>
        <v/>
      </c>
      <c r="X39">
        <f>HYPERLINK("https://klasma.github.io/Logging_0319/kartor/A 51238-2025 karta.png", "A 51238-2025")</f>
        <v/>
      </c>
      <c r="Y39">
        <f>HYPERLINK("https://klasma.github.io/Logging_0319/kartor_geotiff/A 51238-2025 georefererad karta.tif", "A 51238-2025")</f>
        <v/>
      </c>
      <c r="AA39">
        <f>HYPERLINK("https://klasma.github.io/Logging_0319/klagomål/A 51238-2025 FSC-klagomål.docx", "A 51238-2025")</f>
        <v/>
      </c>
      <c r="AB39">
        <f>HYPERLINK("https://klasma.github.io/Logging_0319/klagomålsmail/A 51238-2025 FSC-klagomål mail.docx", "A 51238-2025")</f>
        <v/>
      </c>
      <c r="AC39">
        <f>HYPERLINK("https://klasma.github.io/Logging_0319/tillsyn/A 51238-2025 tillsynsbegäran.docx", "A 51238-2025")</f>
        <v/>
      </c>
      <c r="AD39">
        <f>HYPERLINK("https://klasma.github.io/Logging_0319/tillsynsmail/A 51238-2025 tillsynsbegäran mail.docx", "A 51238-2025")</f>
        <v/>
      </c>
    </row>
    <row r="40" ht="15" customHeight="1">
      <c r="A40" t="inlineStr">
        <is>
          <t>A 57734-2025</t>
        </is>
      </c>
      <c r="B40" t="inlineStr">
        <is>
          <t>avverkningsanmälan</t>
        </is>
      </c>
      <c r="C40" t="inlineStr">
        <is>
          <t>Föryngringsavverkning</t>
        </is>
      </c>
      <c r="D40" s="1" t="n">
        <v>45981</v>
      </c>
      <c r="E40" s="1" t="n">
        <v>46248</v>
      </c>
      <c r="F40" t="inlineStr">
        <is>
          <t>UPPSALA LÄN</t>
        </is>
      </c>
      <c r="G40" t="inlineStr">
        <is>
          <t>ÄLVKARLEBY</t>
        </is>
      </c>
      <c r="H40" t="inlineStr">
        <is>
          <t>Bergvik skog väst AB</t>
        </is>
      </c>
      <c r="I40" t="n">
        <v>1.3</v>
      </c>
      <c r="J40" t="n">
        <v>1</v>
      </c>
      <c r="K40" t="n">
        <v>0</v>
      </c>
      <c r="L40" t="n">
        <v>0</v>
      </c>
      <c r="M40" t="n">
        <v>1</v>
      </c>
      <c r="N40" t="n">
        <v>0</v>
      </c>
      <c r="O40" t="n">
        <v>0</v>
      </c>
      <c r="P40" t="n">
        <v>0</v>
      </c>
      <c r="Q40" t="n">
        <v>1</v>
      </c>
      <c r="R40" t="n">
        <v>1</v>
      </c>
      <c r="S40" t="n">
        <v>1</v>
      </c>
      <c r="T40" t="n">
        <v>1</v>
      </c>
      <c r="U40" t="n">
        <v>0</v>
      </c>
      <c r="V40" s="2" t="inlineStr">
        <is>
          <t>Gölgroda</t>
        </is>
      </c>
      <c r="W40">
        <f>HYPERLINK("https://klasma.github.io/Logging_0319/artfynd/A 57734-2025 artfynd.xlsx", "A 57734-2025")</f>
        <v/>
      </c>
      <c r="X40">
        <f>HYPERLINK("https://klasma.github.io/Logging_0319/kartor/A 57734-2025 karta.png", "A 57734-2025")</f>
        <v/>
      </c>
      <c r="Y40">
        <f>HYPERLINK("https://klasma.github.io/Logging_0319/kartor_geotiff/A 57734-2025 georefererad karta.tif", "A 57734-2025")</f>
        <v/>
      </c>
      <c r="AA40">
        <f>HYPERLINK("https://klasma.github.io/Logging_0319/klagomål/A 57734-2025 FSC-klagomål.docx", "A 57734-2025")</f>
        <v/>
      </c>
      <c r="AB40">
        <f>HYPERLINK("https://klasma.github.io/Logging_0319/klagomålsmail/A 57734-2025 FSC-klagomål mail.docx", "A 57734-2025")</f>
        <v/>
      </c>
      <c r="AC40">
        <f>HYPERLINK("https://klasma.github.io/Logging_0319/tillsyn/A 57734-2025 tillsynsbegäran.docx", "A 57734-2025")</f>
        <v/>
      </c>
      <c r="AD40">
        <f>HYPERLINK("https://klasma.github.io/Logging_0319/tillsynsmail/A 57734-2025 tillsynsbegäran mail.docx", "A 57734-2025")</f>
        <v/>
      </c>
    </row>
    <row r="41" ht="15" customHeight="1">
      <c r="A41" t="inlineStr">
        <is>
          <t>A 59993-2025</t>
        </is>
      </c>
      <c r="B41" t="inlineStr">
        <is>
          <t>avverkningsanmälan</t>
        </is>
      </c>
      <c r="C41" t="inlineStr">
        <is>
          <t>Avverkning för att bevara och utveckla /försöksver</t>
        </is>
      </c>
      <c r="D41" s="1" t="n">
        <v>45993</v>
      </c>
      <c r="E41" s="1" t="n">
        <v>46248</v>
      </c>
      <c r="F41" t="inlineStr">
        <is>
          <t>UPPSALA LÄN</t>
        </is>
      </c>
      <c r="G41" t="inlineStr">
        <is>
          <t>ÄLVKARLEBY</t>
        </is>
      </c>
      <c r="H41" t="inlineStr">
        <is>
          <t>Bergvik skog väst AB</t>
        </is>
      </c>
      <c r="I41" t="n">
        <v>18.6</v>
      </c>
      <c r="J41" t="n">
        <v>1</v>
      </c>
      <c r="K41" t="n">
        <v>1</v>
      </c>
      <c r="L41" t="n">
        <v>0</v>
      </c>
      <c r="M41" t="n">
        <v>0</v>
      </c>
      <c r="N41" t="n">
        <v>0</v>
      </c>
      <c r="O41" t="n">
        <v>0</v>
      </c>
      <c r="P41" t="n">
        <v>0</v>
      </c>
      <c r="Q41" t="n">
        <v>0</v>
      </c>
      <c r="R41" t="n">
        <v>0</v>
      </c>
      <c r="S41" t="n">
        <v>1</v>
      </c>
      <c r="T41" t="n">
        <v>11</v>
      </c>
      <c r="U41" t="n">
        <v>0</v>
      </c>
      <c r="V41" s="2" t="inlineStr">
        <is>
          <t>Skogsknipprot</t>
        </is>
      </c>
      <c r="W41">
        <f>HYPERLINK("https://klasma.github.io/Logging_0319/artfynd/A 59993-2025 artfynd.xlsx", "A 59993-2025")</f>
        <v/>
      </c>
      <c r="X41">
        <f>HYPERLINK("https://klasma.github.io/Logging_0319/kartor/A 59993-2025 karta.png", "A 59993-2025")</f>
        <v/>
      </c>
      <c r="Y41">
        <f>HYPERLINK("https://klasma.github.io/Logging_0319/kartor_geotiff/A 59993-2025 georefererad karta.tif", "A 59993-2025")</f>
        <v/>
      </c>
      <c r="AA41">
        <f>HYPERLINK("https://klasma.github.io/Logging_0319/klagomål/A 59993-2025 FSC-klagomål.docx", "A 59993-2025")</f>
        <v/>
      </c>
      <c r="AB41">
        <f>HYPERLINK("https://klasma.github.io/Logging_0319/klagomålsmail/A 59993-2025 FSC-klagomål mail.docx", "A 59993-2025")</f>
        <v/>
      </c>
      <c r="AC41">
        <f>HYPERLINK("https://klasma.github.io/Logging_0319/tillsyn/A 59993-2025 tillsynsbegäran.docx", "A 59993-2025")</f>
        <v/>
      </c>
      <c r="AD41">
        <f>HYPERLINK("https://klasma.github.io/Logging_0319/tillsynsmail/A 59993-2025 tillsynsbegäran mail.docx", "A 59993-2025")</f>
        <v/>
      </c>
    </row>
    <row r="42" ht="15" customHeight="1">
      <c r="A42" t="inlineStr">
        <is>
          <t>A 60829-2025</t>
        </is>
      </c>
      <c r="B42" t="inlineStr">
        <is>
          <t>avverkningsanmälan</t>
        </is>
      </c>
      <c r="C42" t="inlineStr">
        <is>
          <t>Avverkning för att bevara och utveckla /försöksver</t>
        </is>
      </c>
      <c r="D42" s="1" t="n">
        <v>45999</v>
      </c>
      <c r="E42" s="1" t="n">
        <v>46248</v>
      </c>
      <c r="F42" t="inlineStr">
        <is>
          <t>UPPSALA LÄN</t>
        </is>
      </c>
      <c r="G42" t="inlineStr">
        <is>
          <t>ÄLVKARLEBY</t>
        </is>
      </c>
      <c r="H42" t="inlineStr">
        <is>
          <t>Bergvik skog väst AB</t>
        </is>
      </c>
      <c r="I42" t="n">
        <v>5.5</v>
      </c>
      <c r="J42" t="n">
        <v>1</v>
      </c>
      <c r="K42" t="n">
        <v>0</v>
      </c>
      <c r="L42" t="n">
        <v>1</v>
      </c>
      <c r="M42" t="n">
        <v>0</v>
      </c>
      <c r="N42" t="n">
        <v>0</v>
      </c>
      <c r="O42" t="n">
        <v>0</v>
      </c>
      <c r="P42" t="n">
        <v>0</v>
      </c>
      <c r="Q42" t="n">
        <v>1</v>
      </c>
      <c r="R42" t="n">
        <v>0</v>
      </c>
      <c r="S42" t="n">
        <v>1</v>
      </c>
      <c r="T42" t="n">
        <v>1</v>
      </c>
      <c r="U42" t="n">
        <v>0</v>
      </c>
      <c r="V42" s="2" t="inlineStr">
        <is>
          <t>Sparvuggla</t>
        </is>
      </c>
      <c r="W42">
        <f>HYPERLINK("https://klasma.github.io/Logging_0319/artfynd/A 60829-2025 artfynd.xlsx", "A 60829-2025")</f>
        <v/>
      </c>
      <c r="X42">
        <f>HYPERLINK("https://klasma.github.io/Logging_0319/kartor/A 60829-2025 karta.png", "A 60829-2025")</f>
        <v/>
      </c>
      <c r="Y42">
        <f>HYPERLINK("https://klasma.github.io/Logging_0319/kartor_geotiff/A 60829-2025 georefererad karta.tif", "A 60829-2025")</f>
        <v/>
      </c>
      <c r="AA42">
        <f>HYPERLINK("https://klasma.github.io/Logging_0319/klagomål/A 60829-2025 FSC-klagomål.docx", "A 60829-2025")</f>
        <v/>
      </c>
      <c r="AB42">
        <f>HYPERLINK("https://klasma.github.io/Logging_0319/klagomålsmail/A 60829-2025 FSC-klagomål mail.docx", "A 60829-2025")</f>
        <v/>
      </c>
      <c r="AC42">
        <f>HYPERLINK("https://klasma.github.io/Logging_0319/tillsyn/A 60829-2025 tillsynsbegäran.docx", "A 60829-2025")</f>
        <v/>
      </c>
      <c r="AD42">
        <f>HYPERLINK("https://klasma.github.io/Logging_0319/tillsynsmail/A 60829-2025 tillsynsbegäran mail.docx", "A 60829-2025")</f>
        <v/>
      </c>
      <c r="AE42">
        <f>HYPERLINK("https://klasma.github.io/Logging_0319/fåglar/A 60829-2025 prioriterade fågelarter.docx", "A 60829-2025")</f>
        <v/>
      </c>
    </row>
    <row r="43" ht="15" customHeight="1">
      <c r="A43" t="inlineStr">
        <is>
          <t>A 63004-2025</t>
        </is>
      </c>
      <c r="B43" t="inlineStr">
        <is>
          <t>avverkningsanmälan</t>
        </is>
      </c>
      <c r="C43" t="inlineStr">
        <is>
          <t>Föryngringsavverkning</t>
        </is>
      </c>
      <c r="D43" s="1" t="n">
        <v>46009</v>
      </c>
      <c r="E43" s="1" t="n">
        <v>46248</v>
      </c>
      <c r="F43" t="inlineStr">
        <is>
          <t>UPPSALA LÄN</t>
        </is>
      </c>
      <c r="G43" t="inlineStr">
        <is>
          <t>ÄLVKARLEBY</t>
        </is>
      </c>
      <c r="H43" t="inlineStr">
        <is>
          <t>Bergvik skog väst AB</t>
        </is>
      </c>
      <c r="I43" t="n">
        <v>2.2</v>
      </c>
      <c r="J43" t="n">
        <v>1</v>
      </c>
      <c r="K43" t="n">
        <v>1</v>
      </c>
      <c r="L43" t="n">
        <v>0</v>
      </c>
      <c r="M43" t="n">
        <v>0</v>
      </c>
      <c r="N43" t="n">
        <v>0</v>
      </c>
      <c r="O43" t="n">
        <v>0</v>
      </c>
      <c r="P43" t="n">
        <v>0</v>
      </c>
      <c r="Q43" t="n">
        <v>0</v>
      </c>
      <c r="R43" t="n">
        <v>0</v>
      </c>
      <c r="S43" t="n">
        <v>1</v>
      </c>
      <c r="T43" t="n">
        <v>4</v>
      </c>
      <c r="U43" t="n">
        <v>0</v>
      </c>
      <c r="V43" s="2" t="inlineStr">
        <is>
          <t>Skogsknipprot</t>
        </is>
      </c>
      <c r="W43">
        <f>HYPERLINK("https://klasma.github.io/Logging_0319/artfynd/A 63004-2025 artfynd.xlsx", "A 63004-2025")</f>
        <v/>
      </c>
      <c r="X43">
        <f>HYPERLINK("https://klasma.github.io/Logging_0319/kartor/A 63004-2025 karta.png", "A 63004-2025")</f>
        <v/>
      </c>
      <c r="Y43">
        <f>HYPERLINK("https://klasma.github.io/Logging_0319/kartor_geotiff/A 63004-2025 georefererad karta.tif", "A 63004-2025")</f>
        <v/>
      </c>
      <c r="AA43">
        <f>HYPERLINK("https://klasma.github.io/Logging_0319/klagomål/A 63004-2025 FSC-klagomål.docx", "A 63004-2025")</f>
        <v/>
      </c>
      <c r="AB43">
        <f>HYPERLINK("https://klasma.github.io/Logging_0319/klagomålsmail/A 63004-2025 FSC-klagomål mail.docx", "A 63004-2025")</f>
        <v/>
      </c>
      <c r="AC43">
        <f>HYPERLINK("https://klasma.github.io/Logging_0319/tillsyn/A 63004-2025 tillsynsbegäran.docx", "A 63004-2025")</f>
        <v/>
      </c>
      <c r="AD43">
        <f>HYPERLINK("https://klasma.github.io/Logging_0319/tillsynsmail/A 63004-2025 tillsynsbegäran mail.docx", "A 63004-2025")</f>
        <v/>
      </c>
    </row>
    <row r="44" ht="15" customHeight="1">
      <c r="A44" t="inlineStr">
        <is>
          <t>A 1673-2026</t>
        </is>
      </c>
      <c r="B44" t="inlineStr">
        <is>
          <t>avverkningsanmälan</t>
        </is>
      </c>
      <c r="C44" t="inlineStr">
        <is>
          <t>Föryngringsavverkning</t>
        </is>
      </c>
      <c r="D44" s="1" t="n">
        <v>46034</v>
      </c>
      <c r="E44" s="1" t="n">
        <v>46248</v>
      </c>
      <c r="F44" t="inlineStr">
        <is>
          <t>UPPSALA LÄN</t>
        </is>
      </c>
      <c r="G44" t="inlineStr">
        <is>
          <t>ÄLVKARLEBY</t>
        </is>
      </c>
      <c r="H44" t="inlineStr">
        <is>
          <t>Bergvik skog väst AB</t>
        </is>
      </c>
      <c r="I44" t="n">
        <v>1.9</v>
      </c>
      <c r="J44" t="n">
        <v>0</v>
      </c>
      <c r="K44" t="n">
        <v>1</v>
      </c>
      <c r="L44" t="n">
        <v>0</v>
      </c>
      <c r="M44" t="n">
        <v>0</v>
      </c>
      <c r="N44" t="n">
        <v>0</v>
      </c>
      <c r="O44" t="n">
        <v>0</v>
      </c>
      <c r="P44" t="n">
        <v>0</v>
      </c>
      <c r="Q44" t="n">
        <v>0</v>
      </c>
      <c r="R44" t="n">
        <v>0</v>
      </c>
      <c r="S44" t="n">
        <v>1</v>
      </c>
      <c r="T44" t="n">
        <v>1</v>
      </c>
      <c r="U44" t="n">
        <v>0</v>
      </c>
      <c r="V44" s="2" t="inlineStr">
        <is>
          <t>Tibast</t>
        </is>
      </c>
      <c r="W44">
        <f>HYPERLINK("https://klasma.github.io/Logging_0319/artfynd/A 1673-2026 artfynd.xlsx", "A 1673-2026")</f>
        <v/>
      </c>
      <c r="X44">
        <f>HYPERLINK("https://klasma.github.io/Logging_0319/kartor/A 1673-2026 karta.png", "A 1673-2026")</f>
        <v/>
      </c>
      <c r="Y44">
        <f>HYPERLINK("https://klasma.github.io/Logging_0319/kartor_geotiff/A 1673-2026 georefererad karta.tif", "A 1673-2026")</f>
        <v/>
      </c>
      <c r="AA44">
        <f>HYPERLINK("https://klasma.github.io/Logging_0319/klagomål/A 1673-2026 FSC-klagomål.docx", "A 1673-2026")</f>
        <v/>
      </c>
      <c r="AB44">
        <f>HYPERLINK("https://klasma.github.io/Logging_0319/klagomålsmail/A 1673-2026 FSC-klagomål mail.docx", "A 1673-2026")</f>
        <v/>
      </c>
      <c r="AC44">
        <f>HYPERLINK("https://klasma.github.io/Logging_0319/tillsyn/A 1673-2026 tillsynsbegäran.docx", "A 1673-2026")</f>
        <v/>
      </c>
      <c r="AD44">
        <f>HYPERLINK("https://klasma.github.io/Logging_0319/tillsynsmail/A 1673-2026 tillsynsbegäran mail.docx", "A 1673-2026")</f>
        <v/>
      </c>
    </row>
    <row r="45" ht="15" customHeight="1">
      <c r="A45" t="inlineStr">
        <is>
          <t>A 4131-2026</t>
        </is>
      </c>
      <c r="B45" t="inlineStr">
        <is>
          <t>avverkningsanmälan</t>
        </is>
      </c>
      <c r="C45" t="inlineStr">
        <is>
          <t>Föryngringsavverkning</t>
        </is>
      </c>
      <c r="D45" s="1" t="n">
        <v>46044</v>
      </c>
      <c r="E45" s="1" t="n">
        <v>46248</v>
      </c>
      <c r="F45" t="inlineStr">
        <is>
          <t>UPPSALA LÄN</t>
        </is>
      </c>
      <c r="G45" t="inlineStr">
        <is>
          <t>ÄLVKARLEBY</t>
        </is>
      </c>
      <c r="H45" t="inlineStr">
        <is>
          <t>Bergvik skog öst AB</t>
        </is>
      </c>
      <c r="I45" t="n">
        <v>2.4</v>
      </c>
      <c r="J45" t="n">
        <v>1</v>
      </c>
      <c r="K45" t="n">
        <v>1</v>
      </c>
      <c r="L45" t="n">
        <v>0</v>
      </c>
      <c r="M45" t="n">
        <v>0</v>
      </c>
      <c r="N45" t="n">
        <v>0</v>
      </c>
      <c r="O45" t="n">
        <v>0</v>
      </c>
      <c r="P45" t="n">
        <v>0</v>
      </c>
      <c r="Q45" t="n">
        <v>0</v>
      </c>
      <c r="R45" t="n">
        <v>0</v>
      </c>
      <c r="S45" t="n">
        <v>1</v>
      </c>
      <c r="T45" t="n">
        <v>1</v>
      </c>
      <c r="U45" t="n">
        <v>0</v>
      </c>
      <c r="V45" s="2" t="inlineStr">
        <is>
          <t>Nästrot</t>
        </is>
      </c>
      <c r="W45">
        <f>HYPERLINK("https://klasma.github.io/Logging_0319/artfynd/A 4131-2026 artfynd.xlsx", "A 4131-2026")</f>
        <v/>
      </c>
      <c r="X45">
        <f>HYPERLINK("https://klasma.github.io/Logging_0319/kartor/A 4131-2026 karta.png", "A 4131-2026")</f>
        <v/>
      </c>
      <c r="Y45">
        <f>HYPERLINK("https://klasma.github.io/Logging_0319/kartor_geotiff/A 4131-2026 georefererad karta.tif", "A 4131-2026")</f>
        <v/>
      </c>
      <c r="AA45">
        <f>HYPERLINK("https://klasma.github.io/Logging_0319/klagomål/A 4131-2026 FSC-klagomål.docx", "A 4131-2026")</f>
        <v/>
      </c>
      <c r="AB45">
        <f>HYPERLINK("https://klasma.github.io/Logging_0319/klagomålsmail/A 4131-2026 FSC-klagomål mail.docx", "A 4131-2026")</f>
        <v/>
      </c>
      <c r="AC45">
        <f>HYPERLINK("https://klasma.github.io/Logging_0319/tillsyn/A 4131-2026 tillsynsbegäran.docx", "A 4131-2026")</f>
        <v/>
      </c>
      <c r="AD45">
        <f>HYPERLINK("https://klasma.github.io/Logging_0319/tillsynsmail/A 4131-2026 tillsynsbegäran mail.docx", "A 4131-2026")</f>
        <v/>
      </c>
    </row>
    <row r="46" ht="15" customHeight="1">
      <c r="A46" t="inlineStr">
        <is>
          <t>A 14127-2026</t>
        </is>
      </c>
      <c r="B46" t="inlineStr">
        <is>
          <t>avverkningsanmälan</t>
        </is>
      </c>
      <c r="C46" t="inlineStr">
        <is>
          <t>Föryngringsavverkning</t>
        </is>
      </c>
      <c r="D46" s="1" t="n">
        <v>46099</v>
      </c>
      <c r="E46" s="1" t="n">
        <v>46248</v>
      </c>
      <c r="F46" t="inlineStr">
        <is>
          <t>UPPSALA LÄN</t>
        </is>
      </c>
      <c r="G46" t="inlineStr">
        <is>
          <t>ÄLVKARLEBY</t>
        </is>
      </c>
      <c r="I46" t="n">
        <v>1.7</v>
      </c>
      <c r="J46" t="n">
        <v>0</v>
      </c>
      <c r="K46" t="n">
        <v>0</v>
      </c>
      <c r="L46" t="n">
        <v>0</v>
      </c>
      <c r="M46" t="n">
        <v>1</v>
      </c>
      <c r="N46" t="n">
        <v>0</v>
      </c>
      <c r="O46" t="n">
        <v>0</v>
      </c>
      <c r="P46" t="n">
        <v>0</v>
      </c>
      <c r="Q46" t="n">
        <v>1</v>
      </c>
      <c r="R46" t="n">
        <v>1</v>
      </c>
      <c r="S46" t="n">
        <v>1</v>
      </c>
      <c r="T46" t="n">
        <v>1</v>
      </c>
      <c r="U46" t="n">
        <v>0</v>
      </c>
      <c r="V46" s="2" t="inlineStr">
        <is>
          <t>Grangråticka</t>
        </is>
      </c>
      <c r="W46">
        <f>HYPERLINK("https://klasma.github.io/Logging_0319/artfynd/A 14127-2026 artfynd.xlsx", "A 14127-2026")</f>
        <v/>
      </c>
      <c r="X46">
        <f>HYPERLINK("https://klasma.github.io/Logging_0319/kartor/A 14127-2026 karta.png", "A 14127-2026")</f>
        <v/>
      </c>
      <c r="Y46">
        <f>HYPERLINK("https://klasma.github.io/Logging_0319/kartor_geotiff/A 14127-2026 georefererad karta.tif", "A 14127-2026")</f>
        <v/>
      </c>
      <c r="AA46">
        <f>HYPERLINK("https://klasma.github.io/Logging_0319/klagomål/A 14127-2026 FSC-klagomål.docx", "A 14127-2026")</f>
        <v/>
      </c>
      <c r="AB46">
        <f>HYPERLINK("https://klasma.github.io/Logging_0319/klagomålsmail/A 14127-2026 FSC-klagomål mail.docx", "A 14127-2026")</f>
        <v/>
      </c>
      <c r="AC46">
        <f>HYPERLINK("https://klasma.github.io/Logging_0319/tillsyn/A 14127-2026 tillsynsbegäran.docx", "A 14127-2026")</f>
        <v/>
      </c>
      <c r="AD46">
        <f>HYPERLINK("https://klasma.github.io/Logging_0319/tillsynsmail/A 14127-2026 tillsynsbegäran mail.docx", "A 14127-2026")</f>
        <v/>
      </c>
    </row>
    <row r="47" ht="15" customHeight="1">
      <c r="A47" t="inlineStr">
        <is>
          <t>A 36217-2022</t>
        </is>
      </c>
      <c r="B47" t="inlineStr">
        <is>
          <t>avverkningsanmälan</t>
        </is>
      </c>
      <c r="C47" t="inlineStr">
        <is>
          <t>Avverkning för annat ändamål</t>
        </is>
      </c>
      <c r="D47" s="1" t="n">
        <v>44803</v>
      </c>
      <c r="E47" s="1" t="n">
        <v>46248</v>
      </c>
      <c r="F47" t="inlineStr">
        <is>
          <t>UPPSALA LÄN</t>
        </is>
      </c>
      <c r="G47" t="inlineStr">
        <is>
          <t>ÄLVKARLEBY</t>
        </is>
      </c>
      <c r="H47" t="inlineStr">
        <is>
          <t>Bergvik skog väst AB</t>
        </is>
      </c>
      <c r="I47" t="n">
        <v>0.2</v>
      </c>
      <c r="J47" t="n">
        <v>0</v>
      </c>
      <c r="K47" t="n">
        <v>0</v>
      </c>
      <c r="L47" t="n">
        <v>0</v>
      </c>
      <c r="M47" t="n">
        <v>0</v>
      </c>
      <c r="N47" t="n">
        <v>0</v>
      </c>
      <c r="O47" t="n">
        <v>0</v>
      </c>
      <c r="P47" t="n">
        <v>0</v>
      </c>
      <c r="Q47" t="n">
        <v>0</v>
      </c>
      <c r="R47" t="n">
        <v>0</v>
      </c>
      <c r="S47" t="n">
        <v>0</v>
      </c>
      <c r="T47" t="n">
        <v>0</v>
      </c>
      <c r="U47" t="n">
        <v>0</v>
      </c>
      <c r="V47" s="2" t="inlineStr"/>
    </row>
    <row r="48" ht="15" customHeight="1">
      <c r="A48" t="inlineStr">
        <is>
          <t>A 36282-2022</t>
        </is>
      </c>
      <c r="B48" t="inlineStr">
        <is>
          <t>avverkningsanmälan</t>
        </is>
      </c>
      <c r="C48" t="inlineStr">
        <is>
          <t>Avverkning för annat ändamål</t>
        </is>
      </c>
      <c r="D48" s="1" t="n">
        <v>44803</v>
      </c>
      <c r="E48" s="1" t="n">
        <v>46248</v>
      </c>
      <c r="F48" t="inlineStr">
        <is>
          <t>UPPSALA LÄN</t>
        </is>
      </c>
      <c r="G48" t="inlineStr">
        <is>
          <t>ÄLVKARLEBY</t>
        </is>
      </c>
      <c r="I48" t="n">
        <v>0.1</v>
      </c>
      <c r="J48" t="n">
        <v>0</v>
      </c>
      <c r="K48" t="n">
        <v>0</v>
      </c>
      <c r="L48" t="n">
        <v>0</v>
      </c>
      <c r="M48" t="n">
        <v>0</v>
      </c>
      <c r="N48" t="n">
        <v>0</v>
      </c>
      <c r="O48" t="n">
        <v>0</v>
      </c>
      <c r="P48" t="n">
        <v>0</v>
      </c>
      <c r="Q48" t="n">
        <v>0</v>
      </c>
      <c r="R48" t="n">
        <v>0</v>
      </c>
      <c r="S48" t="n">
        <v>0</v>
      </c>
      <c r="T48" t="n">
        <v>0</v>
      </c>
      <c r="U48" t="n">
        <v>0</v>
      </c>
      <c r="V48" s="2" t="inlineStr"/>
    </row>
    <row r="49" ht="15" customHeight="1">
      <c r="A49" t="inlineStr">
        <is>
          <t>A 38226-2023</t>
        </is>
      </c>
      <c r="B49" t="inlineStr">
        <is>
          <t>avverkningsanmälan</t>
        </is>
      </c>
      <c r="C49" t="inlineStr">
        <is>
          <t>Föryngringsavverkning</t>
        </is>
      </c>
      <c r="D49" s="1" t="n">
        <v>45161</v>
      </c>
      <c r="E49" s="1" t="n">
        <v>46248</v>
      </c>
      <c r="F49" t="inlineStr">
        <is>
          <t>UPPSALA LÄN</t>
        </is>
      </c>
      <c r="G49" t="inlineStr">
        <is>
          <t>ÄLVKARLEBY</t>
        </is>
      </c>
      <c r="H49" t="inlineStr">
        <is>
          <t>Bergvik skog väst AB</t>
        </is>
      </c>
      <c r="I49" t="n">
        <v>4.5</v>
      </c>
      <c r="J49" t="n">
        <v>0</v>
      </c>
      <c r="K49" t="n">
        <v>0</v>
      </c>
      <c r="L49" t="n">
        <v>0</v>
      </c>
      <c r="M49" t="n">
        <v>0</v>
      </c>
      <c r="N49" t="n">
        <v>0</v>
      </c>
      <c r="O49" t="n">
        <v>0</v>
      </c>
      <c r="P49" t="n">
        <v>0</v>
      </c>
      <c r="Q49" t="n">
        <v>0</v>
      </c>
      <c r="R49" t="n">
        <v>0</v>
      </c>
      <c r="S49" t="n">
        <v>0</v>
      </c>
      <c r="T49" t="n">
        <v>0</v>
      </c>
      <c r="U49" t="n">
        <v>0</v>
      </c>
      <c r="V49" s="2" t="inlineStr"/>
    </row>
    <row r="50" ht="15" customHeight="1">
      <c r="A50" t="inlineStr">
        <is>
          <t>A 2183-2024</t>
        </is>
      </c>
      <c r="B50" t="inlineStr">
        <is>
          <t>avverkningsanmälan</t>
        </is>
      </c>
      <c r="C50" t="inlineStr">
        <is>
          <t>Föryngringsavverkning</t>
        </is>
      </c>
      <c r="D50" s="1" t="n">
        <v>45309</v>
      </c>
      <c r="E50" s="1" t="n">
        <v>46248</v>
      </c>
      <c r="F50" t="inlineStr">
        <is>
          <t>UPPSALA LÄN</t>
        </is>
      </c>
      <c r="G50" t="inlineStr">
        <is>
          <t>ÄLVKARLEBY</t>
        </is>
      </c>
      <c r="I50" t="n">
        <v>0.5</v>
      </c>
      <c r="J50" t="n">
        <v>0</v>
      </c>
      <c r="K50" t="n">
        <v>0</v>
      </c>
      <c r="L50" t="n">
        <v>0</v>
      </c>
      <c r="M50" t="n">
        <v>0</v>
      </c>
      <c r="N50" t="n">
        <v>0</v>
      </c>
      <c r="O50" t="n">
        <v>0</v>
      </c>
      <c r="P50" t="n">
        <v>0</v>
      </c>
      <c r="Q50" t="n">
        <v>0</v>
      </c>
      <c r="R50" t="n">
        <v>0</v>
      </c>
      <c r="S50" t="n">
        <v>0</v>
      </c>
      <c r="T50" t="n">
        <v>0</v>
      </c>
      <c r="U50" t="n">
        <v>0</v>
      </c>
      <c r="V50" s="2" t="inlineStr"/>
    </row>
    <row r="51" ht="15" customHeight="1">
      <c r="A51" t="inlineStr">
        <is>
          <t>A 14590-2023</t>
        </is>
      </c>
      <c r="B51" t="inlineStr">
        <is>
          <t>avverkningsanmälan</t>
        </is>
      </c>
      <c r="C51" t="inlineStr">
        <is>
          <t>Föryngringsavverkning</t>
        </is>
      </c>
      <c r="D51" s="1" t="n">
        <v>45013</v>
      </c>
      <c r="E51" s="1" t="n">
        <v>46248</v>
      </c>
      <c r="F51" t="inlineStr">
        <is>
          <t>UPPSALA LÄN</t>
        </is>
      </c>
      <c r="G51" t="inlineStr">
        <is>
          <t>ÄLVKARLEBY</t>
        </is>
      </c>
      <c r="I51" t="n">
        <v>1.8</v>
      </c>
      <c r="J51" t="n">
        <v>0</v>
      </c>
      <c r="K51" t="n">
        <v>0</v>
      </c>
      <c r="L51" t="n">
        <v>0</v>
      </c>
      <c r="M51" t="n">
        <v>0</v>
      </c>
      <c r="N51" t="n">
        <v>0</v>
      </c>
      <c r="O51" t="n">
        <v>0</v>
      </c>
      <c r="P51" t="n">
        <v>0</v>
      </c>
      <c r="Q51" t="n">
        <v>0</v>
      </c>
      <c r="R51" t="n">
        <v>0</v>
      </c>
      <c r="S51" t="n">
        <v>0</v>
      </c>
      <c r="T51" t="n">
        <v>0</v>
      </c>
      <c r="U51" t="n">
        <v>0</v>
      </c>
      <c r="V51" s="2" t="inlineStr"/>
    </row>
    <row r="52" ht="15" customHeight="1">
      <c r="A52" t="inlineStr">
        <is>
          <t>A 45372-2024</t>
        </is>
      </c>
      <c r="B52" t="inlineStr">
        <is>
          <t>avverkningsanmälan</t>
        </is>
      </c>
      <c r="C52" t="inlineStr">
        <is>
          <t>Föryngringsavverkning</t>
        </is>
      </c>
      <c r="D52" s="1" t="n">
        <v>45576</v>
      </c>
      <c r="E52" s="1" t="n">
        <v>46248</v>
      </c>
      <c r="F52" t="inlineStr">
        <is>
          <t>UPPSALA LÄN</t>
        </is>
      </c>
      <c r="G52" t="inlineStr">
        <is>
          <t>ÄLVKARLEBY</t>
        </is>
      </c>
      <c r="H52" t="inlineStr">
        <is>
          <t>Bergvik skog väst AB</t>
        </is>
      </c>
      <c r="I52" t="n">
        <v>3.4</v>
      </c>
      <c r="J52" t="n">
        <v>0</v>
      </c>
      <c r="K52" t="n">
        <v>0</v>
      </c>
      <c r="L52" t="n">
        <v>0</v>
      </c>
      <c r="M52" t="n">
        <v>0</v>
      </c>
      <c r="N52" t="n">
        <v>0</v>
      </c>
      <c r="O52" t="n">
        <v>0</v>
      </c>
      <c r="P52" t="n">
        <v>0</v>
      </c>
      <c r="Q52" t="n">
        <v>0</v>
      </c>
      <c r="R52" t="n">
        <v>0</v>
      </c>
      <c r="S52" t="n">
        <v>0</v>
      </c>
      <c r="T52" t="n">
        <v>0</v>
      </c>
      <c r="U52" t="n">
        <v>0</v>
      </c>
      <c r="V52" s="2" t="inlineStr"/>
    </row>
    <row r="53" ht="15" customHeight="1">
      <c r="A53" t="inlineStr">
        <is>
          <t>A 41929-2024</t>
        </is>
      </c>
      <c r="B53" t="inlineStr">
        <is>
          <t>avverkningsanmälan</t>
        </is>
      </c>
      <c r="C53" t="inlineStr">
        <is>
          <t>Föryngringsavverkning</t>
        </is>
      </c>
      <c r="D53" s="1" t="n">
        <v>45561</v>
      </c>
      <c r="E53" s="1" t="n">
        <v>46248</v>
      </c>
      <c r="F53" t="inlineStr">
        <is>
          <t>UPPSALA LÄN</t>
        </is>
      </c>
      <c r="G53" t="inlineStr">
        <is>
          <t>ÄLVKARLEBY</t>
        </is>
      </c>
      <c r="H53" t="inlineStr">
        <is>
          <t>Bergvik skog väst AB</t>
        </is>
      </c>
      <c r="I53" t="n">
        <v>4.9</v>
      </c>
      <c r="J53" t="n">
        <v>0</v>
      </c>
      <c r="K53" t="n">
        <v>0</v>
      </c>
      <c r="L53" t="n">
        <v>0</v>
      </c>
      <c r="M53" t="n">
        <v>0</v>
      </c>
      <c r="N53" t="n">
        <v>0</v>
      </c>
      <c r="O53" t="n">
        <v>0</v>
      </c>
      <c r="P53" t="n">
        <v>0</v>
      </c>
      <c r="Q53" t="n">
        <v>0</v>
      </c>
      <c r="R53" t="n">
        <v>0</v>
      </c>
      <c r="S53" t="n">
        <v>0</v>
      </c>
      <c r="T53" t="n">
        <v>0</v>
      </c>
      <c r="U53" t="n">
        <v>0</v>
      </c>
      <c r="V53" s="2" t="inlineStr"/>
    </row>
    <row r="54" ht="15" customHeight="1">
      <c r="A54" t="inlineStr">
        <is>
          <t>A 36216-2022</t>
        </is>
      </c>
      <c r="B54" t="inlineStr">
        <is>
          <t>avverkningsanmälan</t>
        </is>
      </c>
      <c r="C54" t="inlineStr">
        <is>
          <t>Avverkning för annat ändamål</t>
        </is>
      </c>
      <c r="D54" s="1" t="n">
        <v>44803</v>
      </c>
      <c r="E54" s="1" t="n">
        <v>46248</v>
      </c>
      <c r="F54" t="inlineStr">
        <is>
          <t>UPPSALA LÄN</t>
        </is>
      </c>
      <c r="G54" t="inlineStr">
        <is>
          <t>ÄLVKARLEBY</t>
        </is>
      </c>
      <c r="H54" t="inlineStr">
        <is>
          <t>Bergvik skog väst AB</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26815-2022</t>
        </is>
      </c>
      <c r="B55" t="inlineStr">
        <is>
          <t>avverkningsanmälan</t>
        </is>
      </c>
      <c r="C55" t="inlineStr">
        <is>
          <t>Föryngringsavverkning</t>
        </is>
      </c>
      <c r="D55" s="1" t="n">
        <v>44740</v>
      </c>
      <c r="E55" s="1" t="n">
        <v>46248</v>
      </c>
      <c r="F55" t="inlineStr">
        <is>
          <t>UPPSALA LÄN</t>
        </is>
      </c>
      <c r="G55" t="inlineStr">
        <is>
          <t>ÄLVKARLEBY</t>
        </is>
      </c>
      <c r="I55" t="n">
        <v>5.8</v>
      </c>
      <c r="J55" t="n">
        <v>0</v>
      </c>
      <c r="K55" t="n">
        <v>0</v>
      </c>
      <c r="L55" t="n">
        <v>0</v>
      </c>
      <c r="M55" t="n">
        <v>0</v>
      </c>
      <c r="N55" t="n">
        <v>0</v>
      </c>
      <c r="O55" t="n">
        <v>0</v>
      </c>
      <c r="P55" t="n">
        <v>0</v>
      </c>
      <c r="Q55" t="n">
        <v>0</v>
      </c>
      <c r="R55" t="n">
        <v>0</v>
      </c>
      <c r="S55" t="n">
        <v>0</v>
      </c>
      <c r="T55" t="n">
        <v>0</v>
      </c>
      <c r="U55" t="n">
        <v>0</v>
      </c>
      <c r="V55" s="2" t="inlineStr"/>
    </row>
    <row r="56" ht="15" customHeight="1">
      <c r="A56" t="inlineStr">
        <is>
          <t>A 46113-2023</t>
        </is>
      </c>
      <c r="B56" t="inlineStr">
        <is>
          <t>avverkningsanmälan</t>
        </is>
      </c>
      <c r="C56" t="inlineStr">
        <is>
          <t>Föryngringsavverkning</t>
        </is>
      </c>
      <c r="D56" s="1" t="n">
        <v>45196</v>
      </c>
      <c r="E56" s="1" t="n">
        <v>46248</v>
      </c>
      <c r="F56" t="inlineStr">
        <is>
          <t>UPPSALA LÄN</t>
        </is>
      </c>
      <c r="G56" t="inlineStr">
        <is>
          <t>ÄLVKARLEBY</t>
        </is>
      </c>
      <c r="H56" t="inlineStr">
        <is>
          <t>Bergvik skog väst AB</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9533-2025</t>
        </is>
      </c>
      <c r="B57" t="inlineStr">
        <is>
          <t>avverkningsanmälan</t>
        </is>
      </c>
      <c r="C57" t="inlineStr">
        <is>
          <t>Föryngringsavverkning</t>
        </is>
      </c>
      <c r="D57" s="1" t="n">
        <v>45715</v>
      </c>
      <c r="E57" s="1" t="n">
        <v>46248</v>
      </c>
      <c r="F57" t="inlineStr">
        <is>
          <t>UPPSALA LÄN</t>
        </is>
      </c>
      <c r="G57" t="inlineStr">
        <is>
          <t>ÄLVKARLEBY</t>
        </is>
      </c>
      <c r="I57" t="n">
        <v>2.1</v>
      </c>
      <c r="J57" t="n">
        <v>0</v>
      </c>
      <c r="K57" t="n">
        <v>0</v>
      </c>
      <c r="L57" t="n">
        <v>0</v>
      </c>
      <c r="M57" t="n">
        <v>0</v>
      </c>
      <c r="N57" t="n">
        <v>0</v>
      </c>
      <c r="O57" t="n">
        <v>0</v>
      </c>
      <c r="P57" t="n">
        <v>0</v>
      </c>
      <c r="Q57" t="n">
        <v>0</v>
      </c>
      <c r="R57" t="n">
        <v>0</v>
      </c>
      <c r="S57" t="n">
        <v>0</v>
      </c>
      <c r="T57" t="n">
        <v>0</v>
      </c>
      <c r="U57" t="n">
        <v>0</v>
      </c>
      <c r="V57" s="2" t="inlineStr"/>
    </row>
    <row r="58" ht="15" customHeight="1">
      <c r="A58" t="inlineStr">
        <is>
          <t>A 2184-2024</t>
        </is>
      </c>
      <c r="B58" t="inlineStr">
        <is>
          <t>avverkningsanmälan</t>
        </is>
      </c>
      <c r="C58" t="inlineStr">
        <is>
          <t>Föryngringsavverkning</t>
        </is>
      </c>
      <c r="D58" s="1" t="n">
        <v>45309</v>
      </c>
      <c r="E58" s="1" t="n">
        <v>46248</v>
      </c>
      <c r="F58" t="inlineStr">
        <is>
          <t>UPPSALA LÄN</t>
        </is>
      </c>
      <c r="G58" t="inlineStr">
        <is>
          <t>ÄLVKARLEBY</t>
        </is>
      </c>
      <c r="I58" t="n">
        <v>0.6</v>
      </c>
      <c r="J58" t="n">
        <v>0</v>
      </c>
      <c r="K58" t="n">
        <v>0</v>
      </c>
      <c r="L58" t="n">
        <v>0</v>
      </c>
      <c r="M58" t="n">
        <v>0</v>
      </c>
      <c r="N58" t="n">
        <v>0</v>
      </c>
      <c r="O58" t="n">
        <v>0</v>
      </c>
      <c r="P58" t="n">
        <v>0</v>
      </c>
      <c r="Q58" t="n">
        <v>0</v>
      </c>
      <c r="R58" t="n">
        <v>0</v>
      </c>
      <c r="S58" t="n">
        <v>0</v>
      </c>
      <c r="T58" t="n">
        <v>0</v>
      </c>
      <c r="U58" t="n">
        <v>0</v>
      </c>
      <c r="V58" s="2" t="inlineStr"/>
    </row>
    <row r="59" ht="15" customHeight="1">
      <c r="A59" t="inlineStr">
        <is>
          <t>A 16990-2022</t>
        </is>
      </c>
      <c r="B59" t="inlineStr">
        <is>
          <t>avverkningsanmälan</t>
        </is>
      </c>
      <c r="C59" t="inlineStr">
        <is>
          <t>Föryngringsavverkning</t>
        </is>
      </c>
      <c r="D59" s="1" t="n">
        <v>44676</v>
      </c>
      <c r="E59" s="1" t="n">
        <v>46248</v>
      </c>
      <c r="F59" t="inlineStr">
        <is>
          <t>UPPSALA LÄN</t>
        </is>
      </c>
      <c r="G59" t="inlineStr">
        <is>
          <t>ÄLVKARLEBY</t>
        </is>
      </c>
      <c r="H59" t="inlineStr">
        <is>
          <t>Bergvik skog väst AB</t>
        </is>
      </c>
      <c r="I59" t="n">
        <v>2.6</v>
      </c>
      <c r="J59" t="n">
        <v>0</v>
      </c>
      <c r="K59" t="n">
        <v>0</v>
      </c>
      <c r="L59" t="n">
        <v>0</v>
      </c>
      <c r="M59" t="n">
        <v>0</v>
      </c>
      <c r="N59" t="n">
        <v>0</v>
      </c>
      <c r="O59" t="n">
        <v>0</v>
      </c>
      <c r="P59" t="n">
        <v>0</v>
      </c>
      <c r="Q59" t="n">
        <v>0</v>
      </c>
      <c r="R59" t="n">
        <v>0</v>
      </c>
      <c r="S59" t="n">
        <v>0</v>
      </c>
      <c r="T59" t="n">
        <v>0</v>
      </c>
      <c r="U59" t="n">
        <v>0</v>
      </c>
      <c r="V59" s="2" t="inlineStr"/>
    </row>
    <row r="60" ht="15" customHeight="1">
      <c r="A60" t="inlineStr">
        <is>
          <t>A 25330-2025</t>
        </is>
      </c>
      <c r="B60" t="inlineStr">
        <is>
          <t>avverkningsanmälan</t>
        </is>
      </c>
      <c r="C60" t="inlineStr">
        <is>
          <t>Föryngringsavverkning</t>
        </is>
      </c>
      <c r="D60" s="1" t="n">
        <v>45800</v>
      </c>
      <c r="E60" s="1" t="n">
        <v>46248</v>
      </c>
      <c r="F60" t="inlineStr">
        <is>
          <t>UPPSALA LÄN</t>
        </is>
      </c>
      <c r="G60" t="inlineStr">
        <is>
          <t>ÄLVKARLEBY</t>
        </is>
      </c>
      <c r="H60" t="inlineStr">
        <is>
          <t>Bergvik skog väst AB</t>
        </is>
      </c>
      <c r="I60" t="n">
        <v>5</v>
      </c>
      <c r="J60" t="n">
        <v>0</v>
      </c>
      <c r="K60" t="n">
        <v>0</v>
      </c>
      <c r="L60" t="n">
        <v>0</v>
      </c>
      <c r="M60" t="n">
        <v>0</v>
      </c>
      <c r="N60" t="n">
        <v>0</v>
      </c>
      <c r="O60" t="n">
        <v>0</v>
      </c>
      <c r="P60" t="n">
        <v>0</v>
      </c>
      <c r="Q60" t="n">
        <v>0</v>
      </c>
      <c r="R60" t="n">
        <v>0</v>
      </c>
      <c r="S60" t="n">
        <v>0</v>
      </c>
      <c r="T60" t="n">
        <v>0</v>
      </c>
      <c r="U60" t="n">
        <v>0</v>
      </c>
      <c r="V60" s="2" t="inlineStr"/>
    </row>
    <row r="61" ht="15" customHeight="1">
      <c r="A61" t="inlineStr">
        <is>
          <t>A 41272-2023</t>
        </is>
      </c>
      <c r="B61" t="inlineStr">
        <is>
          <t>avverkningsanmälan</t>
        </is>
      </c>
      <c r="C61" t="inlineStr">
        <is>
          <t>Föryngringsavverkning</t>
        </is>
      </c>
      <c r="D61" s="1" t="n">
        <v>45174</v>
      </c>
      <c r="E61" s="1" t="n">
        <v>46248</v>
      </c>
      <c r="F61" t="inlineStr">
        <is>
          <t>UPPSALA LÄN</t>
        </is>
      </c>
      <c r="G61" t="inlineStr">
        <is>
          <t>ÄLVKARLEBY</t>
        </is>
      </c>
      <c r="H61" t="inlineStr">
        <is>
          <t>Bergvik skog väst AB</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32187-2025</t>
        </is>
      </c>
      <c r="B62" t="inlineStr">
        <is>
          <t>avverkningsanmälan</t>
        </is>
      </c>
      <c r="C62" t="inlineStr">
        <is>
          <t>Föryngringsavverkning</t>
        </is>
      </c>
      <c r="D62" s="1" t="n">
        <v>45835</v>
      </c>
      <c r="E62" s="1" t="n">
        <v>46248</v>
      </c>
      <c r="F62" t="inlineStr">
        <is>
          <t>UPPSALA LÄN</t>
        </is>
      </c>
      <c r="G62" t="inlineStr">
        <is>
          <t>ÄLVKARLEBY</t>
        </is>
      </c>
      <c r="H62" t="inlineStr">
        <is>
          <t>Bergvik skog väst AB</t>
        </is>
      </c>
      <c r="I62" t="n">
        <v>1.5</v>
      </c>
      <c r="J62" t="n">
        <v>0</v>
      </c>
      <c r="K62" t="n">
        <v>0</v>
      </c>
      <c r="L62" t="n">
        <v>0</v>
      </c>
      <c r="M62" t="n">
        <v>0</v>
      </c>
      <c r="N62" t="n">
        <v>0</v>
      </c>
      <c r="O62" t="n">
        <v>0</v>
      </c>
      <c r="P62" t="n">
        <v>0</v>
      </c>
      <c r="Q62" t="n">
        <v>0</v>
      </c>
      <c r="R62" t="n">
        <v>0</v>
      </c>
      <c r="S62" t="n">
        <v>0</v>
      </c>
      <c r="T62" t="n">
        <v>0</v>
      </c>
      <c r="U62" t="n">
        <v>0</v>
      </c>
      <c r="V62" s="2" t="inlineStr"/>
    </row>
    <row r="63" ht="15" customHeight="1">
      <c r="A63" t="inlineStr">
        <is>
          <t>A 28670-2025</t>
        </is>
      </c>
      <c r="B63" t="inlineStr">
        <is>
          <t>avverkningsanmälan</t>
        </is>
      </c>
      <c r="C63" t="inlineStr">
        <is>
          <t>Föryngringsavverkning</t>
        </is>
      </c>
      <c r="D63" s="1" t="n">
        <v>45819</v>
      </c>
      <c r="E63" s="1" t="n">
        <v>46248</v>
      </c>
      <c r="F63" t="inlineStr">
        <is>
          <t>UPPSALA LÄN</t>
        </is>
      </c>
      <c r="G63" t="inlineStr">
        <is>
          <t>ÄLVKARLEBY</t>
        </is>
      </c>
      <c r="H63" t="inlineStr">
        <is>
          <t>Bergvik skog väst AB</t>
        </is>
      </c>
      <c r="I63" t="n">
        <v>1.6</v>
      </c>
      <c r="J63" t="n">
        <v>0</v>
      </c>
      <c r="K63" t="n">
        <v>0</v>
      </c>
      <c r="L63" t="n">
        <v>0</v>
      </c>
      <c r="M63" t="n">
        <v>0</v>
      </c>
      <c r="N63" t="n">
        <v>0</v>
      </c>
      <c r="O63" t="n">
        <v>0</v>
      </c>
      <c r="P63" t="n">
        <v>0</v>
      </c>
      <c r="Q63" t="n">
        <v>0</v>
      </c>
      <c r="R63" t="n">
        <v>0</v>
      </c>
      <c r="S63" t="n">
        <v>0</v>
      </c>
      <c r="T63" t="n">
        <v>0</v>
      </c>
      <c r="U63" t="n">
        <v>0</v>
      </c>
      <c r="V63" s="2" t="inlineStr"/>
    </row>
    <row r="64" ht="15" customHeight="1">
      <c r="A64" t="inlineStr">
        <is>
          <t>A 41276-2023</t>
        </is>
      </c>
      <c r="B64" t="inlineStr">
        <is>
          <t>avverkningsanmälan</t>
        </is>
      </c>
      <c r="C64" t="inlineStr">
        <is>
          <t>Föryngringsavverkning</t>
        </is>
      </c>
      <c r="D64" s="1" t="n">
        <v>45174</v>
      </c>
      <c r="E64" s="1" t="n">
        <v>46248</v>
      </c>
      <c r="F64" t="inlineStr">
        <is>
          <t>UPPSALA LÄN</t>
        </is>
      </c>
      <c r="G64" t="inlineStr">
        <is>
          <t>ÄLVKARLEBY</t>
        </is>
      </c>
      <c r="H64" t="inlineStr">
        <is>
          <t>Bergvik skog väst AB</t>
        </is>
      </c>
      <c r="I64" t="n">
        <v>0.3</v>
      </c>
      <c r="J64" t="n">
        <v>0</v>
      </c>
      <c r="K64" t="n">
        <v>0</v>
      </c>
      <c r="L64" t="n">
        <v>0</v>
      </c>
      <c r="M64" t="n">
        <v>0</v>
      </c>
      <c r="N64" t="n">
        <v>0</v>
      </c>
      <c r="O64" t="n">
        <v>0</v>
      </c>
      <c r="P64" t="n">
        <v>0</v>
      </c>
      <c r="Q64" t="n">
        <v>0</v>
      </c>
      <c r="R64" t="n">
        <v>0</v>
      </c>
      <c r="S64" t="n">
        <v>0</v>
      </c>
      <c r="T64" t="n">
        <v>0</v>
      </c>
      <c r="U64" t="n">
        <v>0</v>
      </c>
      <c r="V64" s="2" t="inlineStr"/>
    </row>
    <row r="65" ht="15" customHeight="1">
      <c r="A65" t="inlineStr">
        <is>
          <t>A 26664-2025</t>
        </is>
      </c>
      <c r="B65" t="inlineStr">
        <is>
          <t>avverkningsanmälan</t>
        </is>
      </c>
      <c r="C65" t="inlineStr">
        <is>
          <t>Avverkning för att bevara och utveckla /försöksver</t>
        </is>
      </c>
      <c r="D65" s="1" t="n">
        <v>45810</v>
      </c>
      <c r="E65" s="1" t="n">
        <v>46248</v>
      </c>
      <c r="F65" t="inlineStr">
        <is>
          <t>UPPSALA LÄN</t>
        </is>
      </c>
      <c r="G65" t="inlineStr">
        <is>
          <t>ÄLVKARLEBY</t>
        </is>
      </c>
      <c r="H65" t="inlineStr">
        <is>
          <t>Bergvik skog väst AB</t>
        </is>
      </c>
      <c r="I65" t="n">
        <v>1.7</v>
      </c>
      <c r="J65" t="n">
        <v>0</v>
      </c>
      <c r="K65" t="n">
        <v>0</v>
      </c>
      <c r="L65" t="n">
        <v>0</v>
      </c>
      <c r="M65" t="n">
        <v>0</v>
      </c>
      <c r="N65" t="n">
        <v>0</v>
      </c>
      <c r="O65" t="n">
        <v>0</v>
      </c>
      <c r="P65" t="n">
        <v>0</v>
      </c>
      <c r="Q65" t="n">
        <v>0</v>
      </c>
      <c r="R65" t="n">
        <v>0</v>
      </c>
      <c r="S65" t="n">
        <v>0</v>
      </c>
      <c r="T65" t="n">
        <v>0</v>
      </c>
      <c r="U65" t="n">
        <v>0</v>
      </c>
      <c r="V65" s="2" t="inlineStr"/>
    </row>
    <row r="66" ht="15" customHeight="1">
      <c r="A66" t="inlineStr">
        <is>
          <t>A 45033-2025</t>
        </is>
      </c>
      <c r="B66" t="inlineStr">
        <is>
          <t>avverkningsanmälan</t>
        </is>
      </c>
      <c r="C66" t="inlineStr">
        <is>
          <t>Föryngringsavverkning</t>
        </is>
      </c>
      <c r="D66" s="1" t="n">
        <v>45918</v>
      </c>
      <c r="E66" s="1" t="n">
        <v>46248</v>
      </c>
      <c r="F66" t="inlineStr">
        <is>
          <t>UPPSALA LÄN</t>
        </is>
      </c>
      <c r="G66" t="inlineStr">
        <is>
          <t>ÄLVKARLEBY</t>
        </is>
      </c>
      <c r="H66" t="inlineStr">
        <is>
          <t>Bergvik skog väst AB</t>
        </is>
      </c>
      <c r="I66" t="n">
        <v>0.9</v>
      </c>
      <c r="J66" t="n">
        <v>0</v>
      </c>
      <c r="K66" t="n">
        <v>0</v>
      </c>
      <c r="L66" t="n">
        <v>0</v>
      </c>
      <c r="M66" t="n">
        <v>0</v>
      </c>
      <c r="N66" t="n">
        <v>0</v>
      </c>
      <c r="O66" t="n">
        <v>0</v>
      </c>
      <c r="P66" t="n">
        <v>0</v>
      </c>
      <c r="Q66" t="n">
        <v>0</v>
      </c>
      <c r="R66" t="n">
        <v>0</v>
      </c>
      <c r="S66" t="n">
        <v>0</v>
      </c>
      <c r="T66" t="n">
        <v>0</v>
      </c>
      <c r="U66" t="n">
        <v>0</v>
      </c>
      <c r="V66" s="2" t="inlineStr"/>
    </row>
    <row r="67" ht="15" customHeight="1">
      <c r="A67" t="inlineStr">
        <is>
          <t>A 30238-2026</t>
        </is>
      </c>
      <c r="B67" t="inlineStr">
        <is>
          <t>avverkningsanmälan</t>
        </is>
      </c>
      <c r="C67" t="inlineStr">
        <is>
          <t>Föryngringsavverkning</t>
        </is>
      </c>
      <c r="D67" s="1" t="n">
        <v>46206</v>
      </c>
      <c r="E67" s="1" t="n">
        <v>46248</v>
      </c>
      <c r="F67" t="inlineStr">
        <is>
          <t>UPPSALA LÄN</t>
        </is>
      </c>
      <c r="G67" t="inlineStr">
        <is>
          <t>ÄLVKARLEBY</t>
        </is>
      </c>
      <c r="H67" t="inlineStr">
        <is>
          <t>Bergvik skog öst AB</t>
        </is>
      </c>
      <c r="I67" t="n">
        <v>2.6</v>
      </c>
      <c r="J67" t="n">
        <v>0</v>
      </c>
      <c r="K67" t="n">
        <v>0</v>
      </c>
      <c r="L67" t="n">
        <v>0</v>
      </c>
      <c r="M67" t="n">
        <v>0</v>
      </c>
      <c r="N67" t="n">
        <v>0</v>
      </c>
      <c r="O67" t="n">
        <v>0</v>
      </c>
      <c r="P67" t="n">
        <v>0</v>
      </c>
      <c r="Q67" t="n">
        <v>0</v>
      </c>
      <c r="R67" t="n">
        <v>0</v>
      </c>
      <c r="S67" t="n">
        <v>0</v>
      </c>
      <c r="T67" t="n">
        <v>0</v>
      </c>
      <c r="U67" t="n">
        <v>0</v>
      </c>
      <c r="V67" s="2" t="inlineStr"/>
    </row>
    <row r="68" ht="15" customHeight="1">
      <c r="A68" t="inlineStr">
        <is>
          <t>A 46510-2025</t>
        </is>
      </c>
      <c r="B68" t="inlineStr">
        <is>
          <t>avverkningsanmälan</t>
        </is>
      </c>
      <c r="C68" t="inlineStr">
        <is>
          <t>Föryngringsavverkning</t>
        </is>
      </c>
      <c r="D68" s="1" t="n">
        <v>45925</v>
      </c>
      <c r="E68" s="1" t="n">
        <v>46248</v>
      </c>
      <c r="F68" t="inlineStr">
        <is>
          <t>UPPSALA LÄN</t>
        </is>
      </c>
      <c r="G68" t="inlineStr">
        <is>
          <t>ÄLVKARLEBY</t>
        </is>
      </c>
      <c r="I68" t="n">
        <v>2.3</v>
      </c>
      <c r="J68" t="n">
        <v>0</v>
      </c>
      <c r="K68" t="n">
        <v>0</v>
      </c>
      <c r="L68" t="n">
        <v>0</v>
      </c>
      <c r="M68" t="n">
        <v>0</v>
      </c>
      <c r="N68" t="n">
        <v>0</v>
      </c>
      <c r="O68" t="n">
        <v>0</v>
      </c>
      <c r="P68" t="n">
        <v>0</v>
      </c>
      <c r="Q68" t="n">
        <v>0</v>
      </c>
      <c r="R68" t="n">
        <v>0</v>
      </c>
      <c r="S68" t="n">
        <v>0</v>
      </c>
      <c r="T68" t="n">
        <v>0</v>
      </c>
      <c r="U68" t="n">
        <v>0</v>
      </c>
      <c r="V68" s="2" t="inlineStr"/>
    </row>
    <row r="69" ht="15" customHeight="1">
      <c r="A69" t="inlineStr">
        <is>
          <t>A 30234-2026</t>
        </is>
      </c>
      <c r="B69" t="inlineStr">
        <is>
          <t>avverkningsanmälan</t>
        </is>
      </c>
      <c r="C69" t="inlineStr">
        <is>
          <t>Föryngringsavverkning</t>
        </is>
      </c>
      <c r="D69" s="1" t="n">
        <v>46206</v>
      </c>
      <c r="E69" s="1" t="n">
        <v>46248</v>
      </c>
      <c r="F69" t="inlineStr">
        <is>
          <t>UPPSALA LÄN</t>
        </is>
      </c>
      <c r="G69" t="inlineStr">
        <is>
          <t>ÄLVKARLEBY</t>
        </is>
      </c>
      <c r="H69" t="inlineStr">
        <is>
          <t>Bergvik skog öst AB</t>
        </is>
      </c>
      <c r="I69" t="n">
        <v>3.6</v>
      </c>
      <c r="J69" t="n">
        <v>0</v>
      </c>
      <c r="K69" t="n">
        <v>0</v>
      </c>
      <c r="L69" t="n">
        <v>0</v>
      </c>
      <c r="M69" t="n">
        <v>0</v>
      </c>
      <c r="N69" t="n">
        <v>0</v>
      </c>
      <c r="O69" t="n">
        <v>0</v>
      </c>
      <c r="P69" t="n">
        <v>0</v>
      </c>
      <c r="Q69" t="n">
        <v>0</v>
      </c>
      <c r="R69" t="n">
        <v>0</v>
      </c>
      <c r="S69" t="n">
        <v>0</v>
      </c>
      <c r="T69" t="n">
        <v>0</v>
      </c>
      <c r="U69" t="n">
        <v>0</v>
      </c>
      <c r="V69" s="2" t="inlineStr"/>
    </row>
    <row r="70" ht="15" customHeight="1">
      <c r="A70" t="inlineStr">
        <is>
          <t>A 50398-2025</t>
        </is>
      </c>
      <c r="B70" t="inlineStr">
        <is>
          <t>avverkningsanmälan</t>
        </is>
      </c>
      <c r="C70" t="inlineStr">
        <is>
          <t>Avverkning för att bevara och utveckla /försöksver</t>
        </is>
      </c>
      <c r="D70" s="1" t="n">
        <v>45944</v>
      </c>
      <c r="E70" s="1" t="n">
        <v>46248</v>
      </c>
      <c r="F70" t="inlineStr">
        <is>
          <t>UPPSALA LÄN</t>
        </is>
      </c>
      <c r="G70" t="inlineStr">
        <is>
          <t>ÄLVKARLEBY</t>
        </is>
      </c>
      <c r="H70" t="inlineStr">
        <is>
          <t>Bergvik skog väst AB</t>
        </is>
      </c>
      <c r="I70" t="n">
        <v>4.4</v>
      </c>
      <c r="J70" t="n">
        <v>0</v>
      </c>
      <c r="K70" t="n">
        <v>0</v>
      </c>
      <c r="L70" t="n">
        <v>0</v>
      </c>
      <c r="M70" t="n">
        <v>0</v>
      </c>
      <c r="N70" t="n">
        <v>0</v>
      </c>
      <c r="O70" t="n">
        <v>0</v>
      </c>
      <c r="P70" t="n">
        <v>0</v>
      </c>
      <c r="Q70" t="n">
        <v>0</v>
      </c>
      <c r="R70" t="n">
        <v>0</v>
      </c>
      <c r="S70" t="n">
        <v>0</v>
      </c>
      <c r="T70" t="n">
        <v>0</v>
      </c>
      <c r="U70" t="n">
        <v>0</v>
      </c>
      <c r="V70" s="2" t="inlineStr"/>
    </row>
    <row r="71" ht="15" customHeight="1">
      <c r="A71" t="inlineStr">
        <is>
          <t>A 50371-2025</t>
        </is>
      </c>
      <c r="B71" t="inlineStr">
        <is>
          <t>avverkningsanmälan</t>
        </is>
      </c>
      <c r="C71" t="inlineStr">
        <is>
          <t>Föryngringsavverkning</t>
        </is>
      </c>
      <c r="D71" s="1" t="n">
        <v>45944</v>
      </c>
      <c r="E71" s="1" t="n">
        <v>46248</v>
      </c>
      <c r="F71" t="inlineStr">
        <is>
          <t>UPPSALA LÄN</t>
        </is>
      </c>
      <c r="G71" t="inlineStr">
        <is>
          <t>ÄLVKARLEBY</t>
        </is>
      </c>
      <c r="H71" t="inlineStr">
        <is>
          <t>Bergvik skog väst AB</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51237-2025</t>
        </is>
      </c>
      <c r="B72" t="inlineStr">
        <is>
          <t>avverkningsanmälan</t>
        </is>
      </c>
      <c r="C72" t="inlineStr">
        <is>
          <t>Föryngringsavverkning</t>
        </is>
      </c>
      <c r="D72" s="1" t="n">
        <v>45947</v>
      </c>
      <c r="E72" s="1" t="n">
        <v>46248</v>
      </c>
      <c r="F72" t="inlineStr">
        <is>
          <t>UPPSALA LÄN</t>
        </is>
      </c>
      <c r="G72" t="inlineStr">
        <is>
          <t>ÄLVKARLEBY</t>
        </is>
      </c>
      <c r="H72" t="inlineStr">
        <is>
          <t>Bergvik skog väst AB</t>
        </is>
      </c>
      <c r="I72" t="n">
        <v>1.8</v>
      </c>
      <c r="J72" t="n">
        <v>0</v>
      </c>
      <c r="K72" t="n">
        <v>0</v>
      </c>
      <c r="L72" t="n">
        <v>0</v>
      </c>
      <c r="M72" t="n">
        <v>0</v>
      </c>
      <c r="N72" t="n">
        <v>0</v>
      </c>
      <c r="O72" t="n">
        <v>0</v>
      </c>
      <c r="P72" t="n">
        <v>0</v>
      </c>
      <c r="Q72" t="n">
        <v>0</v>
      </c>
      <c r="R72" t="n">
        <v>0</v>
      </c>
      <c r="S72" t="n">
        <v>0</v>
      </c>
      <c r="T72" t="n">
        <v>0</v>
      </c>
      <c r="U72" t="n">
        <v>0</v>
      </c>
      <c r="V72" s="2" t="inlineStr"/>
    </row>
    <row r="73" ht="15" customHeight="1">
      <c r="A73" t="inlineStr">
        <is>
          <t>A 52477-2025</t>
        </is>
      </c>
      <c r="B73" t="inlineStr">
        <is>
          <t>avverkningsanmälan</t>
        </is>
      </c>
      <c r="C73" t="inlineStr">
        <is>
          <t>Föryngringsavverkning</t>
        </is>
      </c>
      <c r="D73" s="1" t="n">
        <v>45954</v>
      </c>
      <c r="E73" s="1" t="n">
        <v>46248</v>
      </c>
      <c r="F73" t="inlineStr">
        <is>
          <t>UPPSALA LÄN</t>
        </is>
      </c>
      <c r="G73" t="inlineStr">
        <is>
          <t>ÄLVKARLEBY</t>
        </is>
      </c>
      <c r="H73" t="inlineStr">
        <is>
          <t>Bergvik skog väst AB</t>
        </is>
      </c>
      <c r="I73" t="n">
        <v>5.3</v>
      </c>
      <c r="J73" t="n">
        <v>0</v>
      </c>
      <c r="K73" t="n">
        <v>0</v>
      </c>
      <c r="L73" t="n">
        <v>0</v>
      </c>
      <c r="M73" t="n">
        <v>0</v>
      </c>
      <c r="N73" t="n">
        <v>0</v>
      </c>
      <c r="O73" t="n">
        <v>0</v>
      </c>
      <c r="P73" t="n">
        <v>0</v>
      </c>
      <c r="Q73" t="n">
        <v>0</v>
      </c>
      <c r="R73" t="n">
        <v>0</v>
      </c>
      <c r="S73" t="n">
        <v>0</v>
      </c>
      <c r="T73" t="n">
        <v>0</v>
      </c>
      <c r="U73" t="n">
        <v>0</v>
      </c>
      <c r="V73" s="2" t="inlineStr"/>
    </row>
    <row r="74" ht="15" customHeight="1">
      <c r="A74" t="inlineStr">
        <is>
          <t>A 52498-2025</t>
        </is>
      </c>
      <c r="B74" t="inlineStr">
        <is>
          <t>avverkningsanmälan</t>
        </is>
      </c>
      <c r="C74" t="inlineStr">
        <is>
          <t>Föryngringsavverkning</t>
        </is>
      </c>
      <c r="D74" s="1" t="n">
        <v>45954</v>
      </c>
      <c r="E74" s="1" t="n">
        <v>46248</v>
      </c>
      <c r="F74" t="inlineStr">
        <is>
          <t>UPPSALA LÄN</t>
        </is>
      </c>
      <c r="G74" t="inlineStr">
        <is>
          <t>ÄLVKARLEBY</t>
        </is>
      </c>
      <c r="H74" t="inlineStr">
        <is>
          <t>Bergvik skog väst AB</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53184-2025</t>
        </is>
      </c>
      <c r="B75" t="inlineStr">
        <is>
          <t>avverkningsanmälan</t>
        </is>
      </c>
      <c r="C75" t="inlineStr">
        <is>
          <t>Föryngringsavverkning</t>
        </is>
      </c>
      <c r="D75" s="1" t="n">
        <v>45958</v>
      </c>
      <c r="E75" s="1" t="n">
        <v>46248</v>
      </c>
      <c r="F75" t="inlineStr">
        <is>
          <t>UPPSALA LÄN</t>
        </is>
      </c>
      <c r="G75" t="inlineStr">
        <is>
          <t>ÄLVKARLEBY</t>
        </is>
      </c>
      <c r="H75" t="inlineStr">
        <is>
          <t>Bergvik skog väst AB</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53173-2025</t>
        </is>
      </c>
      <c r="B76" t="inlineStr">
        <is>
          <t>avverkningsanmälan</t>
        </is>
      </c>
      <c r="C76" t="inlineStr">
        <is>
          <t>Föryngringsavverkning</t>
        </is>
      </c>
      <c r="D76" s="1" t="n">
        <v>45958</v>
      </c>
      <c r="E76" s="1" t="n">
        <v>46248</v>
      </c>
      <c r="F76" t="inlineStr">
        <is>
          <t>UPPSALA LÄN</t>
        </is>
      </c>
      <c r="G76" t="inlineStr">
        <is>
          <t>ÄLVKARLEBY</t>
        </is>
      </c>
      <c r="H76" t="inlineStr">
        <is>
          <t>Bergvik skog väst AB</t>
        </is>
      </c>
      <c r="I76" t="n">
        <v>2.3</v>
      </c>
      <c r="J76" t="n">
        <v>0</v>
      </c>
      <c r="K76" t="n">
        <v>0</v>
      </c>
      <c r="L76" t="n">
        <v>0</v>
      </c>
      <c r="M76" t="n">
        <v>0</v>
      </c>
      <c r="N76" t="n">
        <v>0</v>
      </c>
      <c r="O76" t="n">
        <v>0</v>
      </c>
      <c r="P76" t="n">
        <v>0</v>
      </c>
      <c r="Q76" t="n">
        <v>0</v>
      </c>
      <c r="R76" t="n">
        <v>0</v>
      </c>
      <c r="S76" t="n">
        <v>0</v>
      </c>
      <c r="T76" t="n">
        <v>0</v>
      </c>
      <c r="U76" t="n">
        <v>0</v>
      </c>
      <c r="V76" s="2" t="inlineStr"/>
    </row>
    <row r="77" ht="15" customHeight="1">
      <c r="A77" t="inlineStr">
        <is>
          <t>A 56861-2025</t>
        </is>
      </c>
      <c r="B77" t="inlineStr">
        <is>
          <t>avverkningsanmälan</t>
        </is>
      </c>
      <c r="C77" t="inlineStr">
        <is>
          <t>Avverkning för att bevara och utveckla /försöksver</t>
        </is>
      </c>
      <c r="D77" s="1" t="n">
        <v>45978</v>
      </c>
      <c r="E77" s="1" t="n">
        <v>46248</v>
      </c>
      <c r="F77" t="inlineStr">
        <is>
          <t>UPPSALA LÄN</t>
        </is>
      </c>
      <c r="G77" t="inlineStr">
        <is>
          <t>ÄLVKARLEBY</t>
        </is>
      </c>
      <c r="H77" t="inlineStr">
        <is>
          <t>Bergvik skog väst AB</t>
        </is>
      </c>
      <c r="I77" t="n">
        <v>1.6</v>
      </c>
      <c r="J77" t="n">
        <v>0</v>
      </c>
      <c r="K77" t="n">
        <v>0</v>
      </c>
      <c r="L77" t="n">
        <v>0</v>
      </c>
      <c r="M77" t="n">
        <v>0</v>
      </c>
      <c r="N77" t="n">
        <v>0</v>
      </c>
      <c r="O77" t="n">
        <v>0</v>
      </c>
      <c r="P77" t="n">
        <v>0</v>
      </c>
      <c r="Q77" t="n">
        <v>0</v>
      </c>
      <c r="R77" t="n">
        <v>0</v>
      </c>
      <c r="S77" t="n">
        <v>0</v>
      </c>
      <c r="T77" t="n">
        <v>0</v>
      </c>
      <c r="U77" t="n">
        <v>0</v>
      </c>
      <c r="V77" s="2" t="inlineStr"/>
    </row>
    <row r="78" ht="15" customHeight="1">
      <c r="A78" t="inlineStr">
        <is>
          <t>A 58168-2025</t>
        </is>
      </c>
      <c r="B78" t="inlineStr">
        <is>
          <t>avverkningsanmälan</t>
        </is>
      </c>
      <c r="C78" t="inlineStr">
        <is>
          <t>Föryngringsavverkning</t>
        </is>
      </c>
      <c r="D78" s="1" t="n">
        <v>45982</v>
      </c>
      <c r="E78" s="1" t="n">
        <v>46248</v>
      </c>
      <c r="F78" t="inlineStr">
        <is>
          <t>UPPSALA LÄN</t>
        </is>
      </c>
      <c r="G78" t="inlineStr">
        <is>
          <t>ÄLVKARLEBY</t>
        </is>
      </c>
      <c r="H78" t="inlineStr">
        <is>
          <t>Bergvik skog väst AB</t>
        </is>
      </c>
      <c r="I78" t="n">
        <v>1.7</v>
      </c>
      <c r="J78" t="n">
        <v>0</v>
      </c>
      <c r="K78" t="n">
        <v>0</v>
      </c>
      <c r="L78" t="n">
        <v>0</v>
      </c>
      <c r="M78" t="n">
        <v>0</v>
      </c>
      <c r="N78" t="n">
        <v>0</v>
      </c>
      <c r="O78" t="n">
        <v>0</v>
      </c>
      <c r="P78" t="n">
        <v>0</v>
      </c>
      <c r="Q78" t="n">
        <v>0</v>
      </c>
      <c r="R78" t="n">
        <v>0</v>
      </c>
      <c r="S78" t="n">
        <v>0</v>
      </c>
      <c r="T78" t="n">
        <v>0</v>
      </c>
      <c r="U78" t="n">
        <v>0</v>
      </c>
      <c r="V78" s="2" t="inlineStr"/>
    </row>
    <row r="79" ht="15" customHeight="1">
      <c r="A79" t="inlineStr">
        <is>
          <t>A 58497-2025</t>
        </is>
      </c>
      <c r="B79" t="inlineStr">
        <is>
          <t>avverkningsanmälan</t>
        </is>
      </c>
      <c r="C79" t="inlineStr">
        <is>
          <t>Föryngringsavverkning</t>
        </is>
      </c>
      <c r="D79" s="1" t="n">
        <v>45985</v>
      </c>
      <c r="E79" s="1" t="n">
        <v>46248</v>
      </c>
      <c r="F79" t="inlineStr">
        <is>
          <t>UPPSALA LÄN</t>
        </is>
      </c>
      <c r="G79" t="inlineStr">
        <is>
          <t>ÄLVKARLEBY</t>
        </is>
      </c>
      <c r="H79" t="inlineStr">
        <is>
          <t>Bergvik skog väst AB</t>
        </is>
      </c>
      <c r="I79" t="n">
        <v>4.6</v>
      </c>
      <c r="J79" t="n">
        <v>0</v>
      </c>
      <c r="K79" t="n">
        <v>0</v>
      </c>
      <c r="L79" t="n">
        <v>0</v>
      </c>
      <c r="M79" t="n">
        <v>0</v>
      </c>
      <c r="N79" t="n">
        <v>0</v>
      </c>
      <c r="O79" t="n">
        <v>0</v>
      </c>
      <c r="P79" t="n">
        <v>0</v>
      </c>
      <c r="Q79" t="n">
        <v>0</v>
      </c>
      <c r="R79" t="n">
        <v>0</v>
      </c>
      <c r="S79" t="n">
        <v>0</v>
      </c>
      <c r="T79" t="n">
        <v>0</v>
      </c>
      <c r="U79" t="n">
        <v>0</v>
      </c>
      <c r="V79" s="2" t="inlineStr"/>
    </row>
    <row r="80" ht="15" customHeight="1">
      <c r="A80" t="inlineStr">
        <is>
          <t>A 60256-2025</t>
        </is>
      </c>
      <c r="B80" t="inlineStr">
        <is>
          <t>avverkningsanmälan</t>
        </is>
      </c>
      <c r="C80" t="inlineStr">
        <is>
          <t>Föryngringsavverkning</t>
        </is>
      </c>
      <c r="D80" s="1" t="n">
        <v>45994</v>
      </c>
      <c r="E80" s="1" t="n">
        <v>46248</v>
      </c>
      <c r="F80" t="inlineStr">
        <is>
          <t>UPPSALA LÄN</t>
        </is>
      </c>
      <c r="G80" t="inlineStr">
        <is>
          <t>ÄLVKARLEBY</t>
        </is>
      </c>
      <c r="I80" t="n">
        <v>1</v>
      </c>
      <c r="J80" t="n">
        <v>0</v>
      </c>
      <c r="K80" t="n">
        <v>0</v>
      </c>
      <c r="L80" t="n">
        <v>0</v>
      </c>
      <c r="M80" t="n">
        <v>0</v>
      </c>
      <c r="N80" t="n">
        <v>0</v>
      </c>
      <c r="O80" t="n">
        <v>0</v>
      </c>
      <c r="P80" t="n">
        <v>0</v>
      </c>
      <c r="Q80" t="n">
        <v>0</v>
      </c>
      <c r="R80" t="n">
        <v>0</v>
      </c>
      <c r="S80" t="n">
        <v>0</v>
      </c>
      <c r="T80" t="n">
        <v>0</v>
      </c>
      <c r="U80" t="n">
        <v>0</v>
      </c>
      <c r="V80" s="2" t="inlineStr"/>
    </row>
    <row r="81" ht="15" customHeight="1">
      <c r="A81" t="inlineStr">
        <is>
          <t>A 60842-2025</t>
        </is>
      </c>
      <c r="B81" t="inlineStr">
        <is>
          <t>avverkningsanmälan</t>
        </is>
      </c>
      <c r="C81" t="inlineStr">
        <is>
          <t>Avverkning för att bevara och utveckla /försöksver</t>
        </is>
      </c>
      <c r="D81" s="1" t="n">
        <v>45999</v>
      </c>
      <c r="E81" s="1" t="n">
        <v>46248</v>
      </c>
      <c r="F81" t="inlineStr">
        <is>
          <t>UPPSALA LÄN</t>
        </is>
      </c>
      <c r="G81" t="inlineStr">
        <is>
          <t>ÄLVKARLEBY</t>
        </is>
      </c>
      <c r="H81" t="inlineStr">
        <is>
          <t>Bergvik skog väst AB</t>
        </is>
      </c>
      <c r="I81" t="n">
        <v>1.9</v>
      </c>
      <c r="J81" t="n">
        <v>0</v>
      </c>
      <c r="K81" t="n">
        <v>0</v>
      </c>
      <c r="L81" t="n">
        <v>0</v>
      </c>
      <c r="M81" t="n">
        <v>0</v>
      </c>
      <c r="N81" t="n">
        <v>0</v>
      </c>
      <c r="O81" t="n">
        <v>0</v>
      </c>
      <c r="P81" t="n">
        <v>0</v>
      </c>
      <c r="Q81" t="n">
        <v>0</v>
      </c>
      <c r="R81" t="n">
        <v>0</v>
      </c>
      <c r="S81" t="n">
        <v>0</v>
      </c>
      <c r="T81" t="n">
        <v>0</v>
      </c>
      <c r="U81" t="n">
        <v>0</v>
      </c>
      <c r="V81" s="2" t="inlineStr"/>
    </row>
    <row r="82" ht="15" customHeight="1">
      <c r="A82" t="inlineStr">
        <is>
          <t>A 61694-2025</t>
        </is>
      </c>
      <c r="B82" t="inlineStr">
        <is>
          <t>avverkningsanmälan</t>
        </is>
      </c>
      <c r="C82" t="inlineStr">
        <is>
          <t>Föryngringsavverkning</t>
        </is>
      </c>
      <c r="D82" s="1" t="n">
        <v>46002</v>
      </c>
      <c r="E82" s="1" t="n">
        <v>46248</v>
      </c>
      <c r="F82" t="inlineStr">
        <is>
          <t>UPPSALA LÄN</t>
        </is>
      </c>
      <c r="G82" t="inlineStr">
        <is>
          <t>ÄLVKARLEBY</t>
        </is>
      </c>
      <c r="H82" t="inlineStr">
        <is>
          <t>Bergvik skog öst AB</t>
        </is>
      </c>
      <c r="I82" t="n">
        <v>1.5</v>
      </c>
      <c r="J82" t="n">
        <v>0</v>
      </c>
      <c r="K82" t="n">
        <v>0</v>
      </c>
      <c r="L82" t="n">
        <v>0</v>
      </c>
      <c r="M82" t="n">
        <v>0</v>
      </c>
      <c r="N82" t="n">
        <v>0</v>
      </c>
      <c r="O82" t="n">
        <v>0</v>
      </c>
      <c r="P82" t="n">
        <v>0</v>
      </c>
      <c r="Q82" t="n">
        <v>0</v>
      </c>
      <c r="R82" t="n">
        <v>0</v>
      </c>
      <c r="S82" t="n">
        <v>0</v>
      </c>
      <c r="T82" t="n">
        <v>0</v>
      </c>
      <c r="U82" t="n">
        <v>0</v>
      </c>
      <c r="V82" s="2" t="inlineStr"/>
    </row>
    <row r="83" ht="15" customHeight="1">
      <c r="A83" t="inlineStr">
        <is>
          <t>A 61691-2025</t>
        </is>
      </c>
      <c r="B83" t="inlineStr">
        <is>
          <t>avverkningsanmälan</t>
        </is>
      </c>
      <c r="C83" t="inlineStr">
        <is>
          <t>Föryngringsavverkning</t>
        </is>
      </c>
      <c r="D83" s="1" t="n">
        <v>46002</v>
      </c>
      <c r="E83" s="1" t="n">
        <v>46248</v>
      </c>
      <c r="F83" t="inlineStr">
        <is>
          <t>UPPSALA LÄN</t>
        </is>
      </c>
      <c r="G83" t="inlineStr">
        <is>
          <t>ÄLVKARLEBY</t>
        </is>
      </c>
      <c r="H83" t="inlineStr">
        <is>
          <t>Bergvik skog öst AB</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62938-2025</t>
        </is>
      </c>
      <c r="B84" t="inlineStr">
        <is>
          <t>avverkningsanmälan</t>
        </is>
      </c>
      <c r="C84" t="inlineStr">
        <is>
          <t>Föryngringsavverkning</t>
        </is>
      </c>
      <c r="D84" s="1" t="n">
        <v>46009</v>
      </c>
      <c r="E84" s="1" t="n">
        <v>46248</v>
      </c>
      <c r="F84" t="inlineStr">
        <is>
          <t>UPPSALA LÄN</t>
        </is>
      </c>
      <c r="G84" t="inlineStr">
        <is>
          <t>ÄLVKARLEBY</t>
        </is>
      </c>
      <c r="H84" t="inlineStr">
        <is>
          <t>Bergvik skog väst AB</t>
        </is>
      </c>
      <c r="I84" t="n">
        <v>10.2</v>
      </c>
      <c r="J84" t="n">
        <v>0</v>
      </c>
      <c r="K84" t="n">
        <v>0</v>
      </c>
      <c r="L84" t="n">
        <v>0</v>
      </c>
      <c r="M84" t="n">
        <v>0</v>
      </c>
      <c r="N84" t="n">
        <v>0</v>
      </c>
      <c r="O84" t="n">
        <v>0</v>
      </c>
      <c r="P84" t="n">
        <v>0</v>
      </c>
      <c r="Q84" t="n">
        <v>0</v>
      </c>
      <c r="R84" t="n">
        <v>0</v>
      </c>
      <c r="S84" t="n">
        <v>0</v>
      </c>
      <c r="T84" t="n">
        <v>0</v>
      </c>
      <c r="U84" t="n">
        <v>0</v>
      </c>
      <c r="V84" s="2" t="inlineStr"/>
    </row>
    <row r="85" ht="15" customHeight="1">
      <c r="A85" t="inlineStr">
        <is>
          <t>A 63365-2025</t>
        </is>
      </c>
      <c r="B85" t="inlineStr">
        <is>
          <t>avverkningsanmälan</t>
        </is>
      </c>
      <c r="C85" t="inlineStr">
        <is>
          <t>Föryngringsavverkning</t>
        </is>
      </c>
      <c r="D85" s="1" t="n">
        <v>46010</v>
      </c>
      <c r="E85" s="1" t="n">
        <v>46248</v>
      </c>
      <c r="F85" t="inlineStr">
        <is>
          <t>UPPSALA LÄN</t>
        </is>
      </c>
      <c r="G85" t="inlineStr">
        <is>
          <t>ÄLVKARLEBY</t>
        </is>
      </c>
      <c r="H85" t="inlineStr">
        <is>
          <t>Bergvik skog väst AB</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61839-2025</t>
        </is>
      </c>
      <c r="B86" t="inlineStr">
        <is>
          <t>avverkningsanmälan</t>
        </is>
      </c>
      <c r="C86" t="inlineStr">
        <is>
          <t>Föryngringsavverkning</t>
        </is>
      </c>
      <c r="D86" s="1" t="n">
        <v>46003</v>
      </c>
      <c r="E86" s="1" t="n">
        <v>46248</v>
      </c>
      <c r="F86" t="inlineStr">
        <is>
          <t>UPPSALA LÄN</t>
        </is>
      </c>
      <c r="G86" t="inlineStr">
        <is>
          <t>ÄLVKARLEBY</t>
        </is>
      </c>
      <c r="H86" t="inlineStr">
        <is>
          <t>Bergvik skog väst AB</t>
        </is>
      </c>
      <c r="I86" t="n">
        <v>2.3</v>
      </c>
      <c r="J86" t="n">
        <v>0</v>
      </c>
      <c r="K86" t="n">
        <v>0</v>
      </c>
      <c r="L86" t="n">
        <v>0</v>
      </c>
      <c r="M86" t="n">
        <v>0</v>
      </c>
      <c r="N86" t="n">
        <v>0</v>
      </c>
      <c r="O86" t="n">
        <v>0</v>
      </c>
      <c r="P86" t="n">
        <v>0</v>
      </c>
      <c r="Q86" t="n">
        <v>0</v>
      </c>
      <c r="R86" t="n">
        <v>0</v>
      </c>
      <c r="S86" t="n">
        <v>0</v>
      </c>
      <c r="T86" t="n">
        <v>0</v>
      </c>
      <c r="U86" t="n">
        <v>0</v>
      </c>
      <c r="V86" s="2" t="inlineStr"/>
    </row>
    <row r="87" ht="15" customHeight="1">
      <c r="A87" t="inlineStr">
        <is>
          <t>A 33485-2026</t>
        </is>
      </c>
      <c r="B87" t="inlineStr">
        <is>
          <t>avverkningsanmälan</t>
        </is>
      </c>
      <c r="C87" t="inlineStr">
        <is>
          <t>Föryngringsavverkning</t>
        </is>
      </c>
      <c r="D87" s="1" t="n">
        <v>46247</v>
      </c>
      <c r="E87" s="1" t="n">
        <v>46248</v>
      </c>
      <c r="F87" t="inlineStr">
        <is>
          <t>UPPSALA LÄN</t>
        </is>
      </c>
      <c r="G87" t="inlineStr">
        <is>
          <t>ÄLVKARLEBY</t>
        </is>
      </c>
      <c r="H87" t="inlineStr">
        <is>
          <t>Bergvik skog öst AB</t>
        </is>
      </c>
      <c r="I87" t="n">
        <v>4.3</v>
      </c>
      <c r="J87" t="n">
        <v>0</v>
      </c>
      <c r="K87" t="n">
        <v>0</v>
      </c>
      <c r="L87" t="n">
        <v>0</v>
      </c>
      <c r="M87" t="n">
        <v>0</v>
      </c>
      <c r="N87" t="n">
        <v>0</v>
      </c>
      <c r="O87" t="n">
        <v>0</v>
      </c>
      <c r="P87" t="n">
        <v>0</v>
      </c>
      <c r="Q87" t="n">
        <v>0</v>
      </c>
      <c r="R87" t="n">
        <v>0</v>
      </c>
      <c r="S87" t="n">
        <v>0</v>
      </c>
      <c r="T87" t="n">
        <v>0</v>
      </c>
      <c r="U87" t="n">
        <v>0</v>
      </c>
      <c r="V87" s="2" t="inlineStr"/>
    </row>
    <row r="88" ht="15" customHeight="1">
      <c r="A88" t="inlineStr">
        <is>
          <t>A 4134-2026</t>
        </is>
      </c>
      <c r="B88" t="inlineStr">
        <is>
          <t>avverkningsanmälan</t>
        </is>
      </c>
      <c r="C88" t="inlineStr">
        <is>
          <t>Föryngringsavverkning</t>
        </is>
      </c>
      <c r="D88" s="1" t="n">
        <v>46044</v>
      </c>
      <c r="E88" s="1" t="n">
        <v>46248</v>
      </c>
      <c r="F88" t="inlineStr">
        <is>
          <t>UPPSALA LÄN</t>
        </is>
      </c>
      <c r="G88" t="inlineStr">
        <is>
          <t>ÄLVKARLEBY</t>
        </is>
      </c>
      <c r="H88" t="inlineStr">
        <is>
          <t>Bergvik skog öst AB</t>
        </is>
      </c>
      <c r="I88" t="n">
        <v>5.1</v>
      </c>
      <c r="J88" t="n">
        <v>0</v>
      </c>
      <c r="K88" t="n">
        <v>0</v>
      </c>
      <c r="L88" t="n">
        <v>0</v>
      </c>
      <c r="M88" t="n">
        <v>0</v>
      </c>
      <c r="N88" t="n">
        <v>0</v>
      </c>
      <c r="O88" t="n">
        <v>0</v>
      </c>
      <c r="P88" t="n">
        <v>0</v>
      </c>
      <c r="Q88" t="n">
        <v>0</v>
      </c>
      <c r="R88" t="n">
        <v>0</v>
      </c>
      <c r="S88" t="n">
        <v>0</v>
      </c>
      <c r="T88" t="n">
        <v>0</v>
      </c>
      <c r="U88" t="n">
        <v>0</v>
      </c>
      <c r="V88" s="2" t="inlineStr"/>
    </row>
    <row r="89" ht="15" customHeight="1">
      <c r="A89" t="inlineStr">
        <is>
          <t>A 9394-2026</t>
        </is>
      </c>
      <c r="B89" t="inlineStr">
        <is>
          <t>avverkningsanmälan</t>
        </is>
      </c>
      <c r="C89" t="inlineStr">
        <is>
          <t>Föryngringsavverkning</t>
        </is>
      </c>
      <c r="D89" s="1" t="n">
        <v>46071</v>
      </c>
      <c r="E89" s="1" t="n">
        <v>46248</v>
      </c>
      <c r="F89" t="inlineStr">
        <is>
          <t>UPPSALA LÄN</t>
        </is>
      </c>
      <c r="G89" t="inlineStr">
        <is>
          <t>ÄLVKARLEBY</t>
        </is>
      </c>
      <c r="H89" t="inlineStr">
        <is>
          <t>Bergvik skog väst AB</t>
        </is>
      </c>
      <c r="I89" t="n">
        <v>2.2</v>
      </c>
      <c r="J89" t="n">
        <v>0</v>
      </c>
      <c r="K89" t="n">
        <v>0</v>
      </c>
      <c r="L89" t="n">
        <v>0</v>
      </c>
      <c r="M89" t="n">
        <v>0</v>
      </c>
      <c r="N89" t="n">
        <v>0</v>
      </c>
      <c r="O89" t="n">
        <v>0</v>
      </c>
      <c r="P89" t="n">
        <v>0</v>
      </c>
      <c r="Q89" t="n">
        <v>0</v>
      </c>
      <c r="R89" t="n">
        <v>0</v>
      </c>
      <c r="S89" t="n">
        <v>0</v>
      </c>
      <c r="T89" t="n">
        <v>0</v>
      </c>
      <c r="U89" t="n">
        <v>0</v>
      </c>
      <c r="V89" s="2" t="inlineStr"/>
    </row>
    <row r="90" ht="15" customHeight="1">
      <c r="A90" t="inlineStr">
        <is>
          <t>A 11467-2026</t>
        </is>
      </c>
      <c r="B90" t="inlineStr">
        <is>
          <t>avverkningsanmälan</t>
        </is>
      </c>
      <c r="C90" t="inlineStr">
        <is>
          <t>Föryngringsavverkning</t>
        </is>
      </c>
      <c r="D90" s="1" t="n">
        <v>46083</v>
      </c>
      <c r="E90" s="1" t="n">
        <v>46248</v>
      </c>
      <c r="F90" t="inlineStr">
        <is>
          <t>UPPSALA LÄN</t>
        </is>
      </c>
      <c r="G90" t="inlineStr">
        <is>
          <t>ÄLVKARLEBY</t>
        </is>
      </c>
      <c r="H90" t="inlineStr">
        <is>
          <t>Bergvik skog väst AB</t>
        </is>
      </c>
      <c r="I90" t="n">
        <v>1.6</v>
      </c>
      <c r="J90" t="n">
        <v>0</v>
      </c>
      <c r="K90" t="n">
        <v>0</v>
      </c>
      <c r="L90" t="n">
        <v>0</v>
      </c>
      <c r="M90" t="n">
        <v>0</v>
      </c>
      <c r="N90" t="n">
        <v>0</v>
      </c>
      <c r="O90" t="n">
        <v>0</v>
      </c>
      <c r="P90" t="n">
        <v>0</v>
      </c>
      <c r="Q90" t="n">
        <v>0</v>
      </c>
      <c r="R90" t="n">
        <v>0</v>
      </c>
      <c r="S90" t="n">
        <v>0</v>
      </c>
      <c r="T90" t="n">
        <v>0</v>
      </c>
      <c r="U90" t="n">
        <v>0</v>
      </c>
      <c r="V90" s="2" t="inlineStr"/>
    </row>
    <row r="91" ht="15" customHeight="1">
      <c r="A91" t="inlineStr">
        <is>
          <t>A 11848-2026</t>
        </is>
      </c>
      <c r="B91" t="inlineStr">
        <is>
          <t>avverkningsanmälan</t>
        </is>
      </c>
      <c r="C91" t="inlineStr">
        <is>
          <t>Föryngringsavverkning</t>
        </is>
      </c>
      <c r="D91" s="1" t="n">
        <v>46085</v>
      </c>
      <c r="E91" s="1" t="n">
        <v>46248</v>
      </c>
      <c r="F91" t="inlineStr">
        <is>
          <t>UPPSALA LÄN</t>
        </is>
      </c>
      <c r="G91" t="inlineStr">
        <is>
          <t>ÄLVKARLEBY</t>
        </is>
      </c>
      <c r="H91" t="inlineStr">
        <is>
          <t>Bergvik skog väst AB</t>
        </is>
      </c>
      <c r="I91" t="n">
        <v>1.6</v>
      </c>
      <c r="J91" t="n">
        <v>0</v>
      </c>
      <c r="K91" t="n">
        <v>0</v>
      </c>
      <c r="L91" t="n">
        <v>0</v>
      </c>
      <c r="M91" t="n">
        <v>0</v>
      </c>
      <c r="N91" t="n">
        <v>0</v>
      </c>
      <c r="O91" t="n">
        <v>0</v>
      </c>
      <c r="P91" t="n">
        <v>0</v>
      </c>
      <c r="Q91" t="n">
        <v>0</v>
      </c>
      <c r="R91" t="n">
        <v>0</v>
      </c>
      <c r="S91" t="n">
        <v>0</v>
      </c>
      <c r="T91" t="n">
        <v>0</v>
      </c>
      <c r="U91" t="n">
        <v>0</v>
      </c>
      <c r="V91" s="2" t="inlineStr"/>
    </row>
    <row r="92" ht="15" customHeight="1">
      <c r="A92" t="inlineStr">
        <is>
          <t>A 14091-2026</t>
        </is>
      </c>
      <c r="B92" t="inlineStr">
        <is>
          <t>avverkningsanmälan</t>
        </is>
      </c>
      <c r="C92" t="inlineStr">
        <is>
          <t>Föryngringsavverkning</t>
        </is>
      </c>
      <c r="D92" s="1" t="n">
        <v>46099</v>
      </c>
      <c r="E92" s="1" t="n">
        <v>46248</v>
      </c>
      <c r="F92" t="inlineStr">
        <is>
          <t>UPPSALA LÄN</t>
        </is>
      </c>
      <c r="G92" t="inlineStr">
        <is>
          <t>ÄLVKARLEBY</t>
        </is>
      </c>
      <c r="I92" t="n">
        <v>0.7</v>
      </c>
      <c r="J92" t="n">
        <v>0</v>
      </c>
      <c r="K92" t="n">
        <v>0</v>
      </c>
      <c r="L92" t="n">
        <v>0</v>
      </c>
      <c r="M92" t="n">
        <v>0</v>
      </c>
      <c r="N92" t="n">
        <v>0</v>
      </c>
      <c r="O92" t="n">
        <v>0</v>
      </c>
      <c r="P92" t="n">
        <v>0</v>
      </c>
      <c r="Q92" t="n">
        <v>0</v>
      </c>
      <c r="R92" t="n">
        <v>0</v>
      </c>
      <c r="S92" t="n">
        <v>0</v>
      </c>
      <c r="T92" t="n">
        <v>0</v>
      </c>
      <c r="U92" t="n">
        <v>0</v>
      </c>
      <c r="V92" s="2" t="inlineStr"/>
    </row>
    <row r="93">
      <c r="A93" t="inlineStr">
        <is>
          <t>A 17851-2026</t>
        </is>
      </c>
      <c r="B93" t="inlineStr">
        <is>
          <t>avverkningsanmälan</t>
        </is>
      </c>
      <c r="C93" t="inlineStr">
        <is>
          <t>Föryngringsavverkning</t>
        </is>
      </c>
      <c r="D93" s="1" t="n">
        <v>46122</v>
      </c>
      <c r="E93" s="1" t="n">
        <v>46248</v>
      </c>
      <c r="F93" t="inlineStr">
        <is>
          <t>UPPSALA LÄN</t>
        </is>
      </c>
      <c r="G93" t="inlineStr">
        <is>
          <t>ÄLVKARLEBY</t>
        </is>
      </c>
      <c r="H93" t="inlineStr">
        <is>
          <t>Bergvik skog öst AB</t>
        </is>
      </c>
      <c r="I93" t="n">
        <v>3.6</v>
      </c>
      <c r="J93" t="n">
        <v>0</v>
      </c>
      <c r="K93" t="n">
        <v>0</v>
      </c>
      <c r="L93" t="n">
        <v>0</v>
      </c>
      <c r="M93" t="n">
        <v>0</v>
      </c>
      <c r="N93" t="n">
        <v>0</v>
      </c>
      <c r="O93" t="n">
        <v>0</v>
      </c>
      <c r="P93" t="n">
        <v>0</v>
      </c>
      <c r="Q93" t="n">
        <v>0</v>
      </c>
      <c r="R93" t="n">
        <v>0</v>
      </c>
      <c r="S93" t="n">
        <v>0</v>
      </c>
      <c r="T93" t="n">
        <v>0</v>
      </c>
      <c r="U93" t="n">
        <v>0</v>
      </c>
      <c r="V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2026-08-14T01:57:16Z</dcterms:created>
  <dcterms:modified xmlns:dcterms="http://purl.org/dc/terms/" xmlns:xsi="http://www.w3.org/2001/XMLSchema-instance" xsi:type="dcterms:W3CDTF">2026-08-14T01:57:16Z</dcterms:modified>
</cp:coreProperties>
</file>