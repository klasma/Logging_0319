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45981</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45981</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45981</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45981</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21007-2025</t>
        </is>
      </c>
      <c r="B16" s="1" t="n">
        <v>45777</v>
      </c>
      <c r="C16" s="1" t="n">
        <v>45981</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10455-2022</t>
        </is>
      </c>
      <c r="B17" s="1" t="n">
        <v>44623</v>
      </c>
      <c r="C17" s="1" t="n">
        <v>45981</v>
      </c>
      <c r="D17" t="inlineStr">
        <is>
          <t>UPPSALA LÄN</t>
        </is>
      </c>
      <c r="E17" t="inlineStr">
        <is>
          <t>ÄLVKARLEBY</t>
        </is>
      </c>
      <c r="F17" t="inlineStr">
        <is>
          <t>Bergvik skog öst AB</t>
        </is>
      </c>
      <c r="G17" t="n">
        <v>1.1</v>
      </c>
      <c r="H17" t="n">
        <v>0</v>
      </c>
      <c r="I17" t="n">
        <v>0</v>
      </c>
      <c r="J17" t="n">
        <v>1</v>
      </c>
      <c r="K17" t="n">
        <v>0</v>
      </c>
      <c r="L17" t="n">
        <v>0</v>
      </c>
      <c r="M17" t="n">
        <v>0</v>
      </c>
      <c r="N17" t="n">
        <v>0</v>
      </c>
      <c r="O17" t="n">
        <v>1</v>
      </c>
      <c r="P17" t="n">
        <v>0</v>
      </c>
      <c r="Q17" t="n">
        <v>1</v>
      </c>
      <c r="R17" s="2" t="inlineStr">
        <is>
          <t>Sandviol</t>
        </is>
      </c>
      <c r="S17">
        <f>HYPERLINK("https://klasma.github.io/Logging_0319/artfynd/A 10455-2022 artfynd.xlsx", "A 10455-2022")</f>
        <v/>
      </c>
      <c r="T17">
        <f>HYPERLINK("https://klasma.github.io/Logging_0319/kartor/A 10455-2022 karta.png", "A 10455-2022")</f>
        <v/>
      </c>
      <c r="V17">
        <f>HYPERLINK("https://klasma.github.io/Logging_0319/klagomål/A 10455-2022 FSC-klagomål.docx", "A 10455-2022")</f>
        <v/>
      </c>
      <c r="W17">
        <f>HYPERLINK("https://klasma.github.io/Logging_0319/klagomålsmail/A 10455-2022 FSC-klagomål mail.docx", "A 10455-2022")</f>
        <v/>
      </c>
      <c r="X17">
        <f>HYPERLINK("https://klasma.github.io/Logging_0319/tillsyn/A 10455-2022 tillsynsbegäran.docx", "A 10455-2022")</f>
        <v/>
      </c>
      <c r="Y17">
        <f>HYPERLINK("https://klasma.github.io/Logging_0319/tillsynsmail/A 10455-2022 tillsynsbegäran mail.docx", "A 10455-2022")</f>
        <v/>
      </c>
    </row>
    <row r="18" ht="15" customHeight="1">
      <c r="A18" t="inlineStr">
        <is>
          <t>A 39902-2025</t>
        </is>
      </c>
      <c r="B18" s="1" t="n">
        <v>45891.63597222222</v>
      </c>
      <c r="C18" s="1" t="n">
        <v>45981</v>
      </c>
      <c r="D18" t="inlineStr">
        <is>
          <t>UPPSALA LÄN</t>
        </is>
      </c>
      <c r="E18" t="inlineStr">
        <is>
          <t>ÄLVKARLEBY</t>
        </is>
      </c>
      <c r="F18" t="inlineStr">
        <is>
          <t>Bergvik skog väst AB</t>
        </is>
      </c>
      <c r="G18" t="n">
        <v>11.2</v>
      </c>
      <c r="H18" t="n">
        <v>0</v>
      </c>
      <c r="I18" t="n">
        <v>1</v>
      </c>
      <c r="J18" t="n">
        <v>0</v>
      </c>
      <c r="K18" t="n">
        <v>0</v>
      </c>
      <c r="L18" t="n">
        <v>0</v>
      </c>
      <c r="M18" t="n">
        <v>0</v>
      </c>
      <c r="N18" t="n">
        <v>0</v>
      </c>
      <c r="O18" t="n">
        <v>0</v>
      </c>
      <c r="P18" t="n">
        <v>0</v>
      </c>
      <c r="Q18" t="n">
        <v>1</v>
      </c>
      <c r="R18" s="2" t="inlineStr">
        <is>
          <t>Anisspindling</t>
        </is>
      </c>
      <c r="S18">
        <f>HYPERLINK("https://klasma.github.io/Logging_0319/artfynd/A 39902-2025 artfynd.xlsx", "A 39902-2025")</f>
        <v/>
      </c>
      <c r="T18">
        <f>HYPERLINK("https://klasma.github.io/Logging_0319/kartor/A 39902-2025 karta.png", "A 39902-2025")</f>
        <v/>
      </c>
      <c r="V18">
        <f>HYPERLINK("https://klasma.github.io/Logging_0319/klagomål/A 39902-2025 FSC-klagomål.docx", "A 39902-2025")</f>
        <v/>
      </c>
      <c r="W18">
        <f>HYPERLINK("https://klasma.github.io/Logging_0319/klagomålsmail/A 39902-2025 FSC-klagomål mail.docx", "A 39902-2025")</f>
        <v/>
      </c>
      <c r="X18">
        <f>HYPERLINK("https://klasma.github.io/Logging_0319/tillsyn/A 39902-2025 tillsynsbegäran.docx", "A 39902-2025")</f>
        <v/>
      </c>
      <c r="Y18">
        <f>HYPERLINK("https://klasma.github.io/Logging_0319/tillsynsmail/A 39902-2025 tillsynsbegäran mail.docx", "A 39902-2025")</f>
        <v/>
      </c>
    </row>
    <row r="19" ht="15" customHeight="1">
      <c r="A19" t="inlineStr">
        <is>
          <t>A 66277-2020</t>
        </is>
      </c>
      <c r="B19" s="1" t="n">
        <v>44176</v>
      </c>
      <c r="C19" s="1" t="n">
        <v>45981</v>
      </c>
      <c r="D19" t="inlineStr">
        <is>
          <t>UPPSALA LÄN</t>
        </is>
      </c>
      <c r="E19" t="inlineStr">
        <is>
          <t>ÄLVKARLEBY</t>
        </is>
      </c>
      <c r="F19" t="inlineStr">
        <is>
          <t>Bergvik skog väst AB</t>
        </is>
      </c>
      <c r="G19" t="n">
        <v>2.6</v>
      </c>
      <c r="H19" t="n">
        <v>1</v>
      </c>
      <c r="I19" t="n">
        <v>0</v>
      </c>
      <c r="J19" t="n">
        <v>0</v>
      </c>
      <c r="K19" t="n">
        <v>0</v>
      </c>
      <c r="L19" t="n">
        <v>0</v>
      </c>
      <c r="M19" t="n">
        <v>0</v>
      </c>
      <c r="N19" t="n">
        <v>0</v>
      </c>
      <c r="O19" t="n">
        <v>0</v>
      </c>
      <c r="P19" t="n">
        <v>0</v>
      </c>
      <c r="Q19" t="n">
        <v>1</v>
      </c>
      <c r="R19" s="2" t="inlineStr">
        <is>
          <t>Vanlig padda</t>
        </is>
      </c>
      <c r="S19">
        <f>HYPERLINK("https://klasma.github.io/Logging_0319/artfynd/A 66277-2020 artfynd.xlsx", "A 66277-2020")</f>
        <v/>
      </c>
      <c r="T19">
        <f>HYPERLINK("https://klasma.github.io/Logging_0319/kartor/A 66277-2020 karta.png", "A 66277-2020")</f>
        <v/>
      </c>
      <c r="V19">
        <f>HYPERLINK("https://klasma.github.io/Logging_0319/klagomål/A 66277-2020 FSC-klagomål.docx", "A 66277-2020")</f>
        <v/>
      </c>
      <c r="W19">
        <f>HYPERLINK("https://klasma.github.io/Logging_0319/klagomålsmail/A 66277-2020 FSC-klagomål mail.docx", "A 66277-2020")</f>
        <v/>
      </c>
      <c r="X19">
        <f>HYPERLINK("https://klasma.github.io/Logging_0319/tillsyn/A 66277-2020 tillsynsbegäran.docx", "A 66277-2020")</f>
        <v/>
      </c>
      <c r="Y19">
        <f>HYPERLINK("https://klasma.github.io/Logging_0319/tillsynsmail/A 66277-2020 tillsynsbegäran mail.docx", "A 66277-2020")</f>
        <v/>
      </c>
    </row>
    <row r="20" ht="15" customHeight="1">
      <c r="A20" t="inlineStr">
        <is>
          <t>A 21700-2024</t>
        </is>
      </c>
      <c r="B20" s="1" t="n">
        <v>45442</v>
      </c>
      <c r="C20" s="1" t="n">
        <v>45981</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19300-2024</t>
        </is>
      </c>
      <c r="B21" s="1" t="n">
        <v>45428.70128472222</v>
      </c>
      <c r="C21" s="1" t="n">
        <v>45981</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45981</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9521-2025</t>
        </is>
      </c>
      <c r="B23" s="1" t="n">
        <v>45715.56259259259</v>
      </c>
      <c r="C23" s="1" t="n">
        <v>45981</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45981</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45981</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45981</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46113-2023</t>
        </is>
      </c>
      <c r="B27" s="1" t="n">
        <v>45196.54938657407</v>
      </c>
      <c r="C27" s="1" t="n">
        <v>45981</v>
      </c>
      <c r="D27" t="inlineStr">
        <is>
          <t>UPPSALA LÄN</t>
        </is>
      </c>
      <c r="E27" t="inlineStr">
        <is>
          <t>ÄLVKARLEBY</t>
        </is>
      </c>
      <c r="F27" t="inlineStr">
        <is>
          <t>Bergvik skog väst AB</t>
        </is>
      </c>
      <c r="G27" t="n">
        <v>0.6</v>
      </c>
      <c r="H27" t="n">
        <v>0</v>
      </c>
      <c r="I27" t="n">
        <v>0</v>
      </c>
      <c r="J27" t="n">
        <v>0</v>
      </c>
      <c r="K27" t="n">
        <v>0</v>
      </c>
      <c r="L27" t="n">
        <v>0</v>
      </c>
      <c r="M27" t="n">
        <v>0</v>
      </c>
      <c r="N27" t="n">
        <v>0</v>
      </c>
      <c r="O27" t="n">
        <v>0</v>
      </c>
      <c r="P27" t="n">
        <v>0</v>
      </c>
      <c r="Q27" t="n">
        <v>0</v>
      </c>
      <c r="R27" s="2" t="inlineStr"/>
    </row>
    <row r="28" ht="15" customHeight="1">
      <c r="A28" t="inlineStr">
        <is>
          <t>A 41979-2024</t>
        </is>
      </c>
      <c r="B28" s="1" t="n">
        <v>45561</v>
      </c>
      <c r="C28" s="1" t="n">
        <v>45981</v>
      </c>
      <c r="D28" t="inlineStr">
        <is>
          <t>UPPSALA LÄN</t>
        </is>
      </c>
      <c r="E28" t="inlineStr">
        <is>
          <t>ÄLVKARLEBY</t>
        </is>
      </c>
      <c r="F28" t="inlineStr">
        <is>
          <t>Bergvik skog väst AB</t>
        </is>
      </c>
      <c r="G28" t="n">
        <v>2.8</v>
      </c>
      <c r="H28" t="n">
        <v>0</v>
      </c>
      <c r="I28" t="n">
        <v>0</v>
      </c>
      <c r="J28" t="n">
        <v>0</v>
      </c>
      <c r="K28" t="n">
        <v>0</v>
      </c>
      <c r="L28" t="n">
        <v>0</v>
      </c>
      <c r="M28" t="n">
        <v>0</v>
      </c>
      <c r="N28" t="n">
        <v>0</v>
      </c>
      <c r="O28" t="n">
        <v>0</v>
      </c>
      <c r="P28" t="n">
        <v>0</v>
      </c>
      <c r="Q28" t="n">
        <v>0</v>
      </c>
      <c r="R28" s="2" t="inlineStr"/>
    </row>
    <row r="29" ht="15" customHeight="1">
      <c r="A29" t="inlineStr">
        <is>
          <t>A 19304-2024</t>
        </is>
      </c>
      <c r="B29" s="1" t="n">
        <v>45428</v>
      </c>
      <c r="C29" s="1" t="n">
        <v>45981</v>
      </c>
      <c r="D29" t="inlineStr">
        <is>
          <t>UPPSALA LÄN</t>
        </is>
      </c>
      <c r="E29" t="inlineStr">
        <is>
          <t>ÄLVKARLEBY</t>
        </is>
      </c>
      <c r="G29" t="n">
        <v>0.2</v>
      </c>
      <c r="H29" t="n">
        <v>0</v>
      </c>
      <c r="I29" t="n">
        <v>0</v>
      </c>
      <c r="J29" t="n">
        <v>0</v>
      </c>
      <c r="K29" t="n">
        <v>0</v>
      </c>
      <c r="L29" t="n">
        <v>0</v>
      </c>
      <c r="M29" t="n">
        <v>0</v>
      </c>
      <c r="N29" t="n">
        <v>0</v>
      </c>
      <c r="O29" t="n">
        <v>0</v>
      </c>
      <c r="P29" t="n">
        <v>0</v>
      </c>
      <c r="Q29" t="n">
        <v>0</v>
      </c>
      <c r="R29" s="2" t="inlineStr"/>
    </row>
    <row r="30" ht="15" customHeight="1">
      <c r="A30" t="inlineStr">
        <is>
          <t>A 19697-2025</t>
        </is>
      </c>
      <c r="B30" s="1" t="n">
        <v>45771</v>
      </c>
      <c r="C30" s="1" t="n">
        <v>45981</v>
      </c>
      <c r="D30" t="inlineStr">
        <is>
          <t>UPPSALA LÄN</t>
        </is>
      </c>
      <c r="E30" t="inlineStr">
        <is>
          <t>ÄLVKARLEBY</t>
        </is>
      </c>
      <c r="F30" t="inlineStr">
        <is>
          <t>Bergvik skog väst AB</t>
        </is>
      </c>
      <c r="G30" t="n">
        <v>3.3</v>
      </c>
      <c r="H30" t="n">
        <v>0</v>
      </c>
      <c r="I30" t="n">
        <v>0</v>
      </c>
      <c r="J30" t="n">
        <v>0</v>
      </c>
      <c r="K30" t="n">
        <v>0</v>
      </c>
      <c r="L30" t="n">
        <v>0</v>
      </c>
      <c r="M30" t="n">
        <v>0</v>
      </c>
      <c r="N30" t="n">
        <v>0</v>
      </c>
      <c r="O30" t="n">
        <v>0</v>
      </c>
      <c r="P30" t="n">
        <v>0</v>
      </c>
      <c r="Q30" t="n">
        <v>0</v>
      </c>
      <c r="R30" s="2" t="inlineStr"/>
    </row>
    <row r="31" ht="15" customHeight="1">
      <c r="A31" t="inlineStr">
        <is>
          <t>A 19740-2025</t>
        </is>
      </c>
      <c r="B31" s="1" t="n">
        <v>45771</v>
      </c>
      <c r="C31" s="1" t="n">
        <v>45981</v>
      </c>
      <c r="D31" t="inlineStr">
        <is>
          <t>UPPSALA LÄN</t>
        </is>
      </c>
      <c r="E31" t="inlineStr">
        <is>
          <t>ÄLVKARLEBY</t>
        </is>
      </c>
      <c r="F31" t="inlineStr">
        <is>
          <t>Bergvik skog väst AB</t>
        </is>
      </c>
      <c r="G31" t="n">
        <v>0.7</v>
      </c>
      <c r="H31" t="n">
        <v>0</v>
      </c>
      <c r="I31" t="n">
        <v>0</v>
      </c>
      <c r="J31" t="n">
        <v>0</v>
      </c>
      <c r="K31" t="n">
        <v>0</v>
      </c>
      <c r="L31" t="n">
        <v>0</v>
      </c>
      <c r="M31" t="n">
        <v>0</v>
      </c>
      <c r="N31" t="n">
        <v>0</v>
      </c>
      <c r="O31" t="n">
        <v>0</v>
      </c>
      <c r="P31" t="n">
        <v>0</v>
      </c>
      <c r="Q31" t="n">
        <v>0</v>
      </c>
      <c r="R31" s="2" t="inlineStr"/>
    </row>
    <row r="32" ht="15" customHeight="1">
      <c r="A32" t="inlineStr">
        <is>
          <t>A 18451-2025</t>
        </is>
      </c>
      <c r="B32" s="1" t="n">
        <v>45762</v>
      </c>
      <c r="C32" s="1" t="n">
        <v>45981</v>
      </c>
      <c r="D32" t="inlineStr">
        <is>
          <t>UPPSALA LÄN</t>
        </is>
      </c>
      <c r="E32" t="inlineStr">
        <is>
          <t>ÄLVKARLEBY</t>
        </is>
      </c>
      <c r="F32" t="inlineStr">
        <is>
          <t>Bergvik skog väst AB</t>
        </is>
      </c>
      <c r="G32" t="n">
        <v>1.2</v>
      </c>
      <c r="H32" t="n">
        <v>0</v>
      </c>
      <c r="I32" t="n">
        <v>0</v>
      </c>
      <c r="J32" t="n">
        <v>0</v>
      </c>
      <c r="K32" t="n">
        <v>0</v>
      </c>
      <c r="L32" t="n">
        <v>0</v>
      </c>
      <c r="M32" t="n">
        <v>0</v>
      </c>
      <c r="N32" t="n">
        <v>0</v>
      </c>
      <c r="O32" t="n">
        <v>0</v>
      </c>
      <c r="P32" t="n">
        <v>0</v>
      </c>
      <c r="Q32" t="n">
        <v>0</v>
      </c>
      <c r="R32" s="2" t="inlineStr"/>
    </row>
    <row r="33" ht="15" customHeight="1">
      <c r="A33" t="inlineStr">
        <is>
          <t>A 22223-2025</t>
        </is>
      </c>
      <c r="B33" s="1" t="n">
        <v>45785</v>
      </c>
      <c r="C33" s="1" t="n">
        <v>45981</v>
      </c>
      <c r="D33" t="inlineStr">
        <is>
          <t>UPPSALA LÄN</t>
        </is>
      </c>
      <c r="E33" t="inlineStr">
        <is>
          <t>ÄLVKARLEBY</t>
        </is>
      </c>
      <c r="F33" t="inlineStr">
        <is>
          <t>Bergvik skog väst AB</t>
        </is>
      </c>
      <c r="G33" t="n">
        <v>1.3</v>
      </c>
      <c r="H33" t="n">
        <v>0</v>
      </c>
      <c r="I33" t="n">
        <v>0</v>
      </c>
      <c r="J33" t="n">
        <v>0</v>
      </c>
      <c r="K33" t="n">
        <v>0</v>
      </c>
      <c r="L33" t="n">
        <v>0</v>
      </c>
      <c r="M33" t="n">
        <v>0</v>
      </c>
      <c r="N33" t="n">
        <v>0</v>
      </c>
      <c r="O33" t="n">
        <v>0</v>
      </c>
      <c r="P33" t="n">
        <v>0</v>
      </c>
      <c r="Q33" t="n">
        <v>0</v>
      </c>
      <c r="R33" s="2" t="inlineStr"/>
    </row>
    <row r="34" ht="15" customHeight="1">
      <c r="A34" t="inlineStr">
        <is>
          <t>A 16990-2022</t>
        </is>
      </c>
      <c r="B34" s="1" t="n">
        <v>44676.6122337963</v>
      </c>
      <c r="C34" s="1" t="n">
        <v>45981</v>
      </c>
      <c r="D34" t="inlineStr">
        <is>
          <t>UPPSALA LÄN</t>
        </is>
      </c>
      <c r="E34" t="inlineStr">
        <is>
          <t>ÄLVKARLEBY</t>
        </is>
      </c>
      <c r="F34" t="inlineStr">
        <is>
          <t>Bergvik skog väst AB</t>
        </is>
      </c>
      <c r="G34" t="n">
        <v>2.6</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45981</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50138-2025</t>
        </is>
      </c>
      <c r="B36" s="1" t="n">
        <v>45943.5653125</v>
      </c>
      <c r="C36" s="1" t="n">
        <v>45981</v>
      </c>
      <c r="D36" t="inlineStr">
        <is>
          <t>UPPSALA LÄN</t>
        </is>
      </c>
      <c r="E36" t="inlineStr">
        <is>
          <t>ÄLVKARLEBY</t>
        </is>
      </c>
      <c r="F36" t="inlineStr">
        <is>
          <t>Bergvik skog väst AB</t>
        </is>
      </c>
      <c r="G36" t="n">
        <v>1.8</v>
      </c>
      <c r="H36" t="n">
        <v>0</v>
      </c>
      <c r="I36" t="n">
        <v>0</v>
      </c>
      <c r="J36" t="n">
        <v>0</v>
      </c>
      <c r="K36" t="n">
        <v>0</v>
      </c>
      <c r="L36" t="n">
        <v>0</v>
      </c>
      <c r="M36" t="n">
        <v>0</v>
      </c>
      <c r="N36" t="n">
        <v>0</v>
      </c>
      <c r="O36" t="n">
        <v>0</v>
      </c>
      <c r="P36" t="n">
        <v>0</v>
      </c>
      <c r="Q36" t="n">
        <v>0</v>
      </c>
      <c r="R36" s="2" t="inlineStr"/>
    </row>
    <row r="37" ht="15" customHeight="1">
      <c r="A37" t="inlineStr">
        <is>
          <t>A 50113-2025</t>
        </is>
      </c>
      <c r="B37" s="1" t="n">
        <v>45943.54452546296</v>
      </c>
      <c r="C37" s="1" t="n">
        <v>45981</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41615-2025</t>
        </is>
      </c>
      <c r="B38" s="1" t="n">
        <v>45901.69556712963</v>
      </c>
      <c r="C38" s="1" t="n">
        <v>45981</v>
      </c>
      <c r="D38" t="inlineStr">
        <is>
          <t>UPPSALA LÄN</t>
        </is>
      </c>
      <c r="E38" t="inlineStr">
        <is>
          <t>ÄLVKARLEBY</t>
        </is>
      </c>
      <c r="F38" t="inlineStr">
        <is>
          <t>Bergvik skog väst AB</t>
        </is>
      </c>
      <c r="G38" t="n">
        <v>3</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45981</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50371-2025</t>
        </is>
      </c>
      <c r="B40" s="1" t="n">
        <v>45944.58696759259</v>
      </c>
      <c r="C40" s="1" t="n">
        <v>45981</v>
      </c>
      <c r="D40" t="inlineStr">
        <is>
          <t>UPPSALA LÄN</t>
        </is>
      </c>
      <c r="E40" t="inlineStr">
        <is>
          <t>ÄLVKARLEBY</t>
        </is>
      </c>
      <c r="F40" t="inlineStr">
        <is>
          <t>Bergvik skog väst AB</t>
        </is>
      </c>
      <c r="G40" t="n">
        <v>1.4</v>
      </c>
      <c r="H40" t="n">
        <v>0</v>
      </c>
      <c r="I40" t="n">
        <v>0</v>
      </c>
      <c r="J40" t="n">
        <v>0</v>
      </c>
      <c r="K40" t="n">
        <v>0</v>
      </c>
      <c r="L40" t="n">
        <v>0</v>
      </c>
      <c r="M40" t="n">
        <v>0</v>
      </c>
      <c r="N40" t="n">
        <v>0</v>
      </c>
      <c r="O40" t="n">
        <v>0</v>
      </c>
      <c r="P40" t="n">
        <v>0</v>
      </c>
      <c r="Q40" t="n">
        <v>0</v>
      </c>
      <c r="R40" s="2" t="inlineStr"/>
    </row>
    <row r="41" ht="15" customHeight="1">
      <c r="A41" t="inlineStr">
        <is>
          <t>A 50398-2025</t>
        </is>
      </c>
      <c r="B41" s="1" t="n">
        <v>45944.62854166667</v>
      </c>
      <c r="C41" s="1" t="n">
        <v>45981</v>
      </c>
      <c r="D41" t="inlineStr">
        <is>
          <t>UPPSALA LÄN</t>
        </is>
      </c>
      <c r="E41" t="inlineStr">
        <is>
          <t>ÄLVKARLEBY</t>
        </is>
      </c>
      <c r="F41" t="inlineStr">
        <is>
          <t>Bergvik skog väst AB</t>
        </is>
      </c>
      <c r="G41" t="n">
        <v>4.4</v>
      </c>
      <c r="H41" t="n">
        <v>0</v>
      </c>
      <c r="I41" t="n">
        <v>0</v>
      </c>
      <c r="J41" t="n">
        <v>0</v>
      </c>
      <c r="K41" t="n">
        <v>0</v>
      </c>
      <c r="L41" t="n">
        <v>0</v>
      </c>
      <c r="M41" t="n">
        <v>0</v>
      </c>
      <c r="N41" t="n">
        <v>0</v>
      </c>
      <c r="O41" t="n">
        <v>0</v>
      </c>
      <c r="P41" t="n">
        <v>0</v>
      </c>
      <c r="Q41" t="n">
        <v>0</v>
      </c>
      <c r="R41" s="2" t="inlineStr"/>
    </row>
    <row r="42" ht="15" customHeight="1">
      <c r="A42" t="inlineStr">
        <is>
          <t>A 41847-2025</t>
        </is>
      </c>
      <c r="B42" s="1" t="n">
        <v>45902.75265046296</v>
      </c>
      <c r="C42" s="1" t="n">
        <v>45981</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51238-2025</t>
        </is>
      </c>
      <c r="B43" s="1" t="n">
        <v>45947.69753472223</v>
      </c>
      <c r="C43" s="1" t="n">
        <v>45981</v>
      </c>
      <c r="D43" t="inlineStr">
        <is>
          <t>UPPSALA LÄN</t>
        </is>
      </c>
      <c r="E43" t="inlineStr">
        <is>
          <t>ÄLVKARLEBY</t>
        </is>
      </c>
      <c r="F43" t="inlineStr">
        <is>
          <t>Bergvik skog väst AB</t>
        </is>
      </c>
      <c r="G43" t="n">
        <v>6</v>
      </c>
      <c r="H43" t="n">
        <v>0</v>
      </c>
      <c r="I43" t="n">
        <v>0</v>
      </c>
      <c r="J43" t="n">
        <v>0</v>
      </c>
      <c r="K43" t="n">
        <v>0</v>
      </c>
      <c r="L43" t="n">
        <v>0</v>
      </c>
      <c r="M43" t="n">
        <v>0</v>
      </c>
      <c r="N43" t="n">
        <v>0</v>
      </c>
      <c r="O43" t="n">
        <v>0</v>
      </c>
      <c r="P43" t="n">
        <v>0</v>
      </c>
      <c r="Q43" t="n">
        <v>0</v>
      </c>
      <c r="R43" s="2" t="inlineStr"/>
    </row>
    <row r="44" ht="15" customHeight="1">
      <c r="A44" t="inlineStr">
        <is>
          <t>A 14004-2025</t>
        </is>
      </c>
      <c r="B44" s="1" t="n">
        <v>45740.2997337963</v>
      </c>
      <c r="C44" s="1" t="n">
        <v>45981</v>
      </c>
      <c r="D44" t="inlineStr">
        <is>
          <t>UPPSALA LÄN</t>
        </is>
      </c>
      <c r="E44" t="inlineStr">
        <is>
          <t>ÄLVKARLEBY</t>
        </is>
      </c>
      <c r="F44" t="inlineStr">
        <is>
          <t>Bergvik skog öst AB</t>
        </is>
      </c>
      <c r="G44" t="n">
        <v>10.1</v>
      </c>
      <c r="H44" t="n">
        <v>0</v>
      </c>
      <c r="I44" t="n">
        <v>0</v>
      </c>
      <c r="J44" t="n">
        <v>0</v>
      </c>
      <c r="K44" t="n">
        <v>0</v>
      </c>
      <c r="L44" t="n">
        <v>0</v>
      </c>
      <c r="M44" t="n">
        <v>0</v>
      </c>
      <c r="N44" t="n">
        <v>0</v>
      </c>
      <c r="O44" t="n">
        <v>0</v>
      </c>
      <c r="P44" t="n">
        <v>0</v>
      </c>
      <c r="Q44" t="n">
        <v>0</v>
      </c>
      <c r="R44" s="2" t="inlineStr"/>
    </row>
    <row r="45" ht="15" customHeight="1">
      <c r="A45" t="inlineStr">
        <is>
          <t>A 50869-2025</t>
        </is>
      </c>
      <c r="B45" s="1" t="n">
        <v>45946.60259259259</v>
      </c>
      <c r="C45" s="1" t="n">
        <v>45981</v>
      </c>
      <c r="D45" t="inlineStr">
        <is>
          <t>UPPSALA LÄN</t>
        </is>
      </c>
      <c r="E45" t="inlineStr">
        <is>
          <t>ÄLVKARLEBY</t>
        </is>
      </c>
      <c r="F45" t="inlineStr">
        <is>
          <t>Bergvik skog väst AB</t>
        </is>
      </c>
      <c r="G45" t="n">
        <v>11.4</v>
      </c>
      <c r="H45" t="n">
        <v>0</v>
      </c>
      <c r="I45" t="n">
        <v>0</v>
      </c>
      <c r="J45" t="n">
        <v>0</v>
      </c>
      <c r="K45" t="n">
        <v>0</v>
      </c>
      <c r="L45" t="n">
        <v>0</v>
      </c>
      <c r="M45" t="n">
        <v>0</v>
      </c>
      <c r="N45" t="n">
        <v>0</v>
      </c>
      <c r="O45" t="n">
        <v>0</v>
      </c>
      <c r="P45" t="n">
        <v>0</v>
      </c>
      <c r="Q45" t="n">
        <v>0</v>
      </c>
      <c r="R45" s="2" t="inlineStr"/>
    </row>
    <row r="46" ht="15" customHeight="1">
      <c r="A46" t="inlineStr">
        <is>
          <t>A 51237-2025</t>
        </is>
      </c>
      <c r="B46" s="1" t="n">
        <v>45947.69307870371</v>
      </c>
      <c r="C46" s="1" t="n">
        <v>45981</v>
      </c>
      <c r="D46" t="inlineStr">
        <is>
          <t>UPPSALA LÄN</t>
        </is>
      </c>
      <c r="E46" t="inlineStr">
        <is>
          <t>ÄLVKARLEBY</t>
        </is>
      </c>
      <c r="F46" t="inlineStr">
        <is>
          <t>Bergvik skog väst AB</t>
        </is>
      </c>
      <c r="G46" t="n">
        <v>1.8</v>
      </c>
      <c r="H46" t="n">
        <v>0</v>
      </c>
      <c r="I46" t="n">
        <v>0</v>
      </c>
      <c r="J46" t="n">
        <v>0</v>
      </c>
      <c r="K46" t="n">
        <v>0</v>
      </c>
      <c r="L46" t="n">
        <v>0</v>
      </c>
      <c r="M46" t="n">
        <v>0</v>
      </c>
      <c r="N46" t="n">
        <v>0</v>
      </c>
      <c r="O46" t="n">
        <v>0</v>
      </c>
      <c r="P46" t="n">
        <v>0</v>
      </c>
      <c r="Q46" t="n">
        <v>0</v>
      </c>
      <c r="R46" s="2" t="inlineStr"/>
    </row>
    <row r="47" ht="15" customHeight="1">
      <c r="A47" t="inlineStr">
        <is>
          <t>A 24591-2025</t>
        </is>
      </c>
      <c r="B47" s="1" t="n">
        <v>45798.53666666667</v>
      </c>
      <c r="C47" s="1" t="n">
        <v>45981</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38226-2023</t>
        </is>
      </c>
      <c r="B48" s="1" t="n">
        <v>45161</v>
      </c>
      <c r="C48" s="1" t="n">
        <v>45981</v>
      </c>
      <c r="D48" t="inlineStr">
        <is>
          <t>UPPSALA LÄN</t>
        </is>
      </c>
      <c r="E48" t="inlineStr">
        <is>
          <t>ÄLVKARLEBY</t>
        </is>
      </c>
      <c r="F48" t="inlineStr">
        <is>
          <t>Bergvik skog väst AB</t>
        </is>
      </c>
      <c r="G48" t="n">
        <v>4.5</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45981</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19303-2024</t>
        </is>
      </c>
      <c r="B50" s="1" t="n">
        <v>45428.70386574074</v>
      </c>
      <c r="C50" s="1" t="n">
        <v>45981</v>
      </c>
      <c r="D50" t="inlineStr">
        <is>
          <t>UPPSALA LÄN</t>
        </is>
      </c>
      <c r="E50" t="inlineStr">
        <is>
          <t>ÄLVKARLEBY</t>
        </is>
      </c>
      <c r="G50" t="n">
        <v>0.4</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45981</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52498-2025</t>
        </is>
      </c>
      <c r="B52" s="1" t="n">
        <v>45954.49314814815</v>
      </c>
      <c r="C52" s="1" t="n">
        <v>45981</v>
      </c>
      <c r="D52" t="inlineStr">
        <is>
          <t>UPPSALA LÄN</t>
        </is>
      </c>
      <c r="E52" t="inlineStr">
        <is>
          <t>ÄLVKARLEBY</t>
        </is>
      </c>
      <c r="F52" t="inlineStr">
        <is>
          <t>Bergvik skog väst AB</t>
        </is>
      </c>
      <c r="G52" t="n">
        <v>1</v>
      </c>
      <c r="H52" t="n">
        <v>0</v>
      </c>
      <c r="I52" t="n">
        <v>0</v>
      </c>
      <c r="J52" t="n">
        <v>0</v>
      </c>
      <c r="K52" t="n">
        <v>0</v>
      </c>
      <c r="L52" t="n">
        <v>0</v>
      </c>
      <c r="M52" t="n">
        <v>0</v>
      </c>
      <c r="N52" t="n">
        <v>0</v>
      </c>
      <c r="O52" t="n">
        <v>0</v>
      </c>
      <c r="P52" t="n">
        <v>0</v>
      </c>
      <c r="Q52" t="n">
        <v>0</v>
      </c>
      <c r="R52" s="2" t="inlineStr"/>
    </row>
    <row r="53" ht="15" customHeight="1">
      <c r="A53" t="inlineStr">
        <is>
          <t>A 3950-2025</t>
        </is>
      </c>
      <c r="B53" s="1" t="n">
        <v>45684</v>
      </c>
      <c r="C53" s="1" t="n">
        <v>45981</v>
      </c>
      <c r="D53" t="inlineStr">
        <is>
          <t>UPPSALA LÄN</t>
        </is>
      </c>
      <c r="E53" t="inlineStr">
        <is>
          <t>ÄLVKARLEBY</t>
        </is>
      </c>
      <c r="G53" t="n">
        <v>3.1</v>
      </c>
      <c r="H53" t="n">
        <v>0</v>
      </c>
      <c r="I53" t="n">
        <v>0</v>
      </c>
      <c r="J53" t="n">
        <v>0</v>
      </c>
      <c r="K53" t="n">
        <v>0</v>
      </c>
      <c r="L53" t="n">
        <v>0</v>
      </c>
      <c r="M53" t="n">
        <v>0</v>
      </c>
      <c r="N53" t="n">
        <v>0</v>
      </c>
      <c r="O53" t="n">
        <v>0</v>
      </c>
      <c r="P53" t="n">
        <v>0</v>
      </c>
      <c r="Q53" t="n">
        <v>0</v>
      </c>
      <c r="R53" s="2" t="inlineStr"/>
    </row>
    <row r="54" ht="15" customHeight="1">
      <c r="A54" t="inlineStr">
        <is>
          <t>A 25330-2025</t>
        </is>
      </c>
      <c r="B54" s="1" t="n">
        <v>45800.59114583334</v>
      </c>
      <c r="C54" s="1" t="n">
        <v>45981</v>
      </c>
      <c r="D54" t="inlineStr">
        <is>
          <t>UPPSALA LÄN</t>
        </is>
      </c>
      <c r="E54" t="inlineStr">
        <is>
          <t>ÄLVKARLEBY</t>
        </is>
      </c>
      <c r="F54" t="inlineStr">
        <is>
          <t>Bergvik skog väst AB</t>
        </is>
      </c>
      <c r="G54" t="n">
        <v>5</v>
      </c>
      <c r="H54" t="n">
        <v>0</v>
      </c>
      <c r="I54" t="n">
        <v>0</v>
      </c>
      <c r="J54" t="n">
        <v>0</v>
      </c>
      <c r="K54" t="n">
        <v>0</v>
      </c>
      <c r="L54" t="n">
        <v>0</v>
      </c>
      <c r="M54" t="n">
        <v>0</v>
      </c>
      <c r="N54" t="n">
        <v>0</v>
      </c>
      <c r="O54" t="n">
        <v>0</v>
      </c>
      <c r="P54" t="n">
        <v>0</v>
      </c>
      <c r="Q54" t="n">
        <v>0</v>
      </c>
      <c r="R54" s="2" t="inlineStr"/>
    </row>
    <row r="55" ht="15" customHeight="1">
      <c r="A55" t="inlineStr">
        <is>
          <t>A 52477-2025</t>
        </is>
      </c>
      <c r="B55" s="1" t="n">
        <v>45954.46980324074</v>
      </c>
      <c r="C55" s="1" t="n">
        <v>45981</v>
      </c>
      <c r="D55" t="inlineStr">
        <is>
          <t>UPPSALA LÄN</t>
        </is>
      </c>
      <c r="E55" t="inlineStr">
        <is>
          <t>ÄLVKARLEBY</t>
        </is>
      </c>
      <c r="F55" t="inlineStr">
        <is>
          <t>Bergvik skog väst AB</t>
        </is>
      </c>
      <c r="G55" t="n">
        <v>5.3</v>
      </c>
      <c r="H55" t="n">
        <v>0</v>
      </c>
      <c r="I55" t="n">
        <v>0</v>
      </c>
      <c r="J55" t="n">
        <v>0</v>
      </c>
      <c r="K55" t="n">
        <v>0</v>
      </c>
      <c r="L55" t="n">
        <v>0</v>
      </c>
      <c r="M55" t="n">
        <v>0</v>
      </c>
      <c r="N55" t="n">
        <v>0</v>
      </c>
      <c r="O55" t="n">
        <v>0</v>
      </c>
      <c r="P55" t="n">
        <v>0</v>
      </c>
      <c r="Q55" t="n">
        <v>0</v>
      </c>
      <c r="R55" s="2" t="inlineStr"/>
    </row>
    <row r="56" ht="15" customHeight="1">
      <c r="A56" t="inlineStr">
        <is>
          <t>A 25264-2025</t>
        </is>
      </c>
      <c r="B56" s="1" t="n">
        <v>45800.5334375</v>
      </c>
      <c r="C56" s="1" t="n">
        <v>45981</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19862-2025</t>
        </is>
      </c>
      <c r="B57" s="1" t="n">
        <v>45771.53560185185</v>
      </c>
      <c r="C57" s="1" t="n">
        <v>45981</v>
      </c>
      <c r="D57" t="inlineStr">
        <is>
          <t>UPPSALA LÄN</t>
        </is>
      </c>
      <c r="E57" t="inlineStr">
        <is>
          <t>ÄLVKARLEBY</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45372-2024</t>
        </is>
      </c>
      <c r="B58" s="1" t="n">
        <v>45576.51116898148</v>
      </c>
      <c r="C58" s="1" t="n">
        <v>45981</v>
      </c>
      <c r="D58" t="inlineStr">
        <is>
          <t>UPPSALA LÄN</t>
        </is>
      </c>
      <c r="E58" t="inlineStr">
        <is>
          <t>ÄLVKARLEBY</t>
        </is>
      </c>
      <c r="F58" t="inlineStr">
        <is>
          <t>Bergvik skog väst AB</t>
        </is>
      </c>
      <c r="G58" t="n">
        <v>3.4</v>
      </c>
      <c r="H58" t="n">
        <v>0</v>
      </c>
      <c r="I58" t="n">
        <v>0</v>
      </c>
      <c r="J58" t="n">
        <v>0</v>
      </c>
      <c r="K58" t="n">
        <v>0</v>
      </c>
      <c r="L58" t="n">
        <v>0</v>
      </c>
      <c r="M58" t="n">
        <v>0</v>
      </c>
      <c r="N58" t="n">
        <v>0</v>
      </c>
      <c r="O58" t="n">
        <v>0</v>
      </c>
      <c r="P58" t="n">
        <v>0</v>
      </c>
      <c r="Q58" t="n">
        <v>0</v>
      </c>
      <c r="R58" s="2" t="inlineStr"/>
    </row>
    <row r="59" ht="15" customHeight="1">
      <c r="A59" t="inlineStr">
        <is>
          <t>A 53173-2025</t>
        </is>
      </c>
      <c r="B59" s="1" t="n">
        <v>45958.51738425926</v>
      </c>
      <c r="C59" s="1" t="n">
        <v>45981</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26670-2025</t>
        </is>
      </c>
      <c r="B60" s="1" t="n">
        <v>45810.41489583333</v>
      </c>
      <c r="C60" s="1" t="n">
        <v>45981</v>
      </c>
      <c r="D60" t="inlineStr">
        <is>
          <t>UPPSALA LÄN</t>
        </is>
      </c>
      <c r="E60" t="inlineStr">
        <is>
          <t>ÄLVKARLEBY</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15739-2025</t>
        </is>
      </c>
      <c r="B61" s="1" t="n">
        <v>45748.54612268518</v>
      </c>
      <c r="C61" s="1" t="n">
        <v>45981</v>
      </c>
      <c r="D61" t="inlineStr">
        <is>
          <t>UPPSALA LÄN</t>
        </is>
      </c>
      <c r="E61" t="inlineStr">
        <is>
          <t>ÄLVKARLEBY</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45033-2025</t>
        </is>
      </c>
      <c r="B62" s="1" t="n">
        <v>45918.70299768518</v>
      </c>
      <c r="C62" s="1" t="n">
        <v>45981</v>
      </c>
      <c r="D62" t="inlineStr">
        <is>
          <t>UPPSALA LÄN</t>
        </is>
      </c>
      <c r="E62" t="inlineStr">
        <is>
          <t>ÄLVKARLEBY</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43285-2023</t>
        </is>
      </c>
      <c r="B63" s="1" t="n">
        <v>45183.5630787037</v>
      </c>
      <c r="C63" s="1" t="n">
        <v>45981</v>
      </c>
      <c r="D63" t="inlineStr">
        <is>
          <t>UPPSALA LÄN</t>
        </is>
      </c>
      <c r="E63" t="inlineStr">
        <is>
          <t>ÄLVKARLEBY</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45512-2025</t>
        </is>
      </c>
      <c r="B64" s="1" t="n">
        <v>45922.58106481482</v>
      </c>
      <c r="C64" s="1" t="n">
        <v>45981</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41929-2024</t>
        </is>
      </c>
      <c r="B65" s="1" t="n">
        <v>45561</v>
      </c>
      <c r="C65" s="1" t="n">
        <v>45981</v>
      </c>
      <c r="D65" t="inlineStr">
        <is>
          <t>UPPSALA LÄN</t>
        </is>
      </c>
      <c r="E65" t="inlineStr">
        <is>
          <t>ÄLVKARLEBY</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9533-2025</t>
        </is>
      </c>
      <c r="B66" s="1" t="n">
        <v>45715.57082175926</v>
      </c>
      <c r="C66" s="1" t="n">
        <v>45981</v>
      </c>
      <c r="D66" t="inlineStr">
        <is>
          <t>UPPSALA LÄN</t>
        </is>
      </c>
      <c r="E66" t="inlineStr">
        <is>
          <t>ÄLVKARLEBY</t>
        </is>
      </c>
      <c r="G66" t="n">
        <v>2.1</v>
      </c>
      <c r="H66" t="n">
        <v>0</v>
      </c>
      <c r="I66" t="n">
        <v>0</v>
      </c>
      <c r="J66" t="n">
        <v>0</v>
      </c>
      <c r="K66" t="n">
        <v>0</v>
      </c>
      <c r="L66" t="n">
        <v>0</v>
      </c>
      <c r="M66" t="n">
        <v>0</v>
      </c>
      <c r="N66" t="n">
        <v>0</v>
      </c>
      <c r="O66" t="n">
        <v>0</v>
      </c>
      <c r="P66" t="n">
        <v>0</v>
      </c>
      <c r="Q66" t="n">
        <v>0</v>
      </c>
      <c r="R66" s="2" t="inlineStr"/>
    </row>
    <row r="67" ht="15" customHeight="1">
      <c r="A67" t="inlineStr">
        <is>
          <t>A 2184-2024</t>
        </is>
      </c>
      <c r="B67" s="1" t="n">
        <v>45309</v>
      </c>
      <c r="C67" s="1" t="n">
        <v>45981</v>
      </c>
      <c r="D67" t="inlineStr">
        <is>
          <t>UPPSALA LÄN</t>
        </is>
      </c>
      <c r="E67" t="inlineStr">
        <is>
          <t>ÄLVKARLEBY</t>
        </is>
      </c>
      <c r="G67" t="n">
        <v>0.6</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45981</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46335-2025</t>
        </is>
      </c>
      <c r="B69" s="1" t="n">
        <v>45925.46199074074</v>
      </c>
      <c r="C69" s="1" t="n">
        <v>45981</v>
      </c>
      <c r="D69" t="inlineStr">
        <is>
          <t>UPPSALA LÄN</t>
        </is>
      </c>
      <c r="E69" t="inlineStr">
        <is>
          <t>ÄLVKARLEBY</t>
        </is>
      </c>
      <c r="G69" t="n">
        <v>1.3</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45981</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27742-2025</t>
        </is>
      </c>
      <c r="B71" s="1" t="n">
        <v>45815.53724537037</v>
      </c>
      <c r="C71" s="1" t="n">
        <v>45981</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46510-2025</t>
        </is>
      </c>
      <c r="B72" s="1" t="n">
        <v>45925.92368055556</v>
      </c>
      <c r="C72" s="1" t="n">
        <v>45981</v>
      </c>
      <c r="D72" t="inlineStr">
        <is>
          <t>UPPSALA LÄN</t>
        </is>
      </c>
      <c r="E72" t="inlineStr">
        <is>
          <t>ÄLVKARLEBY</t>
        </is>
      </c>
      <c r="G72" t="n">
        <v>2.3</v>
      </c>
      <c r="H72" t="n">
        <v>0</v>
      </c>
      <c r="I72" t="n">
        <v>0</v>
      </c>
      <c r="J72" t="n">
        <v>0</v>
      </c>
      <c r="K72" t="n">
        <v>0</v>
      </c>
      <c r="L72" t="n">
        <v>0</v>
      </c>
      <c r="M72" t="n">
        <v>0</v>
      </c>
      <c r="N72" t="n">
        <v>0</v>
      </c>
      <c r="O72" t="n">
        <v>0</v>
      </c>
      <c r="P72" t="n">
        <v>0</v>
      </c>
      <c r="Q72" t="n">
        <v>0</v>
      </c>
      <c r="R72" s="2" t="inlineStr"/>
    </row>
    <row r="73" ht="15" customHeight="1">
      <c r="A73" t="inlineStr">
        <is>
          <t>A 28670-2025</t>
        </is>
      </c>
      <c r="B73" s="1" t="n">
        <v>45819.67130787037</v>
      </c>
      <c r="C73" s="1" t="n">
        <v>45981</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28668-2025</t>
        </is>
      </c>
      <c r="B74" s="1" t="n">
        <v>45819.66650462963</v>
      </c>
      <c r="C74" s="1" t="n">
        <v>45981</v>
      </c>
      <c r="D74" t="inlineStr">
        <is>
          <t>UPPSALA LÄN</t>
        </is>
      </c>
      <c r="E74" t="inlineStr">
        <is>
          <t>ÄLVKARLEBY</t>
        </is>
      </c>
      <c r="F74" t="inlineStr">
        <is>
          <t>Bergvik skog väst AB</t>
        </is>
      </c>
      <c r="G74" t="n">
        <v>8.300000000000001</v>
      </c>
      <c r="H74" t="n">
        <v>0</v>
      </c>
      <c r="I74" t="n">
        <v>0</v>
      </c>
      <c r="J74" t="n">
        <v>0</v>
      </c>
      <c r="K74" t="n">
        <v>0</v>
      </c>
      <c r="L74" t="n">
        <v>0</v>
      </c>
      <c r="M74" t="n">
        <v>0</v>
      </c>
      <c r="N74" t="n">
        <v>0</v>
      </c>
      <c r="O74" t="n">
        <v>0</v>
      </c>
      <c r="P74" t="n">
        <v>0</v>
      </c>
      <c r="Q74" t="n">
        <v>0</v>
      </c>
      <c r="R74" s="2" t="inlineStr"/>
    </row>
    <row r="75" ht="15" customHeight="1">
      <c r="A75" t="inlineStr">
        <is>
          <t>A 26815-2022</t>
        </is>
      </c>
      <c r="B75" s="1" t="n">
        <v>44740.44644675926</v>
      </c>
      <c r="C75" s="1" t="n">
        <v>45981</v>
      </c>
      <c r="D75" t="inlineStr">
        <is>
          <t>UPPSALA LÄN</t>
        </is>
      </c>
      <c r="E75" t="inlineStr">
        <is>
          <t>ÄLVKARLEBY</t>
        </is>
      </c>
      <c r="G75" t="n">
        <v>5.8</v>
      </c>
      <c r="H75" t="n">
        <v>0</v>
      </c>
      <c r="I75" t="n">
        <v>0</v>
      </c>
      <c r="J75" t="n">
        <v>0</v>
      </c>
      <c r="K75" t="n">
        <v>0</v>
      </c>
      <c r="L75" t="n">
        <v>0</v>
      </c>
      <c r="M75" t="n">
        <v>0</v>
      </c>
      <c r="N75" t="n">
        <v>0</v>
      </c>
      <c r="O75" t="n">
        <v>0</v>
      </c>
      <c r="P75" t="n">
        <v>0</v>
      </c>
      <c r="Q75" t="n">
        <v>0</v>
      </c>
      <c r="R75" s="2" t="inlineStr"/>
    </row>
    <row r="76" ht="15" customHeight="1">
      <c r="A76" t="inlineStr">
        <is>
          <t>A 53184-2025</t>
        </is>
      </c>
      <c r="B76" s="1" t="n">
        <v>45958</v>
      </c>
      <c r="C76" s="1" t="n">
        <v>45981</v>
      </c>
      <c r="D76" t="inlineStr">
        <is>
          <t>UPPSALA LÄN</t>
        </is>
      </c>
      <c r="E76" t="inlineStr">
        <is>
          <t>ÄLVKARLEBY</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56861-2025</t>
        </is>
      </c>
      <c r="B77" s="1" t="n">
        <v>45978.50824074074</v>
      </c>
      <c r="C77" s="1" t="n">
        <v>45981</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8030-2025</t>
        </is>
      </c>
      <c r="B78" s="1" t="n">
        <v>45707.59064814815</v>
      </c>
      <c r="C78" s="1" t="n">
        <v>45981</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48460-2025</t>
        </is>
      </c>
      <c r="B79" s="1" t="n">
        <v>45935.94372685185</v>
      </c>
      <c r="C79" s="1" t="n">
        <v>45981</v>
      </c>
      <c r="D79" t="inlineStr">
        <is>
          <t>UPPSALA LÄN</t>
        </is>
      </c>
      <c r="E79" t="inlineStr">
        <is>
          <t>ÄLVKARLEBY</t>
        </is>
      </c>
      <c r="F79" t="inlineStr">
        <is>
          <t>Bergvik skog väst AB</t>
        </is>
      </c>
      <c r="G79" t="n">
        <v>1.2</v>
      </c>
      <c r="H79" t="n">
        <v>0</v>
      </c>
      <c r="I79" t="n">
        <v>0</v>
      </c>
      <c r="J79" t="n">
        <v>0</v>
      </c>
      <c r="K79" t="n">
        <v>0</v>
      </c>
      <c r="L79" t="n">
        <v>0</v>
      </c>
      <c r="M79" t="n">
        <v>0</v>
      </c>
      <c r="N79" t="n">
        <v>0</v>
      </c>
      <c r="O79" t="n">
        <v>0</v>
      </c>
      <c r="P79" t="n">
        <v>0</v>
      </c>
      <c r="Q79" t="n">
        <v>0</v>
      </c>
      <c r="R79" s="2" t="inlineStr"/>
    </row>
    <row r="80" ht="15" customHeight="1">
      <c r="A80" t="inlineStr">
        <is>
          <t>A 30483-2025</t>
        </is>
      </c>
      <c r="B80" s="1" t="n">
        <v>45828.68988425926</v>
      </c>
      <c r="C80" s="1" t="n">
        <v>45981</v>
      </c>
      <c r="D80" t="inlineStr">
        <is>
          <t>UPPSALA LÄN</t>
        </is>
      </c>
      <c r="E80" t="inlineStr">
        <is>
          <t>ÄLVKARLEBY</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30936-2025</t>
        </is>
      </c>
      <c r="B81" s="1" t="n">
        <v>45832.40586805555</v>
      </c>
      <c r="C81" s="1" t="n">
        <v>45981</v>
      </c>
      <c r="D81" t="inlineStr">
        <is>
          <t>UPPSALA LÄN</t>
        </is>
      </c>
      <c r="E81" t="inlineStr">
        <is>
          <t>ÄLVKARLEBY</t>
        </is>
      </c>
      <c r="F81" t="inlineStr">
        <is>
          <t>Bergvik skog öst AB</t>
        </is>
      </c>
      <c r="G81" t="n">
        <v>7.2</v>
      </c>
      <c r="H81" t="n">
        <v>0</v>
      </c>
      <c r="I81" t="n">
        <v>0</v>
      </c>
      <c r="J81" t="n">
        <v>0</v>
      </c>
      <c r="K81" t="n">
        <v>0</v>
      </c>
      <c r="L81" t="n">
        <v>0</v>
      </c>
      <c r="M81" t="n">
        <v>0</v>
      </c>
      <c r="N81" t="n">
        <v>0</v>
      </c>
      <c r="O81" t="n">
        <v>0</v>
      </c>
      <c r="P81" t="n">
        <v>0</v>
      </c>
      <c r="Q81" t="n">
        <v>0</v>
      </c>
      <c r="R81" s="2" t="inlineStr"/>
    </row>
    <row r="82" ht="15" customHeight="1">
      <c r="A82" t="inlineStr">
        <is>
          <t>A 30944-2025</t>
        </is>
      </c>
      <c r="B82" s="1" t="n">
        <v>45832.41182870371</v>
      </c>
      <c r="C82" s="1" t="n">
        <v>45981</v>
      </c>
      <c r="D82" t="inlineStr">
        <is>
          <t>UPPSALA LÄN</t>
        </is>
      </c>
      <c r="E82" t="inlineStr">
        <is>
          <t>ÄLVKARLEBY</t>
        </is>
      </c>
      <c r="F82" t="inlineStr">
        <is>
          <t>Bergvik skog öst AB</t>
        </is>
      </c>
      <c r="G82" t="n">
        <v>3.4</v>
      </c>
      <c r="H82" t="n">
        <v>0</v>
      </c>
      <c r="I82" t="n">
        <v>0</v>
      </c>
      <c r="J82" t="n">
        <v>0</v>
      </c>
      <c r="K82" t="n">
        <v>0</v>
      </c>
      <c r="L82" t="n">
        <v>0</v>
      </c>
      <c r="M82" t="n">
        <v>0</v>
      </c>
      <c r="N82" t="n">
        <v>0</v>
      </c>
      <c r="O82" t="n">
        <v>0</v>
      </c>
      <c r="P82" t="n">
        <v>0</v>
      </c>
      <c r="Q82" t="n">
        <v>0</v>
      </c>
      <c r="R82" s="2" t="inlineStr"/>
    </row>
    <row r="83" ht="15" customHeight="1">
      <c r="A83" t="inlineStr">
        <is>
          <t>A 14590-2023</t>
        </is>
      </c>
      <c r="B83" s="1" t="n">
        <v>45013.54621527778</v>
      </c>
      <c r="C83" s="1" t="n">
        <v>45981</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8031-2025</t>
        </is>
      </c>
      <c r="B84" s="1" t="n">
        <v>45707.59112268518</v>
      </c>
      <c r="C84" s="1" t="n">
        <v>45981</v>
      </c>
      <c r="D84" t="inlineStr">
        <is>
          <t>UPPSALA LÄN</t>
        </is>
      </c>
      <c r="E84" t="inlineStr">
        <is>
          <t>ÄLVKARLEBY</t>
        </is>
      </c>
      <c r="F84" t="inlineStr">
        <is>
          <t>Bergvik skog väst AB</t>
        </is>
      </c>
      <c r="G84" t="n">
        <v>4</v>
      </c>
      <c r="H84" t="n">
        <v>0</v>
      </c>
      <c r="I84" t="n">
        <v>0</v>
      </c>
      <c r="J84" t="n">
        <v>0</v>
      </c>
      <c r="K84" t="n">
        <v>0</v>
      </c>
      <c r="L84" t="n">
        <v>0</v>
      </c>
      <c r="M84" t="n">
        <v>0</v>
      </c>
      <c r="N84" t="n">
        <v>0</v>
      </c>
      <c r="O84" t="n">
        <v>0</v>
      </c>
      <c r="P84" t="n">
        <v>0</v>
      </c>
      <c r="Q84" t="n">
        <v>0</v>
      </c>
      <c r="R84" s="2" t="inlineStr"/>
    </row>
    <row r="85" ht="15" customHeight="1">
      <c r="A85" t="inlineStr">
        <is>
          <t>A 32187-2025</t>
        </is>
      </c>
      <c r="B85" s="1" t="n">
        <v>45835.56949074074</v>
      </c>
      <c r="C85" s="1" t="n">
        <v>45981</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32203-2025</t>
        </is>
      </c>
      <c r="B86" s="1" t="n">
        <v>45835.57951388889</v>
      </c>
      <c r="C86" s="1" t="n">
        <v>45981</v>
      </c>
      <c r="D86" t="inlineStr">
        <is>
          <t>UPPSALA LÄN</t>
        </is>
      </c>
      <c r="E86" t="inlineStr">
        <is>
          <t>ÄLVKARLEBY</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32186-2025</t>
        </is>
      </c>
      <c r="B87" s="1" t="n">
        <v>45835.5667824074</v>
      </c>
      <c r="C87" s="1" t="n">
        <v>45981</v>
      </c>
      <c r="D87" t="inlineStr">
        <is>
          <t>UPPSALA LÄN</t>
        </is>
      </c>
      <c r="E87" t="inlineStr">
        <is>
          <t>ÄLVKARLEBY</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7286-2023</t>
        </is>
      </c>
      <c r="B88" s="1" t="n">
        <v>44970</v>
      </c>
      <c r="C88" s="1" t="n">
        <v>45981</v>
      </c>
      <c r="D88" t="inlineStr">
        <is>
          <t>UPPSALA LÄN</t>
        </is>
      </c>
      <c r="E88" t="inlineStr">
        <is>
          <t>ÄLVKARLEBY</t>
        </is>
      </c>
      <c r="F88" t="inlineStr">
        <is>
          <t>Bergvik skog väst AB</t>
        </is>
      </c>
      <c r="G88" t="n">
        <v>2.5</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45981</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32212-2025</t>
        </is>
      </c>
      <c r="B90" s="1" t="n">
        <v>45835.58509259259</v>
      </c>
      <c r="C90" s="1" t="n">
        <v>45981</v>
      </c>
      <c r="D90" t="inlineStr">
        <is>
          <t>UPPSALA LÄN</t>
        </is>
      </c>
      <c r="E90" t="inlineStr">
        <is>
          <t>ÄLVKARLEBY</t>
        </is>
      </c>
      <c r="F90" t="inlineStr">
        <is>
          <t>Bergvik skog väst AB</t>
        </is>
      </c>
      <c r="G90" t="n">
        <v>1.5</v>
      </c>
      <c r="H90" t="n">
        <v>0</v>
      </c>
      <c r="I90" t="n">
        <v>0</v>
      </c>
      <c r="J90" t="n">
        <v>0</v>
      </c>
      <c r="K90" t="n">
        <v>0</v>
      </c>
      <c r="L90" t="n">
        <v>0</v>
      </c>
      <c r="M90" t="n">
        <v>0</v>
      </c>
      <c r="N90" t="n">
        <v>0</v>
      </c>
      <c r="O90" t="n">
        <v>0</v>
      </c>
      <c r="P90" t="n">
        <v>0</v>
      </c>
      <c r="Q90" t="n">
        <v>0</v>
      </c>
      <c r="R90" s="2" t="inlineStr"/>
    </row>
    <row r="91" ht="15" customHeight="1">
      <c r="A91" t="inlineStr">
        <is>
          <t>A 32221-2025</t>
        </is>
      </c>
      <c r="B91" s="1" t="n">
        <v>45835.5909837963</v>
      </c>
      <c r="C91" s="1" t="n">
        <v>45981</v>
      </c>
      <c r="D91" t="inlineStr">
        <is>
          <t>UPPSALA LÄN</t>
        </is>
      </c>
      <c r="E91" t="inlineStr">
        <is>
          <t>ÄLVKARLEBY</t>
        </is>
      </c>
      <c r="F91" t="inlineStr">
        <is>
          <t>Bergvik skog väst AB</t>
        </is>
      </c>
      <c r="G91" t="n">
        <v>1.5</v>
      </c>
      <c r="H91" t="n">
        <v>0</v>
      </c>
      <c r="I91" t="n">
        <v>0</v>
      </c>
      <c r="J91" t="n">
        <v>0</v>
      </c>
      <c r="K91" t="n">
        <v>0</v>
      </c>
      <c r="L91" t="n">
        <v>0</v>
      </c>
      <c r="M91" t="n">
        <v>0</v>
      </c>
      <c r="N91" t="n">
        <v>0</v>
      </c>
      <c r="O91" t="n">
        <v>0</v>
      </c>
      <c r="P91" t="n">
        <v>0</v>
      </c>
      <c r="Q91" t="n">
        <v>0</v>
      </c>
      <c r="R91" s="2" t="inlineStr"/>
    </row>
    <row r="92" ht="15" customHeight="1">
      <c r="A92" t="inlineStr">
        <is>
          <t>A 11553-2021</t>
        </is>
      </c>
      <c r="B92" s="1" t="n">
        <v>44264.48725694444</v>
      </c>
      <c r="C92" s="1" t="n">
        <v>45981</v>
      </c>
      <c r="D92" t="inlineStr">
        <is>
          <t>UPPSALA LÄN</t>
        </is>
      </c>
      <c r="E92" t="inlineStr">
        <is>
          <t>ÄLVKARLEBY</t>
        </is>
      </c>
      <c r="F92" t="inlineStr">
        <is>
          <t>Bergvik skog väst AB</t>
        </is>
      </c>
      <c r="G92" t="n">
        <v>1.7</v>
      </c>
      <c r="H92" t="n">
        <v>0</v>
      </c>
      <c r="I92" t="n">
        <v>0</v>
      </c>
      <c r="J92" t="n">
        <v>0</v>
      </c>
      <c r="K92" t="n">
        <v>0</v>
      </c>
      <c r="L92" t="n">
        <v>0</v>
      </c>
      <c r="M92" t="n">
        <v>0</v>
      </c>
      <c r="N92" t="n">
        <v>0</v>
      </c>
      <c r="O92" t="n">
        <v>0</v>
      </c>
      <c r="P92" t="n">
        <v>0</v>
      </c>
      <c r="Q92" t="n">
        <v>0</v>
      </c>
      <c r="R92" s="2" t="inlineStr"/>
    </row>
    <row r="93" ht="15" customHeight="1">
      <c r="A93" t="inlineStr">
        <is>
          <t>A 36216-2022</t>
        </is>
      </c>
      <c r="B93" s="1" t="n">
        <v>44803</v>
      </c>
      <c r="C93" s="1" t="n">
        <v>45981</v>
      </c>
      <c r="D93" t="inlineStr">
        <is>
          <t>UPPSALA LÄN</t>
        </is>
      </c>
      <c r="E93" t="inlineStr">
        <is>
          <t>ÄLVKARLEBY</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967-2021</t>
        </is>
      </c>
      <c r="B94" s="1" t="n">
        <v>44207</v>
      </c>
      <c r="C94" s="1" t="n">
        <v>45981</v>
      </c>
      <c r="D94" t="inlineStr">
        <is>
          <t>UPPSALA LÄN</t>
        </is>
      </c>
      <c r="E94" t="inlineStr">
        <is>
          <t>ÄLVKARLEBY</t>
        </is>
      </c>
      <c r="G94" t="n">
        <v>0.7</v>
      </c>
      <c r="H94" t="n">
        <v>0</v>
      </c>
      <c r="I94" t="n">
        <v>0</v>
      </c>
      <c r="J94" t="n">
        <v>0</v>
      </c>
      <c r="K94" t="n">
        <v>0</v>
      </c>
      <c r="L94" t="n">
        <v>0</v>
      </c>
      <c r="M94" t="n">
        <v>0</v>
      </c>
      <c r="N94" t="n">
        <v>0</v>
      </c>
      <c r="O94" t="n">
        <v>0</v>
      </c>
      <c r="P94" t="n">
        <v>0</v>
      </c>
      <c r="Q94" t="n">
        <v>0</v>
      </c>
      <c r="R94" s="2" t="inlineStr"/>
    </row>
    <row r="95" ht="15" customHeight="1">
      <c r="A95" t="inlineStr">
        <is>
          <t>A 41276-2023</t>
        </is>
      </c>
      <c r="B95" s="1" t="n">
        <v>45174</v>
      </c>
      <c r="C95" s="1" t="n">
        <v>45981</v>
      </c>
      <c r="D95" t="inlineStr">
        <is>
          <t>UPPSALA LÄN</t>
        </is>
      </c>
      <c r="E95" t="inlineStr">
        <is>
          <t>ÄLVKARLEBY</t>
        </is>
      </c>
      <c r="F95" t="inlineStr">
        <is>
          <t>Bergvik skog väst AB</t>
        </is>
      </c>
      <c r="G95" t="n">
        <v>0.3</v>
      </c>
      <c r="H95" t="n">
        <v>0</v>
      </c>
      <c r="I95" t="n">
        <v>0</v>
      </c>
      <c r="J95" t="n">
        <v>0</v>
      </c>
      <c r="K95" t="n">
        <v>0</v>
      </c>
      <c r="L95" t="n">
        <v>0</v>
      </c>
      <c r="M95" t="n">
        <v>0</v>
      </c>
      <c r="N95" t="n">
        <v>0</v>
      </c>
      <c r="O95" t="n">
        <v>0</v>
      </c>
      <c r="P95" t="n">
        <v>0</v>
      </c>
      <c r="Q95" t="n">
        <v>0</v>
      </c>
      <c r="R95" s="2" t="inlineStr"/>
    </row>
    <row r="96">
      <c r="A96" t="inlineStr">
        <is>
          <t>A 36626-2025</t>
        </is>
      </c>
      <c r="B96" s="1" t="n">
        <v>45870.66732638889</v>
      </c>
      <c r="C96" s="1" t="n">
        <v>45981</v>
      </c>
      <c r="D96" t="inlineStr">
        <is>
          <t>UPPSALA LÄN</t>
        </is>
      </c>
      <c r="E96" t="inlineStr">
        <is>
          <t>ÄLVKARLEBY</t>
        </is>
      </c>
      <c r="F96" t="inlineStr">
        <is>
          <t>Bergvik skog väst AB</t>
        </is>
      </c>
      <c r="G96" t="n">
        <v>2.7</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2025-11-20T17:02:33Z</dcterms:created>
  <dcterms:modified xmlns:dcterms="http://purl.org/dc/terms/" xmlns:xsi="http://www.w3.org/2001/XMLSchema-instance" xsi:type="dcterms:W3CDTF">2025-11-20T17:02:33Z</dcterms:modified>
</cp:coreProperties>
</file>