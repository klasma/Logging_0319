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45937</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45937</v>
      </c>
      <c r="D4" t="inlineStr">
        <is>
          <t>UPPSALA LÄN</t>
        </is>
      </c>
      <c r="E4" t="inlineStr">
        <is>
          <t>ÄLVKARLEBY</t>
        </is>
      </c>
      <c r="F4" t="inlineStr">
        <is>
          <t>Bergvik skog väst AB</t>
        </is>
      </c>
      <c r="G4" t="n">
        <v>1.6</v>
      </c>
      <c r="H4" t="n">
        <v>1</v>
      </c>
      <c r="I4" t="n">
        <v>6</v>
      </c>
      <c r="J4" t="n">
        <v>3</v>
      </c>
      <c r="K4" t="n">
        <v>1</v>
      </c>
      <c r="L4" t="n">
        <v>0</v>
      </c>
      <c r="M4" t="n">
        <v>0</v>
      </c>
      <c r="N4" t="n">
        <v>0</v>
      </c>
      <c r="O4" t="n">
        <v>4</v>
      </c>
      <c r="P4" t="n">
        <v>1</v>
      </c>
      <c r="Q4" t="n">
        <v>11</v>
      </c>
      <c r="R4" s="2" t="inlineStr">
        <is>
          <t>Läderdoftande fingersvamp
Odörspindling
Slåtterfibbla
Svart taggsvamp
Anisspindling
Barrfagerspindling
Olivspindling
Rödfläckig zontaggsvamp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45937</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55561-2024</t>
        </is>
      </c>
      <c r="B7" s="1" t="n">
        <v>45622</v>
      </c>
      <c r="C7" s="1" t="n">
        <v>45937</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45937</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45937</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45937</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45937</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55554-2024</t>
        </is>
      </c>
      <c r="B14" s="1" t="n">
        <v>45622</v>
      </c>
      <c r="C14" s="1" t="n">
        <v>45937</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45937</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34798-2024</t>
        </is>
      </c>
      <c r="B16" s="1" t="n">
        <v>45526</v>
      </c>
      <c r="C16" s="1" t="n">
        <v>45937</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70017-2021</t>
        </is>
      </c>
      <c r="B17" s="1" t="n">
        <v>44533</v>
      </c>
      <c r="C17" s="1" t="n">
        <v>45937</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55547-2024</t>
        </is>
      </c>
      <c r="B18" s="1" t="n">
        <v>45622.5105787037</v>
      </c>
      <c r="C18" s="1" t="n">
        <v>45937</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21007-2025</t>
        </is>
      </c>
      <c r="B19" s="1" t="n">
        <v>45777</v>
      </c>
      <c r="C19" s="1" t="n">
        <v>45937</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55560-2024</t>
        </is>
      </c>
      <c r="B20" s="1" t="n">
        <v>45622.53336805556</v>
      </c>
      <c r="C20" s="1" t="n">
        <v>45937</v>
      </c>
      <c r="D20" t="inlineStr">
        <is>
          <t>UPPSALA LÄN</t>
        </is>
      </c>
      <c r="E20" t="inlineStr">
        <is>
          <t>ÄLVKARLEBY</t>
        </is>
      </c>
      <c r="F20" t="inlineStr">
        <is>
          <t>Bergvik skog väst AB</t>
        </is>
      </c>
      <c r="G20" t="n">
        <v>1</v>
      </c>
      <c r="H20" t="n">
        <v>2</v>
      </c>
      <c r="I20" t="n">
        <v>1</v>
      </c>
      <c r="J20" t="n">
        <v>0</v>
      </c>
      <c r="K20" t="n">
        <v>1</v>
      </c>
      <c r="L20" t="n">
        <v>0</v>
      </c>
      <c r="M20" t="n">
        <v>0</v>
      </c>
      <c r="N20" t="n">
        <v>0</v>
      </c>
      <c r="O20" t="n">
        <v>1</v>
      </c>
      <c r="P20" t="n">
        <v>1</v>
      </c>
      <c r="Q20" t="n">
        <v>2</v>
      </c>
      <c r="R20" s="2" t="inlineStr">
        <is>
          <t>Knärot
Grön sköldmossa</t>
        </is>
      </c>
      <c r="S20">
        <f>HYPERLINK("https://klasma.github.io/Logging_0319/artfynd/A 55560-2024 artfynd.xlsx", "A 55560-2024")</f>
        <v/>
      </c>
      <c r="T20">
        <f>HYPERLINK("https://klasma.github.io/Logging_0319/kartor/A 55560-2024 karta.png", "A 55560-2024")</f>
        <v/>
      </c>
      <c r="U20">
        <f>HYPERLINK("https://klasma.github.io/Logging_0319/knärot/A 55560-2024 karta knärot.png", "A 55560-2024")</f>
        <v/>
      </c>
      <c r="V20">
        <f>HYPERLINK("https://klasma.github.io/Logging_0319/klagomål/A 55560-2024 FSC-klagomål.docx", "A 55560-2024")</f>
        <v/>
      </c>
      <c r="W20">
        <f>HYPERLINK("https://klasma.github.io/Logging_0319/klagomålsmail/A 55560-2024 FSC-klagomål mail.docx", "A 55560-2024")</f>
        <v/>
      </c>
      <c r="X20">
        <f>HYPERLINK("https://klasma.github.io/Logging_0319/tillsyn/A 55560-2024 tillsynsbegäran.docx", "A 55560-2024")</f>
        <v/>
      </c>
      <c r="Y20">
        <f>HYPERLINK("https://klasma.github.io/Logging_0319/tillsynsmail/A 55560-2024 tillsynsbegäran mail.docx", "A 55560-2024")</f>
        <v/>
      </c>
    </row>
    <row r="21" ht="15" customHeight="1">
      <c r="A21" t="inlineStr">
        <is>
          <t>A 66277-2020</t>
        </is>
      </c>
      <c r="B21" s="1" t="n">
        <v>44176</v>
      </c>
      <c r="C21" s="1" t="n">
        <v>45937</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45937</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12427-2025</t>
        </is>
      </c>
      <c r="B23" s="1" t="n">
        <v>45730.45799768518</v>
      </c>
      <c r="C23" s="1" t="n">
        <v>45937</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9521-2025</t>
        </is>
      </c>
      <c r="B24" s="1" t="n">
        <v>45715.56259259259</v>
      </c>
      <c r="C24" s="1" t="n">
        <v>45937</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47207-2025</t>
        </is>
      </c>
      <c r="B25" s="1" t="n">
        <v>45930.37263888889</v>
      </c>
      <c r="C25" s="1" t="n">
        <v>45937</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39902-2025</t>
        </is>
      </c>
      <c r="B26" s="1" t="n">
        <v>45891.63597222222</v>
      </c>
      <c r="C26" s="1" t="n">
        <v>45937</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21700-2024</t>
        </is>
      </c>
      <c r="B27" s="1" t="n">
        <v>45442</v>
      </c>
      <c r="C27" s="1" t="n">
        <v>45937</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10455-2022</t>
        </is>
      </c>
      <c r="B28" s="1" t="n">
        <v>44623</v>
      </c>
      <c r="C28" s="1" t="n">
        <v>45937</v>
      </c>
      <c r="D28" t="inlineStr">
        <is>
          <t>UPPSALA LÄN</t>
        </is>
      </c>
      <c r="E28" t="inlineStr">
        <is>
          <t>ÄLVKARLEBY</t>
        </is>
      </c>
      <c r="F28" t="inlineStr">
        <is>
          <t>Bergvik skog öst AB</t>
        </is>
      </c>
      <c r="G28" t="n">
        <v>1.1</v>
      </c>
      <c r="H28" t="n">
        <v>0</v>
      </c>
      <c r="I28" t="n">
        <v>0</v>
      </c>
      <c r="J28" t="n">
        <v>1</v>
      </c>
      <c r="K28" t="n">
        <v>0</v>
      </c>
      <c r="L28" t="n">
        <v>0</v>
      </c>
      <c r="M28" t="n">
        <v>0</v>
      </c>
      <c r="N28" t="n">
        <v>0</v>
      </c>
      <c r="O28" t="n">
        <v>1</v>
      </c>
      <c r="P28" t="n">
        <v>0</v>
      </c>
      <c r="Q28" t="n">
        <v>1</v>
      </c>
      <c r="R28" s="2" t="inlineStr">
        <is>
          <t>Sandviol</t>
        </is>
      </c>
      <c r="S28">
        <f>HYPERLINK("https://klasma.github.io/Logging_0319/artfynd/A 10455-2022 artfynd.xlsx", "A 10455-2022")</f>
        <v/>
      </c>
      <c r="T28">
        <f>HYPERLINK("https://klasma.github.io/Logging_0319/kartor/A 10455-2022 karta.png", "A 10455-2022")</f>
        <v/>
      </c>
      <c r="V28">
        <f>HYPERLINK("https://klasma.github.io/Logging_0319/klagomål/A 10455-2022 FSC-klagomål.docx", "A 10455-2022")</f>
        <v/>
      </c>
      <c r="W28">
        <f>HYPERLINK("https://klasma.github.io/Logging_0319/klagomålsmail/A 10455-2022 FSC-klagomål mail.docx", "A 10455-2022")</f>
        <v/>
      </c>
      <c r="X28">
        <f>HYPERLINK("https://klasma.github.io/Logging_0319/tillsyn/A 10455-2022 tillsynsbegäran.docx", "A 10455-2022")</f>
        <v/>
      </c>
      <c r="Y28">
        <f>HYPERLINK("https://klasma.github.io/Logging_0319/tillsynsmail/A 10455-2022 tillsynsbegäran mail.docx", "A 10455-2022")</f>
        <v/>
      </c>
    </row>
    <row r="29" ht="15" customHeight="1">
      <c r="A29" t="inlineStr">
        <is>
          <t>A 36217-2022</t>
        </is>
      </c>
      <c r="B29" s="1" t="n">
        <v>44803</v>
      </c>
      <c r="C29" s="1" t="n">
        <v>45937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45937</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45937</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2184-2024</t>
        </is>
      </c>
      <c r="B32" s="1" t="n">
        <v>45309</v>
      </c>
      <c r="C32" s="1" t="n">
        <v>45937</v>
      </c>
      <c r="D32" t="inlineStr">
        <is>
          <t>UPPSALA LÄN</t>
        </is>
      </c>
      <c r="E32" t="inlineStr">
        <is>
          <t>ÄLVKARLEBY</t>
        </is>
      </c>
      <c r="G32" t="n">
        <v>0.6</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45937</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9533-2025</t>
        </is>
      </c>
      <c r="B34" s="1" t="n">
        <v>45715.57082175926</v>
      </c>
      <c r="C34" s="1" t="n">
        <v>45937</v>
      </c>
      <c r="D34" t="inlineStr">
        <is>
          <t>UPPSALA LÄN</t>
        </is>
      </c>
      <c r="E34" t="inlineStr">
        <is>
          <t>ÄLVKARLEBY</t>
        </is>
      </c>
      <c r="G34" t="n">
        <v>2.1</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45937</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45937</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21012-2025</t>
        </is>
      </c>
      <c r="B37" s="1" t="n">
        <v>45777</v>
      </c>
      <c r="C37" s="1" t="n">
        <v>45937</v>
      </c>
      <c r="D37" t="inlineStr">
        <is>
          <t>UPPSALA LÄN</t>
        </is>
      </c>
      <c r="E37" t="inlineStr">
        <is>
          <t>ÄLVKARLEBY</t>
        </is>
      </c>
      <c r="F37" t="inlineStr">
        <is>
          <t>Bergvik skog väst AB</t>
        </is>
      </c>
      <c r="G37" t="n">
        <v>1.8</v>
      </c>
      <c r="H37" t="n">
        <v>0</v>
      </c>
      <c r="I37" t="n">
        <v>0</v>
      </c>
      <c r="J37" t="n">
        <v>0</v>
      </c>
      <c r="K37" t="n">
        <v>0</v>
      </c>
      <c r="L37" t="n">
        <v>0</v>
      </c>
      <c r="M37" t="n">
        <v>0</v>
      </c>
      <c r="N37" t="n">
        <v>0</v>
      </c>
      <c r="O37" t="n">
        <v>0</v>
      </c>
      <c r="P37" t="n">
        <v>0</v>
      </c>
      <c r="Q37" t="n">
        <v>0</v>
      </c>
      <c r="R37" s="2" t="inlineStr"/>
    </row>
    <row r="38" ht="15" customHeight="1">
      <c r="A38" t="inlineStr">
        <is>
          <t>A 2183-2024</t>
        </is>
      </c>
      <c r="B38" s="1" t="n">
        <v>45309</v>
      </c>
      <c r="C38" s="1" t="n">
        <v>45937</v>
      </c>
      <c r="D38" t="inlineStr">
        <is>
          <t>UPPSALA LÄN</t>
        </is>
      </c>
      <c r="E38" t="inlineStr">
        <is>
          <t>ÄLVKARLEBY</t>
        </is>
      </c>
      <c r="G38" t="n">
        <v>0.5</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45937</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22223-2025</t>
        </is>
      </c>
      <c r="B40" s="1" t="n">
        <v>45785</v>
      </c>
      <c r="C40" s="1" t="n">
        <v>45937</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36216-2022</t>
        </is>
      </c>
      <c r="B41" s="1" t="n">
        <v>44803</v>
      </c>
      <c r="C41" s="1" t="n">
        <v>45937</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45937</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19304-2024</t>
        </is>
      </c>
      <c r="B43" s="1" t="n">
        <v>45428</v>
      </c>
      <c r="C43" s="1" t="n">
        <v>45937</v>
      </c>
      <c r="D43" t="inlineStr">
        <is>
          <t>UPPSALA LÄN</t>
        </is>
      </c>
      <c r="E43" t="inlineStr">
        <is>
          <t>ÄLVKARLEBY</t>
        </is>
      </c>
      <c r="G43" t="n">
        <v>0.2</v>
      </c>
      <c r="H43" t="n">
        <v>0</v>
      </c>
      <c r="I43" t="n">
        <v>0</v>
      </c>
      <c r="J43" t="n">
        <v>0</v>
      </c>
      <c r="K43" t="n">
        <v>0</v>
      </c>
      <c r="L43" t="n">
        <v>0</v>
      </c>
      <c r="M43" t="n">
        <v>0</v>
      </c>
      <c r="N43" t="n">
        <v>0</v>
      </c>
      <c r="O43" t="n">
        <v>0</v>
      </c>
      <c r="P43" t="n">
        <v>0</v>
      </c>
      <c r="Q43" t="n">
        <v>0</v>
      </c>
      <c r="R43" s="2" t="inlineStr"/>
    </row>
    <row r="44" ht="15" customHeight="1">
      <c r="A44" t="inlineStr">
        <is>
          <t>A 16990-2022</t>
        </is>
      </c>
      <c r="B44" s="1" t="n">
        <v>44676.6122337963</v>
      </c>
      <c r="C44" s="1" t="n">
        <v>45937</v>
      </c>
      <c r="D44" t="inlineStr">
        <is>
          <t>UPPSALA LÄN</t>
        </is>
      </c>
      <c r="E44" t="inlineStr">
        <is>
          <t>ÄLVKARLEBY</t>
        </is>
      </c>
      <c r="F44" t="inlineStr">
        <is>
          <t>Bergvik skog väst AB</t>
        </is>
      </c>
      <c r="G44" t="n">
        <v>2.6</v>
      </c>
      <c r="H44" t="n">
        <v>0</v>
      </c>
      <c r="I44" t="n">
        <v>0</v>
      </c>
      <c r="J44" t="n">
        <v>0</v>
      </c>
      <c r="K44" t="n">
        <v>0</v>
      </c>
      <c r="L44" t="n">
        <v>0</v>
      </c>
      <c r="M44" t="n">
        <v>0</v>
      </c>
      <c r="N44" t="n">
        <v>0</v>
      </c>
      <c r="O44" t="n">
        <v>0</v>
      </c>
      <c r="P44" t="n">
        <v>0</v>
      </c>
      <c r="Q44" t="n">
        <v>0</v>
      </c>
      <c r="R44" s="2" t="inlineStr"/>
    </row>
    <row r="45" ht="15" customHeight="1">
      <c r="A45" t="inlineStr">
        <is>
          <t>A 24591-2025</t>
        </is>
      </c>
      <c r="B45" s="1" t="n">
        <v>45798.53666666667</v>
      </c>
      <c r="C45" s="1" t="n">
        <v>45937</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25330-2025</t>
        </is>
      </c>
      <c r="B46" s="1" t="n">
        <v>45800.59114583334</v>
      </c>
      <c r="C46" s="1" t="n">
        <v>45937</v>
      </c>
      <c r="D46" t="inlineStr">
        <is>
          <t>UPPSALA LÄN</t>
        </is>
      </c>
      <c r="E46" t="inlineStr">
        <is>
          <t>ÄLVKARLEBY</t>
        </is>
      </c>
      <c r="F46" t="inlineStr">
        <is>
          <t>Bergvik skog väst AB</t>
        </is>
      </c>
      <c r="G46" t="n">
        <v>5</v>
      </c>
      <c r="H46" t="n">
        <v>0</v>
      </c>
      <c r="I46" t="n">
        <v>0</v>
      </c>
      <c r="J46" t="n">
        <v>0</v>
      </c>
      <c r="K46" t="n">
        <v>0</v>
      </c>
      <c r="L46" t="n">
        <v>0</v>
      </c>
      <c r="M46" t="n">
        <v>0</v>
      </c>
      <c r="N46" t="n">
        <v>0</v>
      </c>
      <c r="O46" t="n">
        <v>0</v>
      </c>
      <c r="P46" t="n">
        <v>0</v>
      </c>
      <c r="Q46" t="n">
        <v>0</v>
      </c>
      <c r="R46" s="2" t="inlineStr"/>
    </row>
    <row r="47" ht="15" customHeight="1">
      <c r="A47" t="inlineStr">
        <is>
          <t>A 25264-2025</t>
        </is>
      </c>
      <c r="B47" s="1" t="n">
        <v>45800.5334375</v>
      </c>
      <c r="C47" s="1" t="n">
        <v>45937</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45937</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45937</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45937</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45937</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11553-2021</t>
        </is>
      </c>
      <c r="B52" s="1" t="n">
        <v>44264.48725694444</v>
      </c>
      <c r="C52" s="1" t="n">
        <v>45937</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27743-2025</t>
        </is>
      </c>
      <c r="B53" s="1" t="n">
        <v>45815.53981481482</v>
      </c>
      <c r="C53" s="1" t="n">
        <v>45937</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45937</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45937</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28670-2025</t>
        </is>
      </c>
      <c r="B56" s="1" t="n">
        <v>45819.67130787037</v>
      </c>
      <c r="C56" s="1" t="n">
        <v>45937</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43285-2023</t>
        </is>
      </c>
      <c r="B57" s="1" t="n">
        <v>45183.5630787037</v>
      </c>
      <c r="C57" s="1" t="n">
        <v>45937</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45937</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3950-2025</t>
        </is>
      </c>
      <c r="B59" s="1" t="n">
        <v>45684</v>
      </c>
      <c r="C59" s="1" t="n">
        <v>45937</v>
      </c>
      <c r="D59" t="inlineStr">
        <is>
          <t>UPPSALA LÄN</t>
        </is>
      </c>
      <c r="E59" t="inlineStr">
        <is>
          <t>ÄLVKARLEBY</t>
        </is>
      </c>
      <c r="G59" t="n">
        <v>3.1</v>
      </c>
      <c r="H59" t="n">
        <v>0</v>
      </c>
      <c r="I59" t="n">
        <v>0</v>
      </c>
      <c r="J59" t="n">
        <v>0</v>
      </c>
      <c r="K59" t="n">
        <v>0</v>
      </c>
      <c r="L59" t="n">
        <v>0</v>
      </c>
      <c r="M59" t="n">
        <v>0</v>
      </c>
      <c r="N59" t="n">
        <v>0</v>
      </c>
      <c r="O59" t="n">
        <v>0</v>
      </c>
      <c r="P59" t="n">
        <v>0</v>
      </c>
      <c r="Q59" t="n">
        <v>0</v>
      </c>
      <c r="R59" s="2" t="inlineStr"/>
    </row>
    <row r="60" ht="15" customHeight="1">
      <c r="A60" t="inlineStr">
        <is>
          <t>A 8030-2025</t>
        </is>
      </c>
      <c r="B60" s="1" t="n">
        <v>45707.59064814815</v>
      </c>
      <c r="C60" s="1" t="n">
        <v>45937</v>
      </c>
      <c r="D60" t="inlineStr">
        <is>
          <t>UPPSALA LÄN</t>
        </is>
      </c>
      <c r="E60" t="inlineStr">
        <is>
          <t>ÄLVKARLEBY</t>
        </is>
      </c>
      <c r="F60" t="inlineStr">
        <is>
          <t>Bergvik skog väst AB</t>
        </is>
      </c>
      <c r="G60" t="n">
        <v>3.6</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45937</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30944-2025</t>
        </is>
      </c>
      <c r="B62" s="1" t="n">
        <v>45832.41182870371</v>
      </c>
      <c r="C62" s="1" t="n">
        <v>45937</v>
      </c>
      <c r="D62" t="inlineStr">
        <is>
          <t>UPPSALA LÄN</t>
        </is>
      </c>
      <c r="E62" t="inlineStr">
        <is>
          <t>ÄLVKARLEBY</t>
        </is>
      </c>
      <c r="F62" t="inlineStr">
        <is>
          <t>Bergvik skog öst AB</t>
        </is>
      </c>
      <c r="G62" t="n">
        <v>3.4</v>
      </c>
      <c r="H62" t="n">
        <v>0</v>
      </c>
      <c r="I62" t="n">
        <v>0</v>
      </c>
      <c r="J62" t="n">
        <v>0</v>
      </c>
      <c r="K62" t="n">
        <v>0</v>
      </c>
      <c r="L62" t="n">
        <v>0</v>
      </c>
      <c r="M62" t="n">
        <v>0</v>
      </c>
      <c r="N62" t="n">
        <v>0</v>
      </c>
      <c r="O62" t="n">
        <v>0</v>
      </c>
      <c r="P62" t="n">
        <v>0</v>
      </c>
      <c r="Q62" t="n">
        <v>0</v>
      </c>
      <c r="R62" s="2" t="inlineStr"/>
    </row>
    <row r="63" ht="15" customHeight="1">
      <c r="A63" t="inlineStr">
        <is>
          <t>A 30936-2025</t>
        </is>
      </c>
      <c r="B63" s="1" t="n">
        <v>45832.40586805555</v>
      </c>
      <c r="C63" s="1" t="n">
        <v>45937</v>
      </c>
      <c r="D63" t="inlineStr">
        <is>
          <t>UPPSALA LÄN</t>
        </is>
      </c>
      <c r="E63" t="inlineStr">
        <is>
          <t>ÄLVKARLEBY</t>
        </is>
      </c>
      <c r="F63" t="inlineStr">
        <is>
          <t>Bergvik skog öst AB</t>
        </is>
      </c>
      <c r="G63" t="n">
        <v>7.2</v>
      </c>
      <c r="H63" t="n">
        <v>0</v>
      </c>
      <c r="I63" t="n">
        <v>0</v>
      </c>
      <c r="J63" t="n">
        <v>0</v>
      </c>
      <c r="K63" t="n">
        <v>0</v>
      </c>
      <c r="L63" t="n">
        <v>0</v>
      </c>
      <c r="M63" t="n">
        <v>0</v>
      </c>
      <c r="N63" t="n">
        <v>0</v>
      </c>
      <c r="O63" t="n">
        <v>0</v>
      </c>
      <c r="P63" t="n">
        <v>0</v>
      </c>
      <c r="Q63" t="n">
        <v>0</v>
      </c>
      <c r="R63" s="2" t="inlineStr"/>
    </row>
    <row r="64" ht="15" customHeight="1">
      <c r="A64" t="inlineStr">
        <is>
          <t>A 48460-2025</t>
        </is>
      </c>
      <c r="B64" s="1" t="n">
        <v>45935.94372685185</v>
      </c>
      <c r="C64" s="1" t="n">
        <v>45937</v>
      </c>
      <c r="D64" t="inlineStr">
        <is>
          <t>UPPSALA LÄN</t>
        </is>
      </c>
      <c r="E64" t="inlineStr">
        <is>
          <t>ÄLVKARLEBY</t>
        </is>
      </c>
      <c r="F64" t="inlineStr">
        <is>
          <t>Bergvik skog väst AB</t>
        </is>
      </c>
      <c r="G64" t="n">
        <v>1.2</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45937</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45937</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45937</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32187-2025</t>
        </is>
      </c>
      <c r="B68" s="1" t="n">
        <v>45835.56949074074</v>
      </c>
      <c r="C68" s="1" t="n">
        <v>45937</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45937</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967-2021</t>
        </is>
      </c>
      <c r="B70" s="1" t="n">
        <v>44207</v>
      </c>
      <c r="C70" s="1" t="n">
        <v>45937</v>
      </c>
      <c r="D70" t="inlineStr">
        <is>
          <t>UPPSALA LÄN</t>
        </is>
      </c>
      <c r="E70" t="inlineStr">
        <is>
          <t>ÄLVKARLEBY</t>
        </is>
      </c>
      <c r="G70" t="n">
        <v>0.7</v>
      </c>
      <c r="H70" t="n">
        <v>0</v>
      </c>
      <c r="I70" t="n">
        <v>0</v>
      </c>
      <c r="J70" t="n">
        <v>0</v>
      </c>
      <c r="K70" t="n">
        <v>0</v>
      </c>
      <c r="L70" t="n">
        <v>0</v>
      </c>
      <c r="M70" t="n">
        <v>0</v>
      </c>
      <c r="N70" t="n">
        <v>0</v>
      </c>
      <c r="O70" t="n">
        <v>0</v>
      </c>
      <c r="P70" t="n">
        <v>0</v>
      </c>
      <c r="Q70" t="n">
        <v>0</v>
      </c>
      <c r="R70" s="2" t="inlineStr"/>
    </row>
    <row r="71" ht="15" customHeight="1">
      <c r="A71" t="inlineStr">
        <is>
          <t>A 14004-2025</t>
        </is>
      </c>
      <c r="B71" s="1" t="n">
        <v>45740.2997337963</v>
      </c>
      <c r="C71" s="1" t="n">
        <v>45937</v>
      </c>
      <c r="D71" t="inlineStr">
        <is>
          <t>UPPSALA LÄN</t>
        </is>
      </c>
      <c r="E71" t="inlineStr">
        <is>
          <t>ÄLVKARLEBY</t>
        </is>
      </c>
      <c r="F71" t="inlineStr">
        <is>
          <t>Bergvik skog öst AB</t>
        </is>
      </c>
      <c r="G71" t="n">
        <v>10.1</v>
      </c>
      <c r="H71" t="n">
        <v>0</v>
      </c>
      <c r="I71" t="n">
        <v>0</v>
      </c>
      <c r="J71" t="n">
        <v>0</v>
      </c>
      <c r="K71" t="n">
        <v>0</v>
      </c>
      <c r="L71" t="n">
        <v>0</v>
      </c>
      <c r="M71" t="n">
        <v>0</v>
      </c>
      <c r="N71" t="n">
        <v>0</v>
      </c>
      <c r="O71" t="n">
        <v>0</v>
      </c>
      <c r="P71" t="n">
        <v>0</v>
      </c>
      <c r="Q71" t="n">
        <v>0</v>
      </c>
      <c r="R71" s="2" t="inlineStr"/>
    </row>
    <row r="72" ht="15" customHeight="1">
      <c r="A72" t="inlineStr">
        <is>
          <t>A 19703-2025</t>
        </is>
      </c>
      <c r="B72" s="1" t="n">
        <v>45771</v>
      </c>
      <c r="C72" s="1" t="n">
        <v>45937</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46113-2023</t>
        </is>
      </c>
      <c r="B73" s="1" t="n">
        <v>45196.54938657407</v>
      </c>
      <c r="C73" s="1" t="n">
        <v>45937</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45937</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45937</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45937</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41979-2024</t>
        </is>
      </c>
      <c r="B77" s="1" t="n">
        <v>45561</v>
      </c>
      <c r="C77" s="1" t="n">
        <v>45937</v>
      </c>
      <c r="D77" t="inlineStr">
        <is>
          <t>UPPSALA LÄN</t>
        </is>
      </c>
      <c r="E77" t="inlineStr">
        <is>
          <t>ÄLVKARLEBY</t>
        </is>
      </c>
      <c r="F77" t="inlineStr">
        <is>
          <t>Bergvik skog väst AB</t>
        </is>
      </c>
      <c r="G77" t="n">
        <v>2.8</v>
      </c>
      <c r="H77" t="n">
        <v>0</v>
      </c>
      <c r="I77" t="n">
        <v>0</v>
      </c>
      <c r="J77" t="n">
        <v>0</v>
      </c>
      <c r="K77" t="n">
        <v>0</v>
      </c>
      <c r="L77" t="n">
        <v>0</v>
      </c>
      <c r="M77" t="n">
        <v>0</v>
      </c>
      <c r="N77" t="n">
        <v>0</v>
      </c>
      <c r="O77" t="n">
        <v>0</v>
      </c>
      <c r="P77" t="n">
        <v>0</v>
      </c>
      <c r="Q77" t="n">
        <v>0</v>
      </c>
      <c r="R77" s="2" t="inlineStr"/>
    </row>
    <row r="78" ht="15" customHeight="1">
      <c r="A78" t="inlineStr">
        <is>
          <t>A 19740-2025</t>
        </is>
      </c>
      <c r="B78" s="1" t="n">
        <v>45771</v>
      </c>
      <c r="C78" s="1" t="n">
        <v>45937</v>
      </c>
      <c r="D78" t="inlineStr">
        <is>
          <t>UPPSALA LÄN</t>
        </is>
      </c>
      <c r="E78" t="inlineStr">
        <is>
          <t>ÄLVKARLEBY</t>
        </is>
      </c>
      <c r="F78" t="inlineStr">
        <is>
          <t>Bergvik skog väst AB</t>
        </is>
      </c>
      <c r="G78" t="n">
        <v>0.7</v>
      </c>
      <c r="H78" t="n">
        <v>0</v>
      </c>
      <c r="I78" t="n">
        <v>0</v>
      </c>
      <c r="J78" t="n">
        <v>0</v>
      </c>
      <c r="K78" t="n">
        <v>0</v>
      </c>
      <c r="L78" t="n">
        <v>0</v>
      </c>
      <c r="M78" t="n">
        <v>0</v>
      </c>
      <c r="N78" t="n">
        <v>0</v>
      </c>
      <c r="O78" t="n">
        <v>0</v>
      </c>
      <c r="P78" t="n">
        <v>0</v>
      </c>
      <c r="Q78" t="n">
        <v>0</v>
      </c>
      <c r="R78" s="2" t="inlineStr"/>
    </row>
    <row r="79" ht="15" customHeight="1">
      <c r="A79" t="inlineStr">
        <is>
          <t>A 41847-2025</t>
        </is>
      </c>
      <c r="B79" s="1" t="n">
        <v>45902.75265046296</v>
      </c>
      <c r="C79" s="1" t="n">
        <v>45937</v>
      </c>
      <c r="D79" t="inlineStr">
        <is>
          <t>UPPSALA LÄN</t>
        </is>
      </c>
      <c r="E79" t="inlineStr">
        <is>
          <t>ÄLVKARLEBY</t>
        </is>
      </c>
      <c r="F79" t="inlineStr">
        <is>
          <t>Bergvik skog väst AB</t>
        </is>
      </c>
      <c r="G79" t="n">
        <v>3.6</v>
      </c>
      <c r="H79" t="n">
        <v>0</v>
      </c>
      <c r="I79" t="n">
        <v>0</v>
      </c>
      <c r="J79" t="n">
        <v>0</v>
      </c>
      <c r="K79" t="n">
        <v>0</v>
      </c>
      <c r="L79" t="n">
        <v>0</v>
      </c>
      <c r="M79" t="n">
        <v>0</v>
      </c>
      <c r="N79" t="n">
        <v>0</v>
      </c>
      <c r="O79" t="n">
        <v>0</v>
      </c>
      <c r="P79" t="n">
        <v>0</v>
      </c>
      <c r="Q79" t="n">
        <v>0</v>
      </c>
      <c r="R79" s="2" t="inlineStr"/>
    </row>
    <row r="80" ht="15" customHeight="1">
      <c r="A80" t="inlineStr">
        <is>
          <t>A 41615-2025</t>
        </is>
      </c>
      <c r="B80" s="1" t="n">
        <v>45901.69556712963</v>
      </c>
      <c r="C80" s="1" t="n">
        <v>45937</v>
      </c>
      <c r="D80" t="inlineStr">
        <is>
          <t>UPPSALA LÄN</t>
        </is>
      </c>
      <c r="E80" t="inlineStr">
        <is>
          <t>ÄLVKARLEBY</t>
        </is>
      </c>
      <c r="F80" t="inlineStr">
        <is>
          <t>Bergvik skog väst AB</t>
        </is>
      </c>
      <c r="G80" t="n">
        <v>3</v>
      </c>
      <c r="H80" t="n">
        <v>0</v>
      </c>
      <c r="I80" t="n">
        <v>0</v>
      </c>
      <c r="J80" t="n">
        <v>0</v>
      </c>
      <c r="K80" t="n">
        <v>0</v>
      </c>
      <c r="L80" t="n">
        <v>0</v>
      </c>
      <c r="M80" t="n">
        <v>0</v>
      </c>
      <c r="N80" t="n">
        <v>0</v>
      </c>
      <c r="O80" t="n">
        <v>0</v>
      </c>
      <c r="P80" t="n">
        <v>0</v>
      </c>
      <c r="Q80" t="n">
        <v>0</v>
      </c>
      <c r="R80" s="2" t="inlineStr"/>
    </row>
    <row r="81" ht="15" customHeight="1">
      <c r="A81" t="inlineStr">
        <is>
          <t>A 26664-2025</t>
        </is>
      </c>
      <c r="B81" s="1" t="n">
        <v>45810</v>
      </c>
      <c r="C81" s="1" t="n">
        <v>45937</v>
      </c>
      <c r="D81" t="inlineStr">
        <is>
          <t>UPPSALA LÄN</t>
        </is>
      </c>
      <c r="E81" t="inlineStr">
        <is>
          <t>ÄLVKARLEBY</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39791-2021</t>
        </is>
      </c>
      <c r="B82" s="1" t="n">
        <v>44417</v>
      </c>
      <c r="C82" s="1" t="n">
        <v>45937</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41276-2023</t>
        </is>
      </c>
      <c r="B83" s="1" t="n">
        <v>45174</v>
      </c>
      <c r="C83" s="1" t="n">
        <v>45937</v>
      </c>
      <c r="D83" t="inlineStr">
        <is>
          <t>UPPSALA LÄN</t>
        </is>
      </c>
      <c r="E83" t="inlineStr">
        <is>
          <t>ÄLVKARLEBY</t>
        </is>
      </c>
      <c r="F83" t="inlineStr">
        <is>
          <t>Bergvik skog väst AB</t>
        </is>
      </c>
      <c r="G83" t="n">
        <v>0.3</v>
      </c>
      <c r="H83" t="n">
        <v>0</v>
      </c>
      <c r="I83" t="n">
        <v>0</v>
      </c>
      <c r="J83" t="n">
        <v>0</v>
      </c>
      <c r="K83" t="n">
        <v>0</v>
      </c>
      <c r="L83" t="n">
        <v>0</v>
      </c>
      <c r="M83" t="n">
        <v>0</v>
      </c>
      <c r="N83" t="n">
        <v>0</v>
      </c>
      <c r="O83" t="n">
        <v>0</v>
      </c>
      <c r="P83" t="n">
        <v>0</v>
      </c>
      <c r="Q83" t="n">
        <v>0</v>
      </c>
      <c r="R83" s="2" t="inlineStr"/>
    </row>
    <row r="84" ht="15" customHeight="1">
      <c r="A84" t="inlineStr">
        <is>
          <t>A 36626-2025</t>
        </is>
      </c>
      <c r="B84" s="1" t="n">
        <v>45870.66732638889</v>
      </c>
      <c r="C84" s="1" t="n">
        <v>45937</v>
      </c>
      <c r="D84" t="inlineStr">
        <is>
          <t>UPPSALA LÄN</t>
        </is>
      </c>
      <c r="E84" t="inlineStr">
        <is>
          <t>ÄLVKARLEBY</t>
        </is>
      </c>
      <c r="F84" t="inlineStr">
        <is>
          <t>Bergvik skog väst AB</t>
        </is>
      </c>
      <c r="G84" t="n">
        <v>2.7</v>
      </c>
      <c r="H84" t="n">
        <v>0</v>
      </c>
      <c r="I84" t="n">
        <v>0</v>
      </c>
      <c r="J84" t="n">
        <v>0</v>
      </c>
      <c r="K84" t="n">
        <v>0</v>
      </c>
      <c r="L84" t="n">
        <v>0</v>
      </c>
      <c r="M84" t="n">
        <v>0</v>
      </c>
      <c r="N84" t="n">
        <v>0</v>
      </c>
      <c r="O84" t="n">
        <v>0</v>
      </c>
      <c r="P84" t="n">
        <v>0</v>
      </c>
      <c r="Q84" t="n">
        <v>0</v>
      </c>
      <c r="R84" s="2" t="inlineStr"/>
    </row>
    <row r="85" ht="15" customHeight="1">
      <c r="A85" t="inlineStr">
        <is>
          <t>A 43662-2025</t>
        </is>
      </c>
      <c r="B85" s="1" t="n">
        <v>45912.34446759259</v>
      </c>
      <c r="C85" s="1" t="n">
        <v>45937</v>
      </c>
      <c r="D85" t="inlineStr">
        <is>
          <t>UPPSALA LÄN</t>
        </is>
      </c>
      <c r="E85" t="inlineStr">
        <is>
          <t>ÄLVKARLEBY</t>
        </is>
      </c>
      <c r="F85" t="inlineStr">
        <is>
          <t>Kyrkan</t>
        </is>
      </c>
      <c r="G85" t="n">
        <v>4.5</v>
      </c>
      <c r="H85" t="n">
        <v>0</v>
      </c>
      <c r="I85" t="n">
        <v>0</v>
      </c>
      <c r="J85" t="n">
        <v>0</v>
      </c>
      <c r="K85" t="n">
        <v>0</v>
      </c>
      <c r="L85" t="n">
        <v>0</v>
      </c>
      <c r="M85" t="n">
        <v>0</v>
      </c>
      <c r="N85" t="n">
        <v>0</v>
      </c>
      <c r="O85" t="n">
        <v>0</v>
      </c>
      <c r="P85" t="n">
        <v>0</v>
      </c>
      <c r="Q85" t="n">
        <v>0</v>
      </c>
      <c r="R85" s="2" t="inlineStr"/>
    </row>
    <row r="86" ht="15" customHeight="1">
      <c r="A86" t="inlineStr">
        <is>
          <t>A 43577-2025</t>
        </is>
      </c>
      <c r="B86" s="1" t="n">
        <v>45911.64219907407</v>
      </c>
      <c r="C86" s="1" t="n">
        <v>45937</v>
      </c>
      <c r="D86" t="inlineStr">
        <is>
          <t>UPPSALA LÄN</t>
        </is>
      </c>
      <c r="E86" t="inlineStr">
        <is>
          <t>ÄLVKARLEBY</t>
        </is>
      </c>
      <c r="F86" t="inlineStr">
        <is>
          <t>Bergvik skog väst AB</t>
        </is>
      </c>
      <c r="G86" t="n">
        <v>3</v>
      </c>
      <c r="H86" t="n">
        <v>0</v>
      </c>
      <c r="I86" t="n">
        <v>0</v>
      </c>
      <c r="J86" t="n">
        <v>0</v>
      </c>
      <c r="K86" t="n">
        <v>0</v>
      </c>
      <c r="L86" t="n">
        <v>0</v>
      </c>
      <c r="M86" t="n">
        <v>0</v>
      </c>
      <c r="N86" t="n">
        <v>0</v>
      </c>
      <c r="O86" t="n">
        <v>0</v>
      </c>
      <c r="P86" t="n">
        <v>0</v>
      </c>
      <c r="Q86" t="n">
        <v>0</v>
      </c>
      <c r="R86" s="2" t="inlineStr"/>
    </row>
    <row r="87" ht="15" customHeight="1">
      <c r="A87" t="inlineStr">
        <is>
          <t>A 19862-2025</t>
        </is>
      </c>
      <c r="B87" s="1" t="n">
        <v>45771.53560185185</v>
      </c>
      <c r="C87" s="1" t="n">
        <v>45937</v>
      </c>
      <c r="D87" t="inlineStr">
        <is>
          <t>UPPSALA LÄN</t>
        </is>
      </c>
      <c r="E87" t="inlineStr">
        <is>
          <t>ÄLVKARLEBY</t>
        </is>
      </c>
      <c r="F87" t="inlineStr">
        <is>
          <t>Kyrkan</t>
        </is>
      </c>
      <c r="G87" t="n">
        <v>3</v>
      </c>
      <c r="H87" t="n">
        <v>0</v>
      </c>
      <c r="I87" t="n">
        <v>0</v>
      </c>
      <c r="J87" t="n">
        <v>0</v>
      </c>
      <c r="K87" t="n">
        <v>0</v>
      </c>
      <c r="L87" t="n">
        <v>0</v>
      </c>
      <c r="M87" t="n">
        <v>0</v>
      </c>
      <c r="N87" t="n">
        <v>0</v>
      </c>
      <c r="O87" t="n">
        <v>0</v>
      </c>
      <c r="P87" t="n">
        <v>0</v>
      </c>
      <c r="Q87" t="n">
        <v>0</v>
      </c>
      <c r="R87" s="2" t="inlineStr"/>
    </row>
    <row r="88" ht="15" customHeight="1">
      <c r="A88" t="inlineStr">
        <is>
          <t>A 41929-2024</t>
        </is>
      </c>
      <c r="B88" s="1" t="n">
        <v>45561</v>
      </c>
      <c r="C88" s="1" t="n">
        <v>45937</v>
      </c>
      <c r="D88" t="inlineStr">
        <is>
          <t>UPPSALA LÄN</t>
        </is>
      </c>
      <c r="E88" t="inlineStr">
        <is>
          <t>ÄLVKARLEBY</t>
        </is>
      </c>
      <c r="F88" t="inlineStr">
        <is>
          <t>Bergvik skog väst AB</t>
        </is>
      </c>
      <c r="G88" t="n">
        <v>4.9</v>
      </c>
      <c r="H88" t="n">
        <v>0</v>
      </c>
      <c r="I88" t="n">
        <v>0</v>
      </c>
      <c r="J88" t="n">
        <v>0</v>
      </c>
      <c r="K88" t="n">
        <v>0</v>
      </c>
      <c r="L88" t="n">
        <v>0</v>
      </c>
      <c r="M88" t="n">
        <v>0</v>
      </c>
      <c r="N88" t="n">
        <v>0</v>
      </c>
      <c r="O88" t="n">
        <v>0</v>
      </c>
      <c r="P88" t="n">
        <v>0</v>
      </c>
      <c r="Q88" t="n">
        <v>0</v>
      </c>
      <c r="R88" s="2" t="inlineStr"/>
    </row>
    <row r="89" ht="15" customHeight="1">
      <c r="A89" t="inlineStr">
        <is>
          <t>A 45033-2025</t>
        </is>
      </c>
      <c r="B89" s="1" t="n">
        <v>45918.70299768518</v>
      </c>
      <c r="C89" s="1" t="n">
        <v>45937</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45512-2025</t>
        </is>
      </c>
      <c r="B90" s="1" t="n">
        <v>45922.58106481482</v>
      </c>
      <c r="C90" s="1" t="n">
        <v>45937</v>
      </c>
      <c r="D90" t="inlineStr">
        <is>
          <t>UPPSALA LÄN</t>
        </is>
      </c>
      <c r="E90" t="inlineStr">
        <is>
          <t>ÄLVKARLEBY</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18451-2025</t>
        </is>
      </c>
      <c r="B91" s="1" t="n">
        <v>45762</v>
      </c>
      <c r="C91" s="1" t="n">
        <v>45937</v>
      </c>
      <c r="D91" t="inlineStr">
        <is>
          <t>UPPSALA LÄN</t>
        </is>
      </c>
      <c r="E91" t="inlineStr">
        <is>
          <t>ÄLVKARLEBY</t>
        </is>
      </c>
      <c r="F91" t="inlineStr">
        <is>
          <t>Bergvik skog väst AB</t>
        </is>
      </c>
      <c r="G91" t="n">
        <v>1.2</v>
      </c>
      <c r="H91" t="n">
        <v>0</v>
      </c>
      <c r="I91" t="n">
        <v>0</v>
      </c>
      <c r="J91" t="n">
        <v>0</v>
      </c>
      <c r="K91" t="n">
        <v>0</v>
      </c>
      <c r="L91" t="n">
        <v>0</v>
      </c>
      <c r="M91" t="n">
        <v>0</v>
      </c>
      <c r="N91" t="n">
        <v>0</v>
      </c>
      <c r="O91" t="n">
        <v>0</v>
      </c>
      <c r="P91" t="n">
        <v>0</v>
      </c>
      <c r="Q91" t="n">
        <v>0</v>
      </c>
      <c r="R91" s="2" t="inlineStr"/>
    </row>
    <row r="92" ht="15" customHeight="1">
      <c r="A92" t="inlineStr">
        <is>
          <t>A 46510-2025</t>
        </is>
      </c>
      <c r="B92" s="1" t="n">
        <v>45925.92368055556</v>
      </c>
      <c r="C92" s="1" t="n">
        <v>45937</v>
      </c>
      <c r="D92" t="inlineStr">
        <is>
          <t>UPPSALA LÄN</t>
        </is>
      </c>
      <c r="E92" t="inlineStr">
        <is>
          <t>ÄLVKARLEBY</t>
        </is>
      </c>
      <c r="G92" t="n">
        <v>2.3</v>
      </c>
      <c r="H92" t="n">
        <v>0</v>
      </c>
      <c r="I92" t="n">
        <v>0</v>
      </c>
      <c r="J92" t="n">
        <v>0</v>
      </c>
      <c r="K92" t="n">
        <v>0</v>
      </c>
      <c r="L92" t="n">
        <v>0</v>
      </c>
      <c r="M92" t="n">
        <v>0</v>
      </c>
      <c r="N92" t="n">
        <v>0</v>
      </c>
      <c r="O92" t="n">
        <v>0</v>
      </c>
      <c r="P92" t="n">
        <v>0</v>
      </c>
      <c r="Q92" t="n">
        <v>0</v>
      </c>
      <c r="R92" s="2" t="inlineStr"/>
    </row>
    <row r="93">
      <c r="A93" t="inlineStr">
        <is>
          <t>A 14590-2023</t>
        </is>
      </c>
      <c r="B93" s="1" t="n">
        <v>45013.54621527778</v>
      </c>
      <c r="C93" s="1" t="n">
        <v>45937</v>
      </c>
      <c r="D93" t="inlineStr">
        <is>
          <t>UPPSALA LÄN</t>
        </is>
      </c>
      <c r="E93" t="inlineStr">
        <is>
          <t>ÄLVKARLEBY</t>
        </is>
      </c>
      <c r="G93" t="n">
        <v>1.8</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2025-10-07T12:33:50Z</dcterms:created>
  <dcterms:modified xmlns:dcterms="http://purl.org/dc/terms/" xmlns:xsi="http://www.w3.org/2001/XMLSchema-instance" xsi:type="dcterms:W3CDTF">2025-10-07T12:33:50Z</dcterms:modified>
</cp:coreProperties>
</file>