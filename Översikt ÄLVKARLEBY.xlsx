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46224</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46224</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46224</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46224</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46224</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46224</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46224</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46224</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46224</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46224</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46224</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46224</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46224</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62278-2025</t>
        </is>
      </c>
      <c r="B17" t="inlineStr">
        <is>
          <t>avverkningsanmälan</t>
        </is>
      </c>
      <c r="C17" t="inlineStr">
        <is>
          <t>Föryngringsavverkning</t>
        </is>
      </c>
      <c r="D17" s="1" t="n">
        <v>46006</v>
      </c>
      <c r="E17" s="1" t="n">
        <v>46224</v>
      </c>
      <c r="F17" t="inlineStr">
        <is>
          <t>UPPSALA LÄN</t>
        </is>
      </c>
      <c r="G17" t="inlineStr">
        <is>
          <t>ÄLVKARLEBY</t>
        </is>
      </c>
      <c r="H17" t="inlineStr">
        <is>
          <t>Bergvik skog väst AB</t>
        </is>
      </c>
      <c r="I17" t="n">
        <v>6.3</v>
      </c>
      <c r="J17" t="n">
        <v>1</v>
      </c>
      <c r="K17" t="n">
        <v>0</v>
      </c>
      <c r="L17" t="n">
        <v>3</v>
      </c>
      <c r="M17" t="n">
        <v>1</v>
      </c>
      <c r="N17" t="n">
        <v>0</v>
      </c>
      <c r="O17" t="n">
        <v>0</v>
      </c>
      <c r="P17" t="n">
        <v>0</v>
      </c>
      <c r="Q17" t="n">
        <v>4</v>
      </c>
      <c r="R17" t="n">
        <v>1</v>
      </c>
      <c r="S17" t="n">
        <v>4</v>
      </c>
      <c r="T17" t="n">
        <v>6</v>
      </c>
      <c r="U17" t="n">
        <v>0</v>
      </c>
      <c r="V17" s="2" t="inlineStr">
        <is>
          <t>Knärot
Rökfingersvamp
Vanlig sandviol
Vårstarr</t>
        </is>
      </c>
      <c r="W17">
        <f>HYPERLINK("https://klasma.github.io/Logging_0319/artfynd/A 62278-2025 artfynd.xlsx", "A 62278-2025")</f>
        <v/>
      </c>
      <c r="X17">
        <f>HYPERLINK("https://klasma.github.io/Logging_0319/kartor/A 62278-2025 karta.png", "A 62278-2025")</f>
        <v/>
      </c>
      <c r="Y17">
        <f>HYPERLINK("https://klasma.github.io/Logging_0319/kartor_geotiff/A 62278-2025 georefererad karta.tif", "A 62278-2025")</f>
        <v/>
      </c>
      <c r="Z17">
        <f>HYPERLINK("https://klasma.github.io/Logging_0319/knärot/A 62278-2025 karta knärot.png", "A 62278-2025")</f>
        <v/>
      </c>
      <c r="AA17">
        <f>HYPERLINK("https://klasma.github.io/Logging_0319/klagomål/A 62278-2025 FSC-klagomål.docx", "A 62278-2025")</f>
        <v/>
      </c>
      <c r="AB17">
        <f>HYPERLINK("https://klasma.github.io/Logging_0319/klagomålsmail/A 62278-2025 FSC-klagomål mail.docx", "A 62278-2025")</f>
        <v/>
      </c>
      <c r="AC17">
        <f>HYPERLINK("https://klasma.github.io/Logging_0319/tillsyn/A 62278-2025 tillsynsbegäran.docx", "A 62278-2025")</f>
        <v/>
      </c>
      <c r="AD17">
        <f>HYPERLINK("https://klasma.github.io/Logging_0319/tillsynsmail/A 62278-2025 tillsynsbegäran mail.docx", "A 62278-2025")</f>
        <v/>
      </c>
    </row>
    <row r="18" ht="15" customHeight="1">
      <c r="A18" t="inlineStr">
        <is>
          <t>A 58480-2025</t>
        </is>
      </c>
      <c r="B18" t="inlineStr">
        <is>
          <t>avverkningsanmälan</t>
        </is>
      </c>
      <c r="C18" t="inlineStr">
        <is>
          <t>Föryngringsavverkning</t>
        </is>
      </c>
      <c r="D18" s="1" t="n">
        <v>45985</v>
      </c>
      <c r="E18" s="1" t="n">
        <v>46224</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39791-2021</t>
        </is>
      </c>
      <c r="B19" t="inlineStr">
        <is>
          <t>avverkningsanmälan</t>
        </is>
      </c>
      <c r="C19" t="inlineStr">
        <is>
          <t>Avverkning för annat ändamål</t>
        </is>
      </c>
      <c r="D19" s="1" t="n">
        <v>44417</v>
      </c>
      <c r="E19" s="1" t="n">
        <v>46224</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46224</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46224</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46224</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46224</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58485-2025</t>
        </is>
      </c>
      <c r="B24" t="inlineStr">
        <is>
          <t>avverkningsanmälan</t>
        </is>
      </c>
      <c r="C24" t="inlineStr">
        <is>
          <t>Föryngringsavverkning</t>
        </is>
      </c>
      <c r="D24" s="1" t="n">
        <v>45985</v>
      </c>
      <c r="E24" s="1" t="n">
        <v>46224</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46224</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46224</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S 780-2024</t>
        </is>
      </c>
      <c r="B27" t="inlineStr">
        <is>
          <t>samrådsanmälan</t>
        </is>
      </c>
      <c r="C27" t="inlineStr">
        <is>
          <t>Annan skogsbruksåtgärd</t>
        </is>
      </c>
      <c r="D27" s="1" t="n">
        <v>45369</v>
      </c>
      <c r="E27" s="1" t="n">
        <v>46224</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46224</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63004-2025</t>
        </is>
      </c>
      <c r="B29" t="inlineStr">
        <is>
          <t>avverkningsanmälan</t>
        </is>
      </c>
      <c r="C29" t="inlineStr">
        <is>
          <t>Föryngringsavverkning</t>
        </is>
      </c>
      <c r="D29" s="1" t="n">
        <v>46009</v>
      </c>
      <c r="E29" s="1" t="n">
        <v>46224</v>
      </c>
      <c r="F29" t="inlineStr">
        <is>
          <t>UPPSALA LÄN</t>
        </is>
      </c>
      <c r="G29" t="inlineStr">
        <is>
          <t>ÄLVKARLEBY</t>
        </is>
      </c>
      <c r="H29" t="inlineStr">
        <is>
          <t>Bergvik skog väst AB</t>
        </is>
      </c>
      <c r="I29" t="n">
        <v>2.2</v>
      </c>
      <c r="J29" t="n">
        <v>1</v>
      </c>
      <c r="K29" t="n">
        <v>1</v>
      </c>
      <c r="L29" t="n">
        <v>0</v>
      </c>
      <c r="M29" t="n">
        <v>0</v>
      </c>
      <c r="N29" t="n">
        <v>0</v>
      </c>
      <c r="O29" t="n">
        <v>0</v>
      </c>
      <c r="P29" t="n">
        <v>0</v>
      </c>
      <c r="Q29" t="n">
        <v>0</v>
      </c>
      <c r="R29" t="n">
        <v>0</v>
      </c>
      <c r="S29" t="n">
        <v>1</v>
      </c>
      <c r="T29" t="n">
        <v>4</v>
      </c>
      <c r="U29" t="n">
        <v>0</v>
      </c>
      <c r="V29" s="2" t="inlineStr">
        <is>
          <t>Skogsknipprot</t>
        </is>
      </c>
      <c r="W29">
        <f>HYPERLINK("https://klasma.github.io/Logging_0319/artfynd/A 63004-2025 artfynd.xlsx", "A 63004-2025")</f>
        <v/>
      </c>
      <c r="X29">
        <f>HYPERLINK("https://klasma.github.io/Logging_0319/kartor/A 63004-2025 karta.png", "A 63004-2025")</f>
        <v/>
      </c>
      <c r="Y29">
        <f>HYPERLINK("https://klasma.github.io/Logging_0319/kartor_geotiff/A 63004-2025 georefererad karta.tif", "A 63004-2025")</f>
        <v/>
      </c>
      <c r="AA29">
        <f>HYPERLINK("https://klasma.github.io/Logging_0319/klagomål/A 63004-2025 FSC-klagomål.docx", "A 63004-2025")</f>
        <v/>
      </c>
      <c r="AB29">
        <f>HYPERLINK("https://klasma.github.io/Logging_0319/klagomålsmail/A 63004-2025 FSC-klagomål mail.docx", "A 63004-2025")</f>
        <v/>
      </c>
      <c r="AC29">
        <f>HYPERLINK("https://klasma.github.io/Logging_0319/tillsyn/A 63004-2025 tillsynsbegäran.docx", "A 63004-2025")</f>
        <v/>
      </c>
      <c r="AD29">
        <f>HYPERLINK("https://klasma.github.io/Logging_0319/tillsynsmail/A 63004-2025 tillsynsbegäran mail.docx", "A 63004-2025")</f>
        <v/>
      </c>
    </row>
    <row r="30" ht="15" customHeight="1">
      <c r="A30" t="inlineStr">
        <is>
          <t>A 51238-2025</t>
        </is>
      </c>
      <c r="B30" t="inlineStr">
        <is>
          <t>avverkningsanmälan</t>
        </is>
      </c>
      <c r="C30" t="inlineStr">
        <is>
          <t>Föryngringsavverkning</t>
        </is>
      </c>
      <c r="D30" s="1" t="n">
        <v>45947</v>
      </c>
      <c r="E30" s="1" t="n">
        <v>46224</v>
      </c>
      <c r="F30" t="inlineStr">
        <is>
          <t>UPPSALA LÄN</t>
        </is>
      </c>
      <c r="G30" t="inlineStr">
        <is>
          <t>ÄLVKARLEBY</t>
        </is>
      </c>
      <c r="H30" t="inlineStr">
        <is>
          <t>Bergvik skog väst AB</t>
        </is>
      </c>
      <c r="I30" t="n">
        <v>6</v>
      </c>
      <c r="J30" t="n">
        <v>1</v>
      </c>
      <c r="K30" t="n">
        <v>0</v>
      </c>
      <c r="L30" t="n">
        <v>0</v>
      </c>
      <c r="M30" t="n">
        <v>0</v>
      </c>
      <c r="N30" t="n">
        <v>0</v>
      </c>
      <c r="O30" t="n">
        <v>0</v>
      </c>
      <c r="P30" t="n">
        <v>0</v>
      </c>
      <c r="Q30" t="n">
        <v>0</v>
      </c>
      <c r="R30" t="n">
        <v>0</v>
      </c>
      <c r="S30" t="n">
        <v>1</v>
      </c>
      <c r="T30" t="n">
        <v>1</v>
      </c>
      <c r="U30" t="n">
        <v>0</v>
      </c>
      <c r="V30" s="2" t="inlineStr">
        <is>
          <t>Lopplummer (aggregat)</t>
        </is>
      </c>
      <c r="W30">
        <f>HYPERLINK("https://klasma.github.io/Logging_0319/artfynd/A 51238-2025 artfynd.xlsx", "A 51238-2025")</f>
        <v/>
      </c>
      <c r="X30">
        <f>HYPERLINK("https://klasma.github.io/Logging_0319/kartor/A 51238-2025 karta.png", "A 51238-2025")</f>
        <v/>
      </c>
      <c r="Y30">
        <f>HYPERLINK("https://klasma.github.io/Logging_0319/kartor_geotiff/A 51238-2025 georefererad karta.tif", "A 51238-2025")</f>
        <v/>
      </c>
      <c r="AA30">
        <f>HYPERLINK("https://klasma.github.io/Logging_0319/klagomål/A 51238-2025 FSC-klagomål.docx", "A 51238-2025")</f>
        <v/>
      </c>
      <c r="AB30">
        <f>HYPERLINK("https://klasma.github.io/Logging_0319/klagomålsmail/A 51238-2025 FSC-klagomål mail.docx", "A 51238-2025")</f>
        <v/>
      </c>
      <c r="AC30">
        <f>HYPERLINK("https://klasma.github.io/Logging_0319/tillsyn/A 51238-2025 tillsynsbegäran.docx", "A 51238-2025")</f>
        <v/>
      </c>
      <c r="AD30">
        <f>HYPERLINK("https://klasma.github.io/Logging_0319/tillsynsmail/A 51238-2025 tillsynsbegäran mail.docx", "A 51238-2025")</f>
        <v/>
      </c>
    </row>
    <row r="31" ht="15" customHeight="1">
      <c r="A31" t="inlineStr">
        <is>
          <t>A 43285-2023</t>
        </is>
      </c>
      <c r="B31" t="inlineStr">
        <is>
          <t>avverkningsanmälan</t>
        </is>
      </c>
      <c r="C31" t="inlineStr">
        <is>
          <t>Föryngringsavverkning</t>
        </is>
      </c>
      <c r="D31" s="1" t="n">
        <v>45183</v>
      </c>
      <c r="E31" s="1" t="n">
        <v>46224</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70017-2021</t>
        </is>
      </c>
      <c r="B32" t="inlineStr">
        <is>
          <t>avverkningsanmälan</t>
        </is>
      </c>
      <c r="C32" t="inlineStr">
        <is>
          <t>Föryngringsavverkning</t>
        </is>
      </c>
      <c r="D32" s="1" t="n">
        <v>44533</v>
      </c>
      <c r="E32" s="1" t="n">
        <v>46224</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1673-2026</t>
        </is>
      </c>
      <c r="B33" t="inlineStr">
        <is>
          <t>avverkningsanmälan</t>
        </is>
      </c>
      <c r="C33" t="inlineStr">
        <is>
          <t>Föryngringsavverkning</t>
        </is>
      </c>
      <c r="D33" s="1" t="n">
        <v>46034</v>
      </c>
      <c r="E33" s="1" t="n">
        <v>46224</v>
      </c>
      <c r="F33" t="inlineStr">
        <is>
          <t>UPPSALA LÄN</t>
        </is>
      </c>
      <c r="G33" t="inlineStr">
        <is>
          <t>ÄLVKARLEBY</t>
        </is>
      </c>
      <c r="H33" t="inlineStr">
        <is>
          <t>Bergvik skog väst AB</t>
        </is>
      </c>
      <c r="I33" t="n">
        <v>1.9</v>
      </c>
      <c r="J33" t="n">
        <v>0</v>
      </c>
      <c r="K33" t="n">
        <v>1</v>
      </c>
      <c r="L33" t="n">
        <v>0</v>
      </c>
      <c r="M33" t="n">
        <v>0</v>
      </c>
      <c r="N33" t="n">
        <v>0</v>
      </c>
      <c r="O33" t="n">
        <v>0</v>
      </c>
      <c r="P33" t="n">
        <v>0</v>
      </c>
      <c r="Q33" t="n">
        <v>0</v>
      </c>
      <c r="R33" t="n">
        <v>0</v>
      </c>
      <c r="S33" t="n">
        <v>1</v>
      </c>
      <c r="T33" t="n">
        <v>1</v>
      </c>
      <c r="U33" t="n">
        <v>0</v>
      </c>
      <c r="V33" s="2" t="inlineStr">
        <is>
          <t>Tibast</t>
        </is>
      </c>
      <c r="W33">
        <f>HYPERLINK("https://klasma.github.io/Logging_0319/artfynd/A 1673-2026 artfynd.xlsx", "A 1673-2026")</f>
        <v/>
      </c>
      <c r="X33">
        <f>HYPERLINK("https://klasma.github.io/Logging_0319/kartor/A 1673-2026 karta.png", "A 1673-2026")</f>
        <v/>
      </c>
      <c r="Y33">
        <f>HYPERLINK("https://klasma.github.io/Logging_0319/kartor_geotiff/A 1673-2026 georefererad karta.tif", "A 1673-2026")</f>
        <v/>
      </c>
      <c r="AA33">
        <f>HYPERLINK("https://klasma.github.io/Logging_0319/klagomål/A 1673-2026 FSC-klagomål.docx", "A 1673-2026")</f>
        <v/>
      </c>
      <c r="AB33">
        <f>HYPERLINK("https://klasma.github.io/Logging_0319/klagomålsmail/A 1673-2026 FSC-klagomål mail.docx", "A 1673-2026")</f>
        <v/>
      </c>
      <c r="AC33">
        <f>HYPERLINK("https://klasma.github.io/Logging_0319/tillsyn/A 1673-2026 tillsynsbegäran.docx", "A 1673-2026")</f>
        <v/>
      </c>
      <c r="AD33">
        <f>HYPERLINK("https://klasma.github.io/Logging_0319/tillsynsmail/A 1673-2026 tillsynsbegäran mail.docx", "A 1673-2026")</f>
        <v/>
      </c>
    </row>
    <row r="34" ht="15" customHeight="1">
      <c r="A34" t="inlineStr">
        <is>
          <t>A 57734-2025</t>
        </is>
      </c>
      <c r="B34" t="inlineStr">
        <is>
          <t>avverkningsanmälan</t>
        </is>
      </c>
      <c r="C34" t="inlineStr">
        <is>
          <t>Föryngringsavverkning</t>
        </is>
      </c>
      <c r="D34" s="1" t="n">
        <v>45981</v>
      </c>
      <c r="E34" s="1" t="n">
        <v>46224</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46224</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46224</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4131-2026</t>
        </is>
      </c>
      <c r="B37" t="inlineStr">
        <is>
          <t>avverkningsanmälan</t>
        </is>
      </c>
      <c r="C37" t="inlineStr">
        <is>
          <t>Föryngringsavverkning</t>
        </is>
      </c>
      <c r="D37" s="1" t="n">
        <v>46044</v>
      </c>
      <c r="E37" s="1" t="n">
        <v>46224</v>
      </c>
      <c r="F37" t="inlineStr">
        <is>
          <t>UPPSALA LÄN</t>
        </is>
      </c>
      <c r="G37" t="inlineStr">
        <is>
          <t>ÄLVKARLEBY</t>
        </is>
      </c>
      <c r="H37" t="inlineStr">
        <is>
          <t>Bergvik skog öst AB</t>
        </is>
      </c>
      <c r="I37" t="n">
        <v>2.4</v>
      </c>
      <c r="J37" t="n">
        <v>1</v>
      </c>
      <c r="K37" t="n">
        <v>1</v>
      </c>
      <c r="L37" t="n">
        <v>0</v>
      </c>
      <c r="M37" t="n">
        <v>0</v>
      </c>
      <c r="N37" t="n">
        <v>0</v>
      </c>
      <c r="O37" t="n">
        <v>0</v>
      </c>
      <c r="P37" t="n">
        <v>0</v>
      </c>
      <c r="Q37" t="n">
        <v>0</v>
      </c>
      <c r="R37" t="n">
        <v>0</v>
      </c>
      <c r="S37" t="n">
        <v>1</v>
      </c>
      <c r="T37" t="n">
        <v>1</v>
      </c>
      <c r="U37" t="n">
        <v>0</v>
      </c>
      <c r="V37" s="2" t="inlineStr">
        <is>
          <t>Nästrot</t>
        </is>
      </c>
      <c r="W37">
        <f>HYPERLINK("https://klasma.github.io/Logging_0319/artfynd/A 4131-2026 artfynd.xlsx", "A 4131-2026")</f>
        <v/>
      </c>
      <c r="X37">
        <f>HYPERLINK("https://klasma.github.io/Logging_0319/kartor/A 4131-2026 karta.png", "A 4131-2026")</f>
        <v/>
      </c>
      <c r="Y37">
        <f>HYPERLINK("https://klasma.github.io/Logging_0319/kartor_geotiff/A 4131-2026 georefererad karta.tif", "A 4131-2026")</f>
        <v/>
      </c>
      <c r="AA37">
        <f>HYPERLINK("https://klasma.github.io/Logging_0319/klagomål/A 4131-2026 FSC-klagomål.docx", "A 4131-2026")</f>
        <v/>
      </c>
      <c r="AB37">
        <f>HYPERLINK("https://klasma.github.io/Logging_0319/klagomålsmail/A 4131-2026 FSC-klagomål mail.docx", "A 4131-2026")</f>
        <v/>
      </c>
      <c r="AC37">
        <f>HYPERLINK("https://klasma.github.io/Logging_0319/tillsyn/A 4131-2026 tillsynsbegäran.docx", "A 4131-2026")</f>
        <v/>
      </c>
      <c r="AD37">
        <f>HYPERLINK("https://klasma.github.io/Logging_0319/tillsynsmail/A 4131-2026 tillsynsbegäran mail.docx", "A 4131-2026")</f>
        <v/>
      </c>
    </row>
    <row r="38" ht="15" customHeight="1">
      <c r="A38" t="inlineStr">
        <is>
          <t>A 7286-2023</t>
        </is>
      </c>
      <c r="B38" t="inlineStr">
        <is>
          <t>avverkningsanmälan</t>
        </is>
      </c>
      <c r="C38" t="inlineStr">
        <is>
          <t>Avverkning för annat ändamål</t>
        </is>
      </c>
      <c r="D38" s="1" t="n">
        <v>44970</v>
      </c>
      <c r="E38" s="1" t="n">
        <v>46224</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14127-2026</t>
        </is>
      </c>
      <c r="B39" t="inlineStr">
        <is>
          <t>avverkningsanmälan</t>
        </is>
      </c>
      <c r="C39" t="inlineStr">
        <is>
          <t>Föryngringsavverkning</t>
        </is>
      </c>
      <c r="D39" s="1" t="n">
        <v>46099</v>
      </c>
      <c r="E39" s="1" t="n">
        <v>46224</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19303-2024</t>
        </is>
      </c>
      <c r="B40" t="inlineStr">
        <is>
          <t>avverkningsanmälan</t>
        </is>
      </c>
      <c r="C40" t="inlineStr">
        <is>
          <t>Föryngringsavverkning</t>
        </is>
      </c>
      <c r="D40" s="1" t="n">
        <v>45428</v>
      </c>
      <c r="E40" s="1" t="n">
        <v>46224</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46224</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19300-2024</t>
        </is>
      </c>
      <c r="B42" t="inlineStr">
        <is>
          <t>avverkningsanmälan</t>
        </is>
      </c>
      <c r="C42" t="inlineStr">
        <is>
          <t>Föryngringsavverkning</t>
        </is>
      </c>
      <c r="D42" s="1" t="n">
        <v>45428</v>
      </c>
      <c r="E42" s="1" t="n">
        <v>46224</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30236-2026</t>
        </is>
      </c>
      <c r="B43" t="inlineStr">
        <is>
          <t>avverkningsanmälan</t>
        </is>
      </c>
      <c r="C43" t="inlineStr">
        <is>
          <t>Föryngringsavverkning</t>
        </is>
      </c>
      <c r="D43" s="1" t="n">
        <v>46206</v>
      </c>
      <c r="E43" s="1" t="n">
        <v>46224</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30236-2026 artfynd.xlsx", "A 30236-2026")</f>
        <v/>
      </c>
      <c r="X43">
        <f>HYPERLINK("https://klasma.github.io/Logging_0319/kartor/A 30236-2026 karta.png", "A 30236-2026")</f>
        <v/>
      </c>
      <c r="Y43">
        <f>HYPERLINK("https://klasma.github.io/Logging_0319/kartor_geotiff/A 30236-2026 georefererad karta.tif", "A 30236-2026")</f>
        <v/>
      </c>
      <c r="AA43">
        <f>HYPERLINK("https://klasma.github.io/Logging_0319/klagomål/A 30236-2026 FSC-klagomål.docx", "A 30236-2026")</f>
        <v/>
      </c>
      <c r="AB43">
        <f>HYPERLINK("https://klasma.github.io/Logging_0319/klagomålsmail/A 30236-2026 FSC-klagomål mail.docx", "A 30236-2026")</f>
        <v/>
      </c>
      <c r="AC43">
        <f>HYPERLINK("https://klasma.github.io/Logging_0319/tillsyn/A 30236-2026 tillsynsbegäran.docx", "A 30236-2026")</f>
        <v/>
      </c>
      <c r="AD43">
        <f>HYPERLINK("https://klasma.github.io/Logging_0319/tillsynsmail/A 30236-2026 tillsynsbegäran mail.docx", "A 30236-2026")</f>
        <v/>
      </c>
    </row>
    <row r="44" ht="15" customHeight="1">
      <c r="A44" t="inlineStr">
        <is>
          <t>A 30233-2026</t>
        </is>
      </c>
      <c r="B44" t="inlineStr">
        <is>
          <t>avverkningsanmälan</t>
        </is>
      </c>
      <c r="C44" t="inlineStr">
        <is>
          <t>Föryngringsavverkning</t>
        </is>
      </c>
      <c r="D44" s="1" t="n">
        <v>46206</v>
      </c>
      <c r="E44" s="1" t="n">
        <v>46224</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19304-2024</t>
        </is>
      </c>
      <c r="B45" t="inlineStr">
        <is>
          <t>avverkningsanmälan</t>
        </is>
      </c>
      <c r="C45" t="inlineStr">
        <is>
          <t>Föryngringsavverkning</t>
        </is>
      </c>
      <c r="D45" s="1" t="n">
        <v>45428</v>
      </c>
      <c r="E45" s="1" t="n">
        <v>46224</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46224</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46224</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46224</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61694-2025</t>
        </is>
      </c>
      <c r="B49" t="inlineStr">
        <is>
          <t>avverkningsanmälan</t>
        </is>
      </c>
      <c r="C49" t="inlineStr">
        <is>
          <t>Föryngringsavverkning</t>
        </is>
      </c>
      <c r="D49" s="1" t="n">
        <v>46002</v>
      </c>
      <c r="E49" s="1" t="n">
        <v>46224</v>
      </c>
      <c r="F49" t="inlineStr">
        <is>
          <t>UPPSALA LÄN</t>
        </is>
      </c>
      <c r="G49" t="inlineStr">
        <is>
          <t>ÄLVKARLEBY</t>
        </is>
      </c>
      <c r="H49" t="inlineStr">
        <is>
          <t>Bergvik skog öst AB</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61691-2025</t>
        </is>
      </c>
      <c r="B50" t="inlineStr">
        <is>
          <t>avverkningsanmälan</t>
        </is>
      </c>
      <c r="C50" t="inlineStr">
        <is>
          <t>Föryngringsavverkning</t>
        </is>
      </c>
      <c r="D50" s="1" t="n">
        <v>46002</v>
      </c>
      <c r="E50" s="1" t="n">
        <v>46224</v>
      </c>
      <c r="F50" t="inlineStr">
        <is>
          <t>UPPSALA LÄN</t>
        </is>
      </c>
      <c r="G50" t="inlineStr">
        <is>
          <t>ÄLVKARLEBY</t>
        </is>
      </c>
      <c r="H50" t="inlineStr">
        <is>
          <t>Bergvik skog öst AB</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46224</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62938-2025</t>
        </is>
      </c>
      <c r="B52" t="inlineStr">
        <is>
          <t>avverkningsanmälan</t>
        </is>
      </c>
      <c r="C52" t="inlineStr">
        <is>
          <t>Föryngringsavverkning</t>
        </is>
      </c>
      <c r="D52" s="1" t="n">
        <v>46009</v>
      </c>
      <c r="E52" s="1" t="n">
        <v>46224</v>
      </c>
      <c r="F52" t="inlineStr">
        <is>
          <t>UPPSALA LÄN</t>
        </is>
      </c>
      <c r="G52" t="inlineStr">
        <is>
          <t>ÄLVKARLEBY</t>
        </is>
      </c>
      <c r="H52" t="inlineStr">
        <is>
          <t>Bergvik skog väst AB</t>
        </is>
      </c>
      <c r="I52" t="n">
        <v>10.2</v>
      </c>
      <c r="J52" t="n">
        <v>0</v>
      </c>
      <c r="K52" t="n">
        <v>0</v>
      </c>
      <c r="L52" t="n">
        <v>0</v>
      </c>
      <c r="M52" t="n">
        <v>0</v>
      </c>
      <c r="N52" t="n">
        <v>0</v>
      </c>
      <c r="O52" t="n">
        <v>0</v>
      </c>
      <c r="P52" t="n">
        <v>0</v>
      </c>
      <c r="Q52" t="n">
        <v>0</v>
      </c>
      <c r="R52" t="n">
        <v>0</v>
      </c>
      <c r="S52" t="n">
        <v>0</v>
      </c>
      <c r="T52" t="n">
        <v>0</v>
      </c>
      <c r="U52" t="n">
        <v>0</v>
      </c>
      <c r="V52" s="2" t="inlineStr"/>
    </row>
    <row r="53" ht="15" customHeight="1">
      <c r="A53" t="inlineStr">
        <is>
          <t>A 63365-2025</t>
        </is>
      </c>
      <c r="B53" t="inlineStr">
        <is>
          <t>avverkningsanmälan</t>
        </is>
      </c>
      <c r="C53" t="inlineStr">
        <is>
          <t>Föryngringsavverkning</t>
        </is>
      </c>
      <c r="D53" s="1" t="n">
        <v>46010</v>
      </c>
      <c r="E53" s="1" t="n">
        <v>46224</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25330-2025</t>
        </is>
      </c>
      <c r="B54" t="inlineStr">
        <is>
          <t>avverkningsanmälan</t>
        </is>
      </c>
      <c r="C54" t="inlineStr">
        <is>
          <t>Föryngringsavverkning</t>
        </is>
      </c>
      <c r="D54" s="1" t="n">
        <v>45800</v>
      </c>
      <c r="E54" s="1" t="n">
        <v>46224</v>
      </c>
      <c r="F54" t="inlineStr">
        <is>
          <t>UPPSALA LÄN</t>
        </is>
      </c>
      <c r="G54" t="inlineStr">
        <is>
          <t>ÄLVKARLEBY</t>
        </is>
      </c>
      <c r="H54" t="inlineStr">
        <is>
          <t>Bergvik skog väst AB</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46224</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46224</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61839-2025</t>
        </is>
      </c>
      <c r="B57" t="inlineStr">
        <is>
          <t>avverkningsanmälan</t>
        </is>
      </c>
      <c r="C57" t="inlineStr">
        <is>
          <t>Föryngringsavverkning</t>
        </is>
      </c>
      <c r="D57" s="1" t="n">
        <v>46003</v>
      </c>
      <c r="E57" s="1" t="n">
        <v>46224</v>
      </c>
      <c r="F57" t="inlineStr">
        <is>
          <t>UPPSALA LÄN</t>
        </is>
      </c>
      <c r="G57" t="inlineStr">
        <is>
          <t>ÄLVKARLEBY</t>
        </is>
      </c>
      <c r="H57" t="inlineStr">
        <is>
          <t>Bergvik skog väst AB</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46224</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32187-2025</t>
        </is>
      </c>
      <c r="B59" t="inlineStr">
        <is>
          <t>avverkningsanmälan</t>
        </is>
      </c>
      <c r="C59" t="inlineStr">
        <is>
          <t>Föryngringsavverkning</t>
        </is>
      </c>
      <c r="D59" s="1" t="n">
        <v>45835</v>
      </c>
      <c r="E59" s="1" t="n">
        <v>46224</v>
      </c>
      <c r="F59" t="inlineStr">
        <is>
          <t>UPPSALA LÄN</t>
        </is>
      </c>
      <c r="G59" t="inlineStr">
        <is>
          <t>ÄLVKARLEBY</t>
        </is>
      </c>
      <c r="H59" t="inlineStr">
        <is>
          <t>Bergvik skog väst AB</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46224</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46224</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51237-2025</t>
        </is>
      </c>
      <c r="B62" t="inlineStr">
        <is>
          <t>avverkningsanmälan</t>
        </is>
      </c>
      <c r="C62" t="inlineStr">
        <is>
          <t>Föryngringsavverkning</t>
        </is>
      </c>
      <c r="D62" s="1" t="n">
        <v>45947</v>
      </c>
      <c r="E62" s="1" t="n">
        <v>46224</v>
      </c>
      <c r="F62" t="inlineStr">
        <is>
          <t>UPPSALA LÄN</t>
        </is>
      </c>
      <c r="G62" t="inlineStr">
        <is>
          <t>ÄLVKARLEBY</t>
        </is>
      </c>
      <c r="H62" t="inlineStr">
        <is>
          <t>Bergvik skog väst AB</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52477-2025</t>
        </is>
      </c>
      <c r="B63" t="inlineStr">
        <is>
          <t>avverkningsanmälan</t>
        </is>
      </c>
      <c r="C63" t="inlineStr">
        <is>
          <t>Föryngringsavverkning</t>
        </is>
      </c>
      <c r="D63" s="1" t="n">
        <v>45954</v>
      </c>
      <c r="E63" s="1" t="n">
        <v>46224</v>
      </c>
      <c r="F63" t="inlineStr">
        <is>
          <t>UPPSALA LÄN</t>
        </is>
      </c>
      <c r="G63" t="inlineStr">
        <is>
          <t>ÄLVKARLEBY</t>
        </is>
      </c>
      <c r="H63" t="inlineStr">
        <is>
          <t>Bergvik skog väst AB</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46224</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46224</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9533-2025</t>
        </is>
      </c>
      <c r="B66" t="inlineStr">
        <is>
          <t>avverkningsanmälan</t>
        </is>
      </c>
      <c r="C66" t="inlineStr">
        <is>
          <t>Föryngringsavverkning</t>
        </is>
      </c>
      <c r="D66" s="1" t="n">
        <v>45715</v>
      </c>
      <c r="E66" s="1" t="n">
        <v>46224</v>
      </c>
      <c r="F66" t="inlineStr">
        <is>
          <t>UPPSALA LÄN</t>
        </is>
      </c>
      <c r="G66" t="inlineStr">
        <is>
          <t>ÄLVKARLEBY</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46224</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2184-2024</t>
        </is>
      </c>
      <c r="B68" t="inlineStr">
        <is>
          <t>avverkningsanmälan</t>
        </is>
      </c>
      <c r="C68" t="inlineStr">
        <is>
          <t>Föryngringsavverkning</t>
        </is>
      </c>
      <c r="D68" s="1" t="n">
        <v>45309</v>
      </c>
      <c r="E68" s="1" t="n">
        <v>46224</v>
      </c>
      <c r="F68" t="inlineStr">
        <is>
          <t>UPPSALA LÄN</t>
        </is>
      </c>
      <c r="G68" t="inlineStr">
        <is>
          <t>ÄLVKARLEBY</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46224</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46224</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58497-2025</t>
        </is>
      </c>
      <c r="B71" t="inlineStr">
        <is>
          <t>avverkningsanmälan</t>
        </is>
      </c>
      <c r="C71" t="inlineStr">
        <is>
          <t>Föryngringsavverkning</t>
        </is>
      </c>
      <c r="D71" s="1" t="n">
        <v>45985</v>
      </c>
      <c r="E71" s="1" t="n">
        <v>46224</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46224</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46224</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4134-2026</t>
        </is>
      </c>
      <c r="B74" t="inlineStr">
        <is>
          <t>avverkningsanmälan</t>
        </is>
      </c>
      <c r="C74" t="inlineStr">
        <is>
          <t>Föryngringsavverkning</t>
        </is>
      </c>
      <c r="D74" s="1" t="n">
        <v>46044</v>
      </c>
      <c r="E74" s="1" t="n">
        <v>46224</v>
      </c>
      <c r="F74" t="inlineStr">
        <is>
          <t>UPPSALA LÄN</t>
        </is>
      </c>
      <c r="G74" t="inlineStr">
        <is>
          <t>ÄLVKARLEBY</t>
        </is>
      </c>
      <c r="H74" t="inlineStr">
        <is>
          <t>Bergvik skog öst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14590-2023</t>
        </is>
      </c>
      <c r="B75" t="inlineStr">
        <is>
          <t>avverkningsanmälan</t>
        </is>
      </c>
      <c r="C75" t="inlineStr">
        <is>
          <t>Föryngringsavverkning</t>
        </is>
      </c>
      <c r="D75" s="1" t="n">
        <v>45013</v>
      </c>
      <c r="E75" s="1" t="n">
        <v>46224</v>
      </c>
      <c r="F75" t="inlineStr">
        <is>
          <t>UPPSALA LÄN</t>
        </is>
      </c>
      <c r="G75" t="inlineStr">
        <is>
          <t>ÄLVKARLEBY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9394-2026</t>
        </is>
      </c>
      <c r="B76" t="inlineStr">
        <is>
          <t>avverkningsanmälan</t>
        </is>
      </c>
      <c r="C76" t="inlineStr">
        <is>
          <t>Föryngringsavverkning</t>
        </is>
      </c>
      <c r="D76" s="1" t="n">
        <v>46071</v>
      </c>
      <c r="E76" s="1" t="n">
        <v>46224</v>
      </c>
      <c r="F76" t="inlineStr">
        <is>
          <t>UPPSALA LÄN</t>
        </is>
      </c>
      <c r="G76" t="inlineStr">
        <is>
          <t>ÄLVKARLEBY</t>
        </is>
      </c>
      <c r="H76" t="inlineStr">
        <is>
          <t>Bergvik skog väst AB</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11467-2026</t>
        </is>
      </c>
      <c r="B77" t="inlineStr">
        <is>
          <t>avverkningsanmälan</t>
        </is>
      </c>
      <c r="C77" t="inlineStr">
        <is>
          <t>Föryngringsavverkning</t>
        </is>
      </c>
      <c r="D77" s="1" t="n">
        <v>46083</v>
      </c>
      <c r="E77" s="1" t="n">
        <v>46224</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11848-2026</t>
        </is>
      </c>
      <c r="B78" t="inlineStr">
        <is>
          <t>avverkningsanmälan</t>
        </is>
      </c>
      <c r="C78" t="inlineStr">
        <is>
          <t>Föryngringsavverkning</t>
        </is>
      </c>
      <c r="D78" s="1" t="n">
        <v>46085</v>
      </c>
      <c r="E78" s="1" t="n">
        <v>46224</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36216-2022</t>
        </is>
      </c>
      <c r="B79" t="inlineStr">
        <is>
          <t>avverkningsanmälan</t>
        </is>
      </c>
      <c r="C79" t="inlineStr">
        <is>
          <t>Avverkning för annat ändamål</t>
        </is>
      </c>
      <c r="D79" s="1" t="n">
        <v>44803</v>
      </c>
      <c r="E79" s="1" t="n">
        <v>46224</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46224</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46224</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46224</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46224</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46224</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46224</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46224</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46224</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30238-2026</t>
        </is>
      </c>
      <c r="B88" t="inlineStr">
        <is>
          <t>avverkningsanmälan</t>
        </is>
      </c>
      <c r="C88" t="inlineStr">
        <is>
          <t>Föryngringsavverkning</t>
        </is>
      </c>
      <c r="D88" s="1" t="n">
        <v>46206</v>
      </c>
      <c r="E88" s="1" t="n">
        <v>46224</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46224</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30234-2026</t>
        </is>
      </c>
      <c r="B90" t="inlineStr">
        <is>
          <t>avverkningsanmälan</t>
        </is>
      </c>
      <c r="C90" t="inlineStr">
        <is>
          <t>Föryngringsavverkning</t>
        </is>
      </c>
      <c r="D90" s="1" t="n">
        <v>46206</v>
      </c>
      <c r="E90" s="1" t="n">
        <v>46224</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c r="A91" t="inlineStr">
        <is>
          <t>A 41276-2023</t>
        </is>
      </c>
      <c r="B91" t="inlineStr">
        <is>
          <t>avverkningsanmälan</t>
        </is>
      </c>
      <c r="C91" t="inlineStr">
        <is>
          <t>Föryngringsavverkning</t>
        </is>
      </c>
      <c r="D91" s="1" t="n">
        <v>45174</v>
      </c>
      <c r="E91" s="1" t="n">
        <v>46224</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2026-07-21T01:34:14Z</dcterms:created>
  <dcterms:modified xmlns:dcterms="http://purl.org/dc/terms/" xmlns:xsi="http://www.w3.org/2001/XMLSchema-instance" xsi:type="dcterms:W3CDTF">2026-07-21T01:34:14Z</dcterms:modified>
</cp:coreProperties>
</file>