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46289</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27330-2025</t>
        </is>
      </c>
      <c r="B6" t="inlineStr">
        <is>
          <t>avverkningsanmälan</t>
        </is>
      </c>
      <c r="C6" t="inlineStr">
        <is>
          <t>Föryngringsavverkning</t>
        </is>
      </c>
      <c r="D6" s="1" t="n">
        <v>45812</v>
      </c>
      <c r="E6" s="1" t="n">
        <v>46289</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51149-2025</t>
        </is>
      </c>
      <c r="B7" t="inlineStr">
        <is>
          <t>avverkningsanmälan</t>
        </is>
      </c>
      <c r="C7" t="inlineStr">
        <is>
          <t>Avverkning för att bevara och utveckla /försöksver</t>
        </is>
      </c>
      <c r="D7" s="1" t="n">
        <v>45947</v>
      </c>
      <c r="E7" s="1" t="n">
        <v>46289</v>
      </c>
      <c r="F7" t="inlineStr">
        <is>
          <t>UPPSALA LÄN</t>
        </is>
      </c>
      <c r="G7" t="inlineStr">
        <is>
          <t>ÄLVKARLEBY</t>
        </is>
      </c>
      <c r="H7" t="inlineStr">
        <is>
          <t>Bergvik skog väst AB</t>
        </is>
      </c>
      <c r="I7" t="n">
        <v>2.9</v>
      </c>
      <c r="J7" t="n">
        <v>2</v>
      </c>
      <c r="K7" t="n">
        <v>7</v>
      </c>
      <c r="L7" t="n">
        <v>3</v>
      </c>
      <c r="M7" t="n">
        <v>1</v>
      </c>
      <c r="N7" t="n">
        <v>0</v>
      </c>
      <c r="O7" t="n">
        <v>0</v>
      </c>
      <c r="P7" t="n">
        <v>0</v>
      </c>
      <c r="Q7" t="n">
        <v>4</v>
      </c>
      <c r="R7" t="n">
        <v>1</v>
      </c>
      <c r="S7" t="n">
        <v>12</v>
      </c>
      <c r="T7" t="n">
        <v>19</v>
      </c>
      <c r="U7" t="n">
        <v>19</v>
      </c>
      <c r="V7" s="2" t="inlineStr">
        <is>
          <t>Läderdoftande fingersvamp
Svart taggsvamp
Ullticka
Vårärt
Guldlockmossa
Mindre märgborre
Mörk husmossa
Platt fjädermossa
Skogsknipprot
Stubbspretmossa
Tibast
Blåsippa</t>
        </is>
      </c>
      <c r="W7">
        <f>HYPERLINK("https://klasma.github.io/Logging_0319/artfynd/A 51149-2025 artfynd.xlsx", "A 51149-2025")</f>
        <v/>
      </c>
      <c r="X7">
        <f>HYPERLINK("https://klasma.github.io/Logging_0319/kartor/A 51149-2025 karta.png", "A 51149-2025")</f>
        <v/>
      </c>
      <c r="Y7">
        <f>HYPERLINK("https://klasma.github.io/Logging_0319/kartor_geotiff/A 51149-2025 georefererad karta.tif", "A 51149-2025")</f>
        <v/>
      </c>
      <c r="AA7">
        <f>HYPERLINK("https://klasma.github.io/Logging_0319/klagomål/A 51149-2025 FSC-klagomål.docx", "A 51149-2025")</f>
        <v/>
      </c>
      <c r="AB7">
        <f>HYPERLINK("https://klasma.github.io/Logging_0319/klagomålsmail/A 51149-2025 FSC-klagomål mail.docx", "A 51149-2025")</f>
        <v/>
      </c>
      <c r="AC7">
        <f>HYPERLINK("https://klasma.github.io/Logging_0319/tillsyn/A 51149-2025 tillsynsbegäran.docx", "A 51149-2025")</f>
        <v/>
      </c>
      <c r="AD7">
        <f>HYPERLINK("https://klasma.github.io/Logging_0319/tillsynsmail/A 51149-2025 tillsynsbegäran mail.docx", "A 51149-2025")</f>
        <v/>
      </c>
    </row>
    <row r="8" ht="15" customHeight="1">
      <c r="A8" t="inlineStr">
        <is>
          <t>A 3954-2025</t>
        </is>
      </c>
      <c r="B8" t="inlineStr">
        <is>
          <t>avverkningsanmälan</t>
        </is>
      </c>
      <c r="C8" t="inlineStr">
        <is>
          <t>Avverkning för annat ändamål</t>
        </is>
      </c>
      <c r="D8" s="1" t="n">
        <v>45684</v>
      </c>
      <c r="E8" s="1" t="n">
        <v>46289</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46289</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46289</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46289</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46289</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46289</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46289</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46289</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46289</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46289</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46289</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46289</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62278-2025</t>
        </is>
      </c>
      <c r="B20" t="inlineStr">
        <is>
          <t>avverkningsanmälan</t>
        </is>
      </c>
      <c r="C20" t="inlineStr">
        <is>
          <t>Föryngringsavverkning</t>
        </is>
      </c>
      <c r="D20" s="1" t="n">
        <v>46006</v>
      </c>
      <c r="E20" s="1" t="n">
        <v>46289</v>
      </c>
      <c r="F20" t="inlineStr">
        <is>
          <t>UPPSALA LÄN</t>
        </is>
      </c>
      <c r="G20" t="inlineStr">
        <is>
          <t>ÄLVKARLEBY</t>
        </is>
      </c>
      <c r="H20" t="inlineStr">
        <is>
          <t>Bergvik skog väst AB</t>
        </is>
      </c>
      <c r="I20" t="n">
        <v>6.3</v>
      </c>
      <c r="J20" t="n">
        <v>1</v>
      </c>
      <c r="K20" t="n">
        <v>0</v>
      </c>
      <c r="L20" t="n">
        <v>3</v>
      </c>
      <c r="M20" t="n">
        <v>1</v>
      </c>
      <c r="N20" t="n">
        <v>0</v>
      </c>
      <c r="O20" t="n">
        <v>0</v>
      </c>
      <c r="P20" t="n">
        <v>0</v>
      </c>
      <c r="Q20" t="n">
        <v>4</v>
      </c>
      <c r="R20" t="n">
        <v>1</v>
      </c>
      <c r="S20" t="n">
        <v>4</v>
      </c>
      <c r="T20" t="n">
        <v>6</v>
      </c>
      <c r="U20" t="n">
        <v>0</v>
      </c>
      <c r="V20" s="2" t="inlineStr">
        <is>
          <t>Knärot
Rökfingersvamp
Vanlig sandviol
Vårstarr</t>
        </is>
      </c>
      <c r="W20">
        <f>HYPERLINK("https://klasma.github.io/Logging_0319/artfynd/A 62278-2025 artfynd.xlsx", "A 62278-2025")</f>
        <v/>
      </c>
      <c r="X20">
        <f>HYPERLINK("https://klasma.github.io/Logging_0319/kartor/A 62278-2025 karta.png", "A 62278-2025")</f>
        <v/>
      </c>
      <c r="Y20">
        <f>HYPERLINK("https://klasma.github.io/Logging_0319/kartor_geotiff/A 62278-2025 georefererad karta.tif", "A 62278-2025")</f>
        <v/>
      </c>
      <c r="Z20">
        <f>HYPERLINK("https://klasma.github.io/Logging_0319/knärot/A 62278-2025 karta knärot.png", "A 62278-2025")</f>
        <v/>
      </c>
      <c r="AA20">
        <f>HYPERLINK("https://klasma.github.io/Logging_0319/klagomål/A 62278-2025 FSC-klagomål.docx", "A 62278-2025")</f>
        <v/>
      </c>
      <c r="AB20">
        <f>HYPERLINK("https://klasma.github.io/Logging_0319/klagomålsmail/A 62278-2025 FSC-klagomål mail.docx", "A 62278-2025")</f>
        <v/>
      </c>
      <c r="AC20">
        <f>HYPERLINK("https://klasma.github.io/Logging_0319/tillsyn/A 62278-2025 tillsynsbegäran.docx", "A 62278-2025")</f>
        <v/>
      </c>
      <c r="AD20">
        <f>HYPERLINK("https://klasma.github.io/Logging_0319/tillsynsmail/A 62278-2025 tillsynsbegäran mail.docx", "A 62278-2025")</f>
        <v/>
      </c>
    </row>
    <row r="21" ht="15" customHeight="1">
      <c r="A21" t="inlineStr">
        <is>
          <t>A 21700-2024</t>
        </is>
      </c>
      <c r="B21" t="inlineStr">
        <is>
          <t>avverkningsanmälan</t>
        </is>
      </c>
      <c r="C21" t="inlineStr">
        <is>
          <t>Föryngringsavverkning</t>
        </is>
      </c>
      <c r="D21" s="1" t="n">
        <v>45442</v>
      </c>
      <c r="E21" s="1" t="n">
        <v>46289</v>
      </c>
      <c r="F21" t="inlineStr">
        <is>
          <t>UPPSALA LÄN</t>
        </is>
      </c>
      <c r="G21" t="inlineStr">
        <is>
          <t>ÄLVKARLEBY</t>
        </is>
      </c>
      <c r="H21" t="inlineStr">
        <is>
          <t>Bergvik skog väst AB</t>
        </is>
      </c>
      <c r="I21" t="n">
        <v>1.1</v>
      </c>
      <c r="J21" t="n">
        <v>0</v>
      </c>
      <c r="K21" t="n">
        <v>1</v>
      </c>
      <c r="L21" t="n">
        <v>1</v>
      </c>
      <c r="M21" t="n">
        <v>1</v>
      </c>
      <c r="N21" t="n">
        <v>0</v>
      </c>
      <c r="O21" t="n">
        <v>0</v>
      </c>
      <c r="P21" t="n">
        <v>0</v>
      </c>
      <c r="Q21" t="n">
        <v>2</v>
      </c>
      <c r="R21" t="n">
        <v>1</v>
      </c>
      <c r="S21" t="n">
        <v>3</v>
      </c>
      <c r="T21" t="n">
        <v>3</v>
      </c>
      <c r="U21" t="n">
        <v>1</v>
      </c>
      <c r="V21" s="2" t="inlineStr">
        <is>
          <t>Töcknig trymal
Skuggorangelav
Scharlakansvårskål agg.</t>
        </is>
      </c>
      <c r="W21">
        <f>HYPERLINK("https://klasma.github.io/Logging_0319/artfynd/A 21700-2024 artfynd.xlsx", "A 21700-2024")</f>
        <v/>
      </c>
      <c r="X21">
        <f>HYPERLINK("https://klasma.github.io/Logging_0319/kartor/A 21700-2024 karta.png", "A 21700-2024")</f>
        <v/>
      </c>
      <c r="Y21">
        <f>HYPERLINK("https://klasma.github.io/Logging_0319/kartor_geotiff/A 21700-2024 georefererad karta.tif", "A 21700-2024")</f>
        <v/>
      </c>
      <c r="AA21">
        <f>HYPERLINK("https://klasma.github.io/Logging_0319/klagomål/A 21700-2024 FSC-klagomål.docx", "A 21700-2024")</f>
        <v/>
      </c>
      <c r="AB21">
        <f>HYPERLINK("https://klasma.github.io/Logging_0319/klagomålsmail/A 21700-2024 FSC-klagomål mail.docx", "A 21700-2024")</f>
        <v/>
      </c>
      <c r="AC21">
        <f>HYPERLINK("https://klasma.github.io/Logging_0319/tillsyn/A 21700-2024 tillsynsbegäran.docx", "A 21700-2024")</f>
        <v/>
      </c>
      <c r="AD21">
        <f>HYPERLINK("https://klasma.github.io/Logging_0319/tillsynsmail/A 21700-2024 tillsynsbegäran mail.docx", "A 21700-2024")</f>
        <v/>
      </c>
    </row>
    <row r="22" ht="15" customHeight="1">
      <c r="A22" t="inlineStr">
        <is>
          <t>A 61693-2025</t>
        </is>
      </c>
      <c r="B22" t="inlineStr">
        <is>
          <t>avverkningsanmälan</t>
        </is>
      </c>
      <c r="C22" t="inlineStr">
        <is>
          <t>Föryngringsavverkning</t>
        </is>
      </c>
      <c r="D22" s="1" t="n">
        <v>46002</v>
      </c>
      <c r="E22" s="1" t="n">
        <v>46289</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61685-2025</t>
        </is>
      </c>
      <c r="B23" t="inlineStr">
        <is>
          <t>avverkningsanmälan</t>
        </is>
      </c>
      <c r="C23" t="inlineStr">
        <is>
          <t>Föryngringsavverkning</t>
        </is>
      </c>
      <c r="D23" s="1" t="n">
        <v>46002</v>
      </c>
      <c r="E23" s="1" t="n">
        <v>46289</v>
      </c>
      <c r="F23" t="inlineStr">
        <is>
          <t>UPPSALA LÄN</t>
        </is>
      </c>
      <c r="G23" t="inlineStr">
        <is>
          <t>ÄLVKARLEBY</t>
        </is>
      </c>
      <c r="H23" t="inlineStr">
        <is>
          <t>Bergvik skog öst AB</t>
        </is>
      </c>
      <c r="I23" t="n">
        <v>1</v>
      </c>
      <c r="J23" t="n">
        <v>2</v>
      </c>
      <c r="K23" t="n">
        <v>1</v>
      </c>
      <c r="L23" t="n">
        <v>1</v>
      </c>
      <c r="M23" t="n">
        <v>0</v>
      </c>
      <c r="N23" t="n">
        <v>0</v>
      </c>
      <c r="O23" t="n">
        <v>0</v>
      </c>
      <c r="P23" t="n">
        <v>0</v>
      </c>
      <c r="Q23" t="n">
        <v>1</v>
      </c>
      <c r="R23" t="n">
        <v>0</v>
      </c>
      <c r="S23" t="n">
        <v>3</v>
      </c>
      <c r="T23" t="n">
        <v>3</v>
      </c>
      <c r="U23" t="n">
        <v>0</v>
      </c>
      <c r="V23" s="2" t="inlineStr">
        <is>
          <t>Klasefibbla
Tvåblad
Kärrknipprot</t>
        </is>
      </c>
      <c r="W23">
        <f>HYPERLINK("https://klasma.github.io/Logging_0319/artfynd/A 61685-2025 artfynd.xlsx", "A 61685-2025")</f>
        <v/>
      </c>
      <c r="X23">
        <f>HYPERLINK("https://klasma.github.io/Logging_0319/kartor/A 61685-2025 karta.png", "A 61685-2025")</f>
        <v/>
      </c>
      <c r="Y23">
        <f>HYPERLINK("https://klasma.github.io/Logging_0319/kartor_geotiff/A 61685-2025 georefererad karta.tif", "A 61685-2025")</f>
        <v/>
      </c>
      <c r="AA23">
        <f>HYPERLINK("https://klasma.github.io/Logging_0319/klagomål/A 61685-2025 FSC-klagomål.docx", "A 61685-2025")</f>
        <v/>
      </c>
      <c r="AB23">
        <f>HYPERLINK("https://klasma.github.io/Logging_0319/klagomålsmail/A 61685-2025 FSC-klagomål mail.docx", "A 61685-2025")</f>
        <v/>
      </c>
      <c r="AC23">
        <f>HYPERLINK("https://klasma.github.io/Logging_0319/tillsyn/A 61685-2025 tillsynsbegäran.docx", "A 61685-2025")</f>
        <v/>
      </c>
      <c r="AD23">
        <f>HYPERLINK("https://klasma.github.io/Logging_0319/tillsynsmail/A 61685-2025 tillsynsbegäran mail.docx", "A 61685-2025")</f>
        <v/>
      </c>
    </row>
    <row r="24" ht="15" customHeight="1">
      <c r="A24" t="inlineStr">
        <is>
          <t>A 15739-2025</t>
        </is>
      </c>
      <c r="B24" t="inlineStr">
        <is>
          <t>avverkningsanmälan</t>
        </is>
      </c>
      <c r="C24" t="inlineStr">
        <is>
          <t>Föryngringsavverkning</t>
        </is>
      </c>
      <c r="D24" s="1" t="n">
        <v>45748</v>
      </c>
      <c r="E24" s="1" t="n">
        <v>46289</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46289</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46289</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46289</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46289</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7286-2023</t>
        </is>
      </c>
      <c r="B29" t="inlineStr">
        <is>
          <t>avverkningsanmälan</t>
        </is>
      </c>
      <c r="C29" t="inlineStr">
        <is>
          <t>Avverkning för annat ändamål</t>
        </is>
      </c>
      <c r="D29" s="1" t="n">
        <v>44970</v>
      </c>
      <c r="E29" s="1" t="n">
        <v>46289</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t="n">
        <v>0</v>
      </c>
      <c r="V29" s="2" t="inlineStr">
        <is>
          <t>Grönpyrola</t>
        </is>
      </c>
      <c r="W29">
        <f>HYPERLINK("https://klasma.github.io/Logging_0319/artfynd/A 7286-2023 artfynd.xlsx", "A 7286-2023")</f>
        <v/>
      </c>
      <c r="X29">
        <f>HYPERLINK("https://klasma.github.io/Logging_0319/kartor/A 7286-2023 karta.png", "A 7286-2023")</f>
        <v/>
      </c>
      <c r="Y29">
        <f>HYPERLINK("https://klasma.github.io/Logging_0319/kartor_geotiff/A 7286-2023 georefererad karta.tif", "A 7286-2023")</f>
        <v/>
      </c>
      <c r="AA29">
        <f>HYPERLINK("https://klasma.github.io/Logging_0319/klagomål/A 7286-2023 FSC-klagomål.docx", "A 7286-2023")</f>
        <v/>
      </c>
      <c r="AB29">
        <f>HYPERLINK("https://klasma.github.io/Logging_0319/klagomålsmail/A 7286-2023 FSC-klagomål mail.docx", "A 7286-2023")</f>
        <v/>
      </c>
      <c r="AC29">
        <f>HYPERLINK("https://klasma.github.io/Logging_0319/tillsyn/A 7286-2023 tillsynsbegäran.docx", "A 7286-2023")</f>
        <v/>
      </c>
      <c r="AD29">
        <f>HYPERLINK("https://klasma.github.io/Logging_0319/tillsynsmail/A 7286-2023 tillsynsbegäran mail.docx", "A 7286-2023")</f>
        <v/>
      </c>
    </row>
    <row r="30" ht="15" customHeight="1">
      <c r="A30" t="inlineStr">
        <is>
          <t>A 10455-2022</t>
        </is>
      </c>
      <c r="B30" t="inlineStr">
        <is>
          <t>avverkningsanmälan</t>
        </is>
      </c>
      <c r="C30" t="inlineStr">
        <is>
          <t>Föryngringsavverkning</t>
        </is>
      </c>
      <c r="D30" s="1" t="n">
        <v>44623</v>
      </c>
      <c r="E30" s="1" t="n">
        <v>46289</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70017-2021</t>
        </is>
      </c>
      <c r="B31" t="inlineStr">
        <is>
          <t>avverkningsanmälan</t>
        </is>
      </c>
      <c r="C31" t="inlineStr">
        <is>
          <t>Föryngringsavverkning</t>
        </is>
      </c>
      <c r="D31" s="1" t="n">
        <v>44533</v>
      </c>
      <c r="E31" s="1" t="n">
        <v>46289</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19303-2024</t>
        </is>
      </c>
      <c r="B32" t="inlineStr">
        <is>
          <t>avverkningsanmälan</t>
        </is>
      </c>
      <c r="C32" t="inlineStr">
        <is>
          <t>Föryngringsavverkning</t>
        </is>
      </c>
      <c r="D32" s="1" t="n">
        <v>45428</v>
      </c>
      <c r="E32" s="1" t="n">
        <v>46289</v>
      </c>
      <c r="F32" t="inlineStr">
        <is>
          <t>UPPSALA LÄN</t>
        </is>
      </c>
      <c r="G32" t="inlineStr">
        <is>
          <t>ÄLVKARLEBY</t>
        </is>
      </c>
      <c r="I32" t="n">
        <v>0.4</v>
      </c>
      <c r="J32" t="n">
        <v>1</v>
      </c>
      <c r="K32" t="n">
        <v>0</v>
      </c>
      <c r="L32" t="n">
        <v>0</v>
      </c>
      <c r="M32" t="n">
        <v>1</v>
      </c>
      <c r="N32" t="n">
        <v>0</v>
      </c>
      <c r="O32" t="n">
        <v>0</v>
      </c>
      <c r="P32" t="n">
        <v>0</v>
      </c>
      <c r="Q32" t="n">
        <v>1</v>
      </c>
      <c r="R32" t="n">
        <v>1</v>
      </c>
      <c r="S32" t="n">
        <v>1</v>
      </c>
      <c r="T32" t="n">
        <v>1</v>
      </c>
      <c r="U32" t="n">
        <v>1</v>
      </c>
      <c r="V32" s="2" t="inlineStr">
        <is>
          <t>Gölgroda</t>
        </is>
      </c>
      <c r="W32">
        <f>HYPERLINK("https://klasma.github.io/Logging_0319/artfynd/A 19303-2024 artfynd.xlsx", "A 19303-2024")</f>
        <v/>
      </c>
      <c r="X32">
        <f>HYPERLINK("https://klasma.github.io/Logging_0319/kartor/A 19303-2024 karta.png", "A 19303-2024")</f>
        <v/>
      </c>
      <c r="Y32">
        <f>HYPERLINK("https://klasma.github.io/Logging_0319/kartor_geotiff/A 19303-2024 georefererad karta.tif", "A 19303-2024")</f>
        <v/>
      </c>
      <c r="AA32">
        <f>HYPERLINK("https://klasma.github.io/Logging_0319/klagomål/A 19303-2024 FSC-klagomål.docx", "A 19303-2024")</f>
        <v/>
      </c>
      <c r="AB32">
        <f>HYPERLINK("https://klasma.github.io/Logging_0319/klagomålsmail/A 19303-2024 FSC-klagomål mail.docx", "A 19303-2024")</f>
        <v/>
      </c>
      <c r="AC32">
        <f>HYPERLINK("https://klasma.github.io/Logging_0319/tillsyn/A 19303-2024 tillsynsbegäran.docx", "A 19303-2024")</f>
        <v/>
      </c>
      <c r="AD32">
        <f>HYPERLINK("https://klasma.github.io/Logging_0319/tillsynsmail/A 19303-2024 tillsynsbegäran mail.docx", "A 19303-2024")</f>
        <v/>
      </c>
    </row>
    <row r="33" ht="15" customHeight="1">
      <c r="A33" t="inlineStr">
        <is>
          <t>A 19304-2024</t>
        </is>
      </c>
      <c r="B33" t="inlineStr">
        <is>
          <t>avverkningsanmälan</t>
        </is>
      </c>
      <c r="C33" t="inlineStr">
        <is>
          <t>Föryngringsavverkning</t>
        </is>
      </c>
      <c r="D33" s="1" t="n">
        <v>45428</v>
      </c>
      <c r="E33" s="1" t="n">
        <v>46289</v>
      </c>
      <c r="F33" t="inlineStr">
        <is>
          <t>UPPSALA LÄN</t>
        </is>
      </c>
      <c r="G33" t="inlineStr">
        <is>
          <t>ÄLVKARLEBY</t>
        </is>
      </c>
      <c r="I33" t="n">
        <v>0.2</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HYPERLINK("https://klasma.github.io/Logging_0319/artfynd/A 19304-2024 artfynd.xlsx", "A 19304-2024")</f>
        <v/>
      </c>
      <c r="X33">
        <f>HYPERLINK("https://klasma.github.io/Logging_0319/kartor/A 19304-2024 karta.png", "A 19304-2024")</f>
        <v/>
      </c>
      <c r="Y33">
        <f>HYPERLINK("https://klasma.github.io/Logging_0319/kartor_geotiff/A 19304-2024 georefererad karta.tif", "A 19304-2024")</f>
        <v/>
      </c>
      <c r="AA33">
        <f>HYPERLINK("https://klasma.github.io/Logging_0319/klagomål/A 19304-2024 FSC-klagomål.docx", "A 19304-2024")</f>
        <v/>
      </c>
      <c r="AB33">
        <f>HYPERLINK("https://klasma.github.io/Logging_0319/klagomålsmail/A 19304-2024 FSC-klagomål mail.docx", "A 19304-2024")</f>
        <v/>
      </c>
      <c r="AC33">
        <f>HYPERLINK("https://klasma.github.io/Logging_0319/tillsyn/A 19304-2024 tillsynsbegäran.docx", "A 19304-2024")</f>
        <v/>
      </c>
      <c r="AD33">
        <f>HYPERLINK("https://klasma.github.io/Logging_0319/tillsynsmail/A 19304-2024 tillsynsbegäran mail.docx", "A 19304-2024")</f>
        <v/>
      </c>
    </row>
    <row r="34" ht="15" customHeight="1">
      <c r="A34" t="inlineStr">
        <is>
          <t>A 51238-2025</t>
        </is>
      </c>
      <c r="B34" t="inlineStr">
        <is>
          <t>avverkningsanmälan</t>
        </is>
      </c>
      <c r="C34" t="inlineStr">
        <is>
          <t>Föryngringsavverkning</t>
        </is>
      </c>
      <c r="D34" s="1" t="n">
        <v>45947</v>
      </c>
      <c r="E34" s="1" t="n">
        <v>46289</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19300-2024</t>
        </is>
      </c>
      <c r="B35" t="inlineStr">
        <is>
          <t>avverkningsanmälan</t>
        </is>
      </c>
      <c r="C35" t="inlineStr">
        <is>
          <t>Föryngringsavverkning</t>
        </is>
      </c>
      <c r="D35" s="1" t="n">
        <v>45428</v>
      </c>
      <c r="E35" s="1" t="n">
        <v>46289</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43285-2023</t>
        </is>
      </c>
      <c r="B36" t="inlineStr">
        <is>
          <t>avverkningsanmälan</t>
        </is>
      </c>
      <c r="C36" t="inlineStr">
        <is>
          <t>Föryngringsavverkning</t>
        </is>
      </c>
      <c r="D36" s="1" t="n">
        <v>45183</v>
      </c>
      <c r="E36" s="1" t="n">
        <v>46289</v>
      </c>
      <c r="F36" t="inlineStr">
        <is>
          <t>UPPSALA LÄN</t>
        </is>
      </c>
      <c r="G36" t="inlineStr">
        <is>
          <t>ÄLVKARLEBY</t>
        </is>
      </c>
      <c r="H36" t="inlineStr">
        <is>
          <t>Bergvik skog väst AB</t>
        </is>
      </c>
      <c r="I36" t="n">
        <v>1.3</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HYPERLINK("https://klasma.github.io/Logging_0319/artfynd/A 43285-2023 artfynd.xlsx", "A 43285-2023")</f>
        <v/>
      </c>
      <c r="X36">
        <f>HYPERLINK("https://klasma.github.io/Logging_0319/kartor/A 43285-2023 karta.png", "A 43285-2023")</f>
        <v/>
      </c>
      <c r="Y36">
        <f>HYPERLINK("https://klasma.github.io/Logging_0319/kartor_geotiff/A 43285-2023 georefererad karta.tif", "A 43285-2023")</f>
        <v/>
      </c>
      <c r="AA36">
        <f>HYPERLINK("https://klasma.github.io/Logging_0319/klagomål/A 43285-2023 FSC-klagomål.docx", "A 43285-2023")</f>
        <v/>
      </c>
      <c r="AB36">
        <f>HYPERLINK("https://klasma.github.io/Logging_0319/klagomålsmail/A 43285-2023 FSC-klagomål mail.docx", "A 43285-2023")</f>
        <v/>
      </c>
      <c r="AC36">
        <f>HYPERLINK("https://klasma.github.io/Logging_0319/tillsyn/A 43285-2023 tillsynsbegäran.docx", "A 43285-2023")</f>
        <v/>
      </c>
      <c r="AD36">
        <f>HYPERLINK("https://klasma.github.io/Logging_0319/tillsynsmail/A 43285-2023 tillsynsbegäran mail.docx", "A 43285-2023")</f>
        <v/>
      </c>
    </row>
    <row r="37" ht="15" customHeight="1">
      <c r="A37" t="inlineStr">
        <is>
          <t>A 3950-2025</t>
        </is>
      </c>
      <c r="B37" t="inlineStr">
        <is>
          <t>avverkningsanmälan</t>
        </is>
      </c>
      <c r="C37" t="inlineStr">
        <is>
          <t>Avverkning för annat ändamål</t>
        </is>
      </c>
      <c r="D37" s="1" t="n">
        <v>45684</v>
      </c>
      <c r="E37" s="1" t="n">
        <v>46289</v>
      </c>
      <c r="F37" t="inlineStr">
        <is>
          <t>UPPSALA LÄN</t>
        </is>
      </c>
      <c r="G37" t="inlineStr">
        <is>
          <t>ÄLVKARLEBY</t>
        </is>
      </c>
      <c r="I37" t="n">
        <v>3.1</v>
      </c>
      <c r="J37" t="n">
        <v>0</v>
      </c>
      <c r="K37" t="n">
        <v>0</v>
      </c>
      <c r="L37" t="n">
        <v>1</v>
      </c>
      <c r="M37" t="n">
        <v>0</v>
      </c>
      <c r="N37" t="n">
        <v>0</v>
      </c>
      <c r="O37" t="n">
        <v>0</v>
      </c>
      <c r="P37" t="n">
        <v>0</v>
      </c>
      <c r="Q37" t="n">
        <v>1</v>
      </c>
      <c r="R37" t="n">
        <v>0</v>
      </c>
      <c r="S37" t="n">
        <v>1</v>
      </c>
      <c r="T37" t="n">
        <v>4</v>
      </c>
      <c r="U37" t="n">
        <v>0</v>
      </c>
      <c r="V37" s="2" t="inlineStr">
        <is>
          <t>Månlåsbräken</t>
        </is>
      </c>
      <c r="W37">
        <f>HYPERLINK("https://klasma.github.io/Logging_0319/artfynd/A 3950-2025 artfynd.xlsx", "A 3950-2025")</f>
        <v/>
      </c>
      <c r="X37">
        <f>HYPERLINK("https://klasma.github.io/Logging_0319/kartor/A 3950-2025 karta.png", "A 3950-2025")</f>
        <v/>
      </c>
      <c r="Y37">
        <f>HYPERLINK("https://klasma.github.io/Logging_0319/kartor_geotiff/A 3950-2025 georefererad karta.tif", "A 3950-2025")</f>
        <v/>
      </c>
      <c r="AA37">
        <f>HYPERLINK("https://klasma.github.io/Logging_0319/klagomål/A 3950-2025 FSC-klagomål.docx", "A 3950-2025")</f>
        <v/>
      </c>
      <c r="AB37">
        <f>HYPERLINK("https://klasma.github.io/Logging_0319/klagomålsmail/A 3950-2025 FSC-klagomål mail.docx", "A 3950-2025")</f>
        <v/>
      </c>
      <c r="AC37">
        <f>HYPERLINK("https://klasma.github.io/Logging_0319/tillsyn/A 3950-2025 tillsynsbegäran.docx", "A 3950-2025")</f>
        <v/>
      </c>
      <c r="AD37">
        <f>HYPERLINK("https://klasma.github.io/Logging_0319/tillsynsmail/A 3950-2025 tillsynsbegäran mail.docx", "A 3950-2025")</f>
        <v/>
      </c>
    </row>
    <row r="38" ht="15" customHeight="1">
      <c r="A38" t="inlineStr">
        <is>
          <t>A 57734-2025</t>
        </is>
      </c>
      <c r="B38" t="inlineStr">
        <is>
          <t>avverkningsanmälan</t>
        </is>
      </c>
      <c r="C38" t="inlineStr">
        <is>
          <t>Föryngringsavverkning</t>
        </is>
      </c>
      <c r="D38" s="1" t="n">
        <v>45981</v>
      </c>
      <c r="E38" s="1" t="n">
        <v>46289</v>
      </c>
      <c r="F38" t="inlineStr">
        <is>
          <t>UPPSALA LÄN</t>
        </is>
      </c>
      <c r="G38" t="inlineStr">
        <is>
          <t>ÄLVKARLEBY</t>
        </is>
      </c>
      <c r="H38" t="inlineStr">
        <is>
          <t>Bergvik skog väst AB</t>
        </is>
      </c>
      <c r="I38" t="n">
        <v>1.3</v>
      </c>
      <c r="J38" t="n">
        <v>1</v>
      </c>
      <c r="K38" t="n">
        <v>0</v>
      </c>
      <c r="L38" t="n">
        <v>0</v>
      </c>
      <c r="M38" t="n">
        <v>1</v>
      </c>
      <c r="N38" t="n">
        <v>0</v>
      </c>
      <c r="O38" t="n">
        <v>0</v>
      </c>
      <c r="P38" t="n">
        <v>0</v>
      </c>
      <c r="Q38" t="n">
        <v>1</v>
      </c>
      <c r="R38" t="n">
        <v>1</v>
      </c>
      <c r="S38" t="n">
        <v>1</v>
      </c>
      <c r="T38" t="n">
        <v>1</v>
      </c>
      <c r="U38" t="n">
        <v>0</v>
      </c>
      <c r="V38" s="2" t="inlineStr">
        <is>
          <t>Gölgroda</t>
        </is>
      </c>
      <c r="W38">
        <f>HYPERLINK("https://klasma.github.io/Logging_0319/artfynd/A 57734-2025 artfynd.xlsx", "A 57734-2025")</f>
        <v/>
      </c>
      <c r="X38">
        <f>HYPERLINK("https://klasma.github.io/Logging_0319/kartor/A 57734-2025 karta.png", "A 57734-2025")</f>
        <v/>
      </c>
      <c r="Y38">
        <f>HYPERLINK("https://klasma.github.io/Logging_0319/kartor_geotiff/A 57734-2025 georefererad karta.tif", "A 57734-2025")</f>
        <v/>
      </c>
      <c r="AA38">
        <f>HYPERLINK("https://klasma.github.io/Logging_0319/klagomål/A 57734-2025 FSC-klagomål.docx", "A 57734-2025")</f>
        <v/>
      </c>
      <c r="AB38">
        <f>HYPERLINK("https://klasma.github.io/Logging_0319/klagomålsmail/A 57734-2025 FSC-klagomål mail.docx", "A 57734-2025")</f>
        <v/>
      </c>
      <c r="AC38">
        <f>HYPERLINK("https://klasma.github.io/Logging_0319/tillsyn/A 57734-2025 tillsynsbegäran.docx", "A 57734-2025")</f>
        <v/>
      </c>
      <c r="AD38">
        <f>HYPERLINK("https://klasma.github.io/Logging_0319/tillsynsmail/A 57734-2025 tillsynsbegäran mail.docx", "A 57734-2025")</f>
        <v/>
      </c>
    </row>
    <row r="39" ht="15" customHeight="1">
      <c r="A39" t="inlineStr">
        <is>
          <t>A 59993-2025</t>
        </is>
      </c>
      <c r="B39" t="inlineStr">
        <is>
          <t>avverkningsanmälan</t>
        </is>
      </c>
      <c r="C39" t="inlineStr">
        <is>
          <t>Avverkning för att bevara och utveckla /försöksver</t>
        </is>
      </c>
      <c r="D39" s="1" t="n">
        <v>45993</v>
      </c>
      <c r="E39" s="1" t="n">
        <v>46289</v>
      </c>
      <c r="F39" t="inlineStr">
        <is>
          <t>UPPSALA LÄN</t>
        </is>
      </c>
      <c r="G39" t="inlineStr">
        <is>
          <t>ÄLVKARLEBY</t>
        </is>
      </c>
      <c r="H39" t="inlineStr">
        <is>
          <t>Bergvik skog väst AB</t>
        </is>
      </c>
      <c r="I39" t="n">
        <v>18.6</v>
      </c>
      <c r="J39" t="n">
        <v>1</v>
      </c>
      <c r="K39" t="n">
        <v>1</v>
      </c>
      <c r="L39" t="n">
        <v>0</v>
      </c>
      <c r="M39" t="n">
        <v>0</v>
      </c>
      <c r="N39" t="n">
        <v>0</v>
      </c>
      <c r="O39" t="n">
        <v>0</v>
      </c>
      <c r="P39" t="n">
        <v>0</v>
      </c>
      <c r="Q39" t="n">
        <v>0</v>
      </c>
      <c r="R39" t="n">
        <v>0</v>
      </c>
      <c r="S39" t="n">
        <v>1</v>
      </c>
      <c r="T39" t="n">
        <v>11</v>
      </c>
      <c r="U39" t="n">
        <v>0</v>
      </c>
      <c r="V39" s="2" t="inlineStr">
        <is>
          <t>Skogsknipprot</t>
        </is>
      </c>
      <c r="W39">
        <f>HYPERLINK("https://klasma.github.io/Logging_0319/artfynd/A 59993-2025 artfynd.xlsx", "A 59993-2025")</f>
        <v/>
      </c>
      <c r="X39">
        <f>HYPERLINK("https://klasma.github.io/Logging_0319/kartor/A 59993-2025 karta.png", "A 59993-2025")</f>
        <v/>
      </c>
      <c r="Y39">
        <f>HYPERLINK("https://klasma.github.io/Logging_0319/kartor_geotiff/A 59993-2025 georefererad karta.tif", "A 59993-2025")</f>
        <v/>
      </c>
      <c r="AA39">
        <f>HYPERLINK("https://klasma.github.io/Logging_0319/klagomål/A 59993-2025 FSC-klagomål.docx", "A 59993-2025")</f>
        <v/>
      </c>
      <c r="AB39">
        <f>HYPERLINK("https://klasma.github.io/Logging_0319/klagomålsmail/A 59993-2025 FSC-klagomål mail.docx", "A 59993-2025")</f>
        <v/>
      </c>
      <c r="AC39">
        <f>HYPERLINK("https://klasma.github.io/Logging_0319/tillsyn/A 59993-2025 tillsynsbegäran.docx", "A 59993-2025")</f>
        <v/>
      </c>
      <c r="AD39">
        <f>HYPERLINK("https://klasma.github.io/Logging_0319/tillsynsmail/A 59993-2025 tillsynsbegäran mail.docx", "A 59993-2025")</f>
        <v/>
      </c>
    </row>
    <row r="40" ht="15" customHeight="1">
      <c r="A40" t="inlineStr">
        <is>
          <t>A 60829-2025</t>
        </is>
      </c>
      <c r="B40" t="inlineStr">
        <is>
          <t>avverkningsanmälan</t>
        </is>
      </c>
      <c r="C40" t="inlineStr">
        <is>
          <t>Avverkning för att bevara och utveckla /försöksver</t>
        </is>
      </c>
      <c r="D40" s="1" t="n">
        <v>45999</v>
      </c>
      <c r="E40" s="1" t="n">
        <v>46289</v>
      </c>
      <c r="F40" t="inlineStr">
        <is>
          <t>UPPSALA LÄN</t>
        </is>
      </c>
      <c r="G40" t="inlineStr">
        <is>
          <t>ÄLVKARLEBY</t>
        </is>
      </c>
      <c r="H40" t="inlineStr">
        <is>
          <t>Bergvik skog väst AB</t>
        </is>
      </c>
      <c r="I40" t="n">
        <v>5.5</v>
      </c>
      <c r="J40" t="n">
        <v>1</v>
      </c>
      <c r="K40" t="n">
        <v>0</v>
      </c>
      <c r="L40" t="n">
        <v>1</v>
      </c>
      <c r="M40" t="n">
        <v>0</v>
      </c>
      <c r="N40" t="n">
        <v>0</v>
      </c>
      <c r="O40" t="n">
        <v>0</v>
      </c>
      <c r="P40" t="n">
        <v>0</v>
      </c>
      <c r="Q40" t="n">
        <v>1</v>
      </c>
      <c r="R40" t="n">
        <v>0</v>
      </c>
      <c r="S40" t="n">
        <v>1</v>
      </c>
      <c r="T40" t="n">
        <v>1</v>
      </c>
      <c r="U40" t="n">
        <v>0</v>
      </c>
      <c r="V40" s="2" t="inlineStr">
        <is>
          <t>Sparvuggla</t>
        </is>
      </c>
      <c r="W40">
        <f>HYPERLINK("https://klasma.github.io/Logging_0319/artfynd/A 60829-2025 artfynd.xlsx", "A 60829-2025")</f>
        <v/>
      </c>
      <c r="X40">
        <f>HYPERLINK("https://klasma.github.io/Logging_0319/kartor/A 60829-2025 karta.png", "A 60829-2025")</f>
        <v/>
      </c>
      <c r="Y40">
        <f>HYPERLINK("https://klasma.github.io/Logging_0319/kartor_geotiff/A 60829-2025 georefererad karta.tif", "A 60829-2025")</f>
        <v/>
      </c>
      <c r="AA40">
        <f>HYPERLINK("https://klasma.github.io/Logging_0319/klagomål/A 60829-2025 FSC-klagomål.docx", "A 60829-2025")</f>
        <v/>
      </c>
      <c r="AB40">
        <f>HYPERLINK("https://klasma.github.io/Logging_0319/klagomålsmail/A 60829-2025 FSC-klagomål mail.docx", "A 60829-2025")</f>
        <v/>
      </c>
      <c r="AC40">
        <f>HYPERLINK("https://klasma.github.io/Logging_0319/tillsyn/A 60829-2025 tillsynsbegäran.docx", "A 60829-2025")</f>
        <v/>
      </c>
      <c r="AD40">
        <f>HYPERLINK("https://klasma.github.io/Logging_0319/tillsynsmail/A 60829-2025 tillsynsbegäran mail.docx", "A 60829-2025")</f>
        <v/>
      </c>
      <c r="AE40">
        <f>HYPERLINK("https://klasma.github.io/Logging_0319/fåglar/A 60829-2025 prioriterade fågelarter.docx", "A 60829-2025")</f>
        <v/>
      </c>
    </row>
    <row r="41" ht="15" customHeight="1">
      <c r="A41" t="inlineStr">
        <is>
          <t>A 1673-2026</t>
        </is>
      </c>
      <c r="B41" t="inlineStr">
        <is>
          <t>avverkningsanmälan</t>
        </is>
      </c>
      <c r="C41" t="inlineStr">
        <is>
          <t>Föryngringsavverkning</t>
        </is>
      </c>
      <c r="D41" s="1" t="n">
        <v>46034</v>
      </c>
      <c r="E41" s="1" t="n">
        <v>46289</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t="n">
        <v>0</v>
      </c>
      <c r="V41" s="2" t="inlineStr">
        <is>
          <t>Tibast</t>
        </is>
      </c>
      <c r="W41">
        <f>HYPERLINK("https://klasma.github.io/Logging_0319/artfynd/A 1673-2026 artfynd.xlsx", "A 1673-2026")</f>
        <v/>
      </c>
      <c r="X41">
        <f>HYPERLINK("https://klasma.github.io/Logging_0319/kartor/A 1673-2026 karta.png", "A 1673-2026")</f>
        <v/>
      </c>
      <c r="Y41">
        <f>HYPERLINK("https://klasma.github.io/Logging_0319/kartor_geotiff/A 1673-2026 georefererad karta.tif", "A 1673-2026")</f>
        <v/>
      </c>
      <c r="AA41">
        <f>HYPERLINK("https://klasma.github.io/Logging_0319/klagomål/A 1673-2026 FSC-klagomål.docx", "A 1673-2026")</f>
        <v/>
      </c>
      <c r="AB41">
        <f>HYPERLINK("https://klasma.github.io/Logging_0319/klagomålsmail/A 1673-2026 FSC-klagomål mail.docx", "A 1673-2026")</f>
        <v/>
      </c>
      <c r="AC41">
        <f>HYPERLINK("https://klasma.github.io/Logging_0319/tillsyn/A 1673-2026 tillsynsbegäran.docx", "A 1673-2026")</f>
        <v/>
      </c>
      <c r="AD41">
        <f>HYPERLINK("https://klasma.github.io/Logging_0319/tillsynsmail/A 1673-2026 tillsynsbegäran mail.docx", "A 1673-2026")</f>
        <v/>
      </c>
    </row>
    <row r="42" ht="15" customHeight="1">
      <c r="A42" t="inlineStr">
        <is>
          <t>A 63004-2025</t>
        </is>
      </c>
      <c r="B42" t="inlineStr">
        <is>
          <t>avverkningsanmälan</t>
        </is>
      </c>
      <c r="C42" t="inlineStr">
        <is>
          <t>Föryngringsavverkning</t>
        </is>
      </c>
      <c r="D42" s="1" t="n">
        <v>46009</v>
      </c>
      <c r="E42" s="1" t="n">
        <v>46289</v>
      </c>
      <c r="F42" t="inlineStr">
        <is>
          <t>UPPSALA LÄN</t>
        </is>
      </c>
      <c r="G42" t="inlineStr">
        <is>
          <t>ÄLVKARLEBY</t>
        </is>
      </c>
      <c r="H42" t="inlineStr">
        <is>
          <t>Bergvik skog väst AB</t>
        </is>
      </c>
      <c r="I42" t="n">
        <v>2.2</v>
      </c>
      <c r="J42" t="n">
        <v>1</v>
      </c>
      <c r="K42" t="n">
        <v>1</v>
      </c>
      <c r="L42" t="n">
        <v>0</v>
      </c>
      <c r="M42" t="n">
        <v>0</v>
      </c>
      <c r="N42" t="n">
        <v>0</v>
      </c>
      <c r="O42" t="n">
        <v>0</v>
      </c>
      <c r="P42" t="n">
        <v>0</v>
      </c>
      <c r="Q42" t="n">
        <v>0</v>
      </c>
      <c r="R42" t="n">
        <v>0</v>
      </c>
      <c r="S42" t="n">
        <v>1</v>
      </c>
      <c r="T42" t="n">
        <v>4</v>
      </c>
      <c r="U42" t="n">
        <v>0</v>
      </c>
      <c r="V42" s="2" t="inlineStr">
        <is>
          <t>Skogsknipprot</t>
        </is>
      </c>
      <c r="W42">
        <f>HYPERLINK("https://klasma.github.io/Logging_0319/artfynd/A 63004-2025 artfynd.xlsx", "A 63004-2025")</f>
        <v/>
      </c>
      <c r="X42">
        <f>HYPERLINK("https://klasma.github.io/Logging_0319/kartor/A 63004-2025 karta.png", "A 63004-2025")</f>
        <v/>
      </c>
      <c r="Y42">
        <f>HYPERLINK("https://klasma.github.io/Logging_0319/kartor_geotiff/A 63004-2025 georefererad karta.tif", "A 63004-2025")</f>
        <v/>
      </c>
      <c r="AA42">
        <f>HYPERLINK("https://klasma.github.io/Logging_0319/klagomål/A 63004-2025 FSC-klagomål.docx", "A 63004-2025")</f>
        <v/>
      </c>
      <c r="AB42">
        <f>HYPERLINK("https://klasma.github.io/Logging_0319/klagomålsmail/A 63004-2025 FSC-klagomål mail.docx", "A 63004-2025")</f>
        <v/>
      </c>
      <c r="AC42">
        <f>HYPERLINK("https://klasma.github.io/Logging_0319/tillsyn/A 63004-2025 tillsynsbegäran.docx", "A 63004-2025")</f>
        <v/>
      </c>
      <c r="AD42">
        <f>HYPERLINK("https://klasma.github.io/Logging_0319/tillsynsmail/A 63004-2025 tillsynsbegäran mail.docx", "A 63004-2025")</f>
        <v/>
      </c>
    </row>
    <row r="43" ht="15" customHeight="1">
      <c r="A43" t="inlineStr">
        <is>
          <t>A 4131-2026</t>
        </is>
      </c>
      <c r="B43" t="inlineStr">
        <is>
          <t>avverkningsanmälan</t>
        </is>
      </c>
      <c r="C43" t="inlineStr">
        <is>
          <t>Föryngringsavverkning</t>
        </is>
      </c>
      <c r="D43" s="1" t="n">
        <v>46044</v>
      </c>
      <c r="E43" s="1" t="n">
        <v>46289</v>
      </c>
      <c r="F43" t="inlineStr">
        <is>
          <t>UPPSALA LÄN</t>
        </is>
      </c>
      <c r="G43" t="inlineStr">
        <is>
          <t>ÄLVKARLEBY</t>
        </is>
      </c>
      <c r="H43" t="inlineStr">
        <is>
          <t>Bergvik skog öst AB</t>
        </is>
      </c>
      <c r="I43" t="n">
        <v>2.4</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4131-2026 artfynd.xlsx", "A 4131-2026")</f>
        <v/>
      </c>
      <c r="X43">
        <f>HYPERLINK("https://klasma.github.io/Logging_0319/kartor/A 4131-2026 karta.png", "A 4131-2026")</f>
        <v/>
      </c>
      <c r="Y43">
        <f>HYPERLINK("https://klasma.github.io/Logging_0319/kartor_geotiff/A 4131-2026 georefererad karta.tif", "A 4131-2026")</f>
        <v/>
      </c>
      <c r="AA43">
        <f>HYPERLINK("https://klasma.github.io/Logging_0319/klagomål/A 4131-2026 FSC-klagomål.docx", "A 4131-2026")</f>
        <v/>
      </c>
      <c r="AB43">
        <f>HYPERLINK("https://klasma.github.io/Logging_0319/klagomålsmail/A 4131-2026 FSC-klagomål mail.docx", "A 4131-2026")</f>
        <v/>
      </c>
      <c r="AC43">
        <f>HYPERLINK("https://klasma.github.io/Logging_0319/tillsyn/A 4131-2026 tillsynsbegäran.docx", "A 4131-2026")</f>
        <v/>
      </c>
      <c r="AD43">
        <f>HYPERLINK("https://klasma.github.io/Logging_0319/tillsynsmail/A 4131-2026 tillsynsbegäran mail.docx", "A 4131-2026")</f>
        <v/>
      </c>
    </row>
    <row r="44" ht="15" customHeight="1">
      <c r="A44" t="inlineStr">
        <is>
          <t>A 62938-2025</t>
        </is>
      </c>
      <c r="B44" t="inlineStr">
        <is>
          <t>avverkningsanmälan</t>
        </is>
      </c>
      <c r="C44" t="inlineStr">
        <is>
          <t>Föryngringsavverkning</t>
        </is>
      </c>
      <c r="D44" s="1" t="n">
        <v>46009</v>
      </c>
      <c r="E44" s="1" t="n">
        <v>46289</v>
      </c>
      <c r="F44" t="inlineStr">
        <is>
          <t>UPPSALA LÄN</t>
        </is>
      </c>
      <c r="G44" t="inlineStr">
        <is>
          <t>ÄLVKARLEBY</t>
        </is>
      </c>
      <c r="H44" t="inlineStr">
        <is>
          <t>Bergvik skog väst AB</t>
        </is>
      </c>
      <c r="I44" t="n">
        <v>10.2</v>
      </c>
      <c r="J44" t="n">
        <v>1</v>
      </c>
      <c r="K44" t="n">
        <v>1</v>
      </c>
      <c r="L44" t="n">
        <v>0</v>
      </c>
      <c r="M44" t="n">
        <v>0</v>
      </c>
      <c r="N44" t="n">
        <v>0</v>
      </c>
      <c r="O44" t="n">
        <v>0</v>
      </c>
      <c r="P44" t="n">
        <v>0</v>
      </c>
      <c r="Q44" t="n">
        <v>0</v>
      </c>
      <c r="R44" t="n">
        <v>0</v>
      </c>
      <c r="S44" t="n">
        <v>1</v>
      </c>
      <c r="T44" t="n">
        <v>1</v>
      </c>
      <c r="U44" t="n">
        <v>1</v>
      </c>
      <c r="V44" s="2" t="inlineStr">
        <is>
          <t>Tvåblad</t>
        </is>
      </c>
      <c r="W44">
        <f>HYPERLINK("https://klasma.github.io/Logging_0319/artfynd/A 62938-2025 artfynd.xlsx", "A 62938-2025")</f>
        <v/>
      </c>
      <c r="X44">
        <f>HYPERLINK("https://klasma.github.io/Logging_0319/kartor/A 62938-2025 karta.png", "A 62938-2025")</f>
        <v/>
      </c>
      <c r="Y44">
        <f>HYPERLINK("https://klasma.github.io/Logging_0319/kartor_geotiff/A 62938-2025 georefererad karta.tif", "A 62938-2025")</f>
        <v/>
      </c>
      <c r="AA44">
        <f>HYPERLINK("https://klasma.github.io/Logging_0319/klagomål/A 62938-2025 FSC-klagomål.docx", "A 62938-2025")</f>
        <v/>
      </c>
      <c r="AB44">
        <f>HYPERLINK("https://klasma.github.io/Logging_0319/klagomålsmail/A 62938-2025 FSC-klagomål mail.docx", "A 62938-2025")</f>
        <v/>
      </c>
      <c r="AC44">
        <f>HYPERLINK("https://klasma.github.io/Logging_0319/tillsyn/A 62938-2025 tillsynsbegäran.docx", "A 62938-2025")</f>
        <v/>
      </c>
      <c r="AD44">
        <f>HYPERLINK("https://klasma.github.io/Logging_0319/tillsynsmail/A 62938-2025 tillsynsbegäran mail.docx", "A 62938-2025")</f>
        <v/>
      </c>
    </row>
    <row r="45" ht="15" customHeight="1">
      <c r="A45" t="inlineStr">
        <is>
          <t>A 14127-2026</t>
        </is>
      </c>
      <c r="B45" t="inlineStr">
        <is>
          <t>avverkningsanmälan</t>
        </is>
      </c>
      <c r="C45" t="inlineStr">
        <is>
          <t>Föryngringsavverkning</t>
        </is>
      </c>
      <c r="D45" s="1" t="n">
        <v>46099</v>
      </c>
      <c r="E45" s="1" t="n">
        <v>46289</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t="n">
        <v>0</v>
      </c>
      <c r="V45" s="2" t="inlineStr">
        <is>
          <t>Grangråticka</t>
        </is>
      </c>
      <c r="W45">
        <f>HYPERLINK("https://klasma.github.io/Logging_0319/artfynd/A 14127-2026 artfynd.xlsx", "A 14127-2026")</f>
        <v/>
      </c>
      <c r="X45">
        <f>HYPERLINK("https://klasma.github.io/Logging_0319/kartor/A 14127-2026 karta.png", "A 14127-2026")</f>
        <v/>
      </c>
      <c r="Y45">
        <f>HYPERLINK("https://klasma.github.io/Logging_0319/kartor_geotiff/A 14127-2026 georefererad karta.tif", "A 14127-2026")</f>
        <v/>
      </c>
      <c r="AA45">
        <f>HYPERLINK("https://klasma.github.io/Logging_0319/klagomål/A 14127-2026 FSC-klagomål.docx", "A 14127-2026")</f>
        <v/>
      </c>
      <c r="AB45">
        <f>HYPERLINK("https://klasma.github.io/Logging_0319/klagomålsmail/A 14127-2026 FSC-klagomål mail.docx", "A 14127-2026")</f>
        <v/>
      </c>
      <c r="AC45">
        <f>HYPERLINK("https://klasma.github.io/Logging_0319/tillsyn/A 14127-2026 tillsynsbegäran.docx", "A 14127-2026")</f>
        <v/>
      </c>
      <c r="AD45">
        <f>HYPERLINK("https://klasma.github.io/Logging_0319/tillsynsmail/A 14127-2026 tillsynsbegäran mail.docx", "A 14127-2026")</f>
        <v/>
      </c>
    </row>
    <row r="46" ht="15" customHeight="1">
      <c r="A46" t="inlineStr">
        <is>
          <t>A 30233-2026</t>
        </is>
      </c>
      <c r="B46" t="inlineStr">
        <is>
          <t>avverkningsanmälan</t>
        </is>
      </c>
      <c r="C46" t="inlineStr">
        <is>
          <t>Föryngringsavverkning</t>
        </is>
      </c>
      <c r="D46" s="1" t="n">
        <v>46206</v>
      </c>
      <c r="E46" s="1" t="n">
        <v>46289</v>
      </c>
      <c r="F46" t="inlineStr">
        <is>
          <t>UPPSALA LÄN</t>
        </is>
      </c>
      <c r="G46" t="inlineStr">
        <is>
          <t>ÄLVKARLEBY</t>
        </is>
      </c>
      <c r="H46" t="inlineStr">
        <is>
          <t>Bergvik skog öst AB</t>
        </is>
      </c>
      <c r="I46" t="n">
        <v>6.8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30233-2026 artfynd.xlsx", "A 30233-2026")</f>
        <v/>
      </c>
      <c r="X46">
        <f>HYPERLINK("https://klasma.github.io/Logging_0319/kartor/A 30233-2026 karta.png", "A 30233-2026")</f>
        <v/>
      </c>
      <c r="Y46">
        <f>HYPERLINK("https://klasma.github.io/Logging_0319/kartor_geotiff/A 30233-2026 georefererad karta.tif", "A 30233-2026")</f>
        <v/>
      </c>
      <c r="AA46">
        <f>HYPERLINK("https://klasma.github.io/Logging_0319/klagomål/A 30233-2026 FSC-klagomål.docx", "A 30233-2026")</f>
        <v/>
      </c>
      <c r="AB46">
        <f>HYPERLINK("https://klasma.github.io/Logging_0319/klagomålsmail/A 30233-2026 FSC-klagomål mail.docx", "A 30233-2026")</f>
        <v/>
      </c>
      <c r="AC46">
        <f>HYPERLINK("https://klasma.github.io/Logging_0319/tillsyn/A 30233-2026 tillsynsbegäran.docx", "A 30233-2026")</f>
        <v/>
      </c>
      <c r="AD46">
        <f>HYPERLINK("https://klasma.github.io/Logging_0319/tillsynsmail/A 30233-2026 tillsynsbegäran mail.docx", "A 30233-2026")</f>
        <v/>
      </c>
    </row>
    <row r="47" ht="15" customHeight="1">
      <c r="A47" t="inlineStr">
        <is>
          <t>A 30236-2026</t>
        </is>
      </c>
      <c r="B47" t="inlineStr">
        <is>
          <t>avverkningsanmälan</t>
        </is>
      </c>
      <c r="C47" t="inlineStr">
        <is>
          <t>Föryngringsavverkning</t>
        </is>
      </c>
      <c r="D47" s="1" t="n">
        <v>46206</v>
      </c>
      <c r="E47" s="1" t="n">
        <v>46289</v>
      </c>
      <c r="F47" t="inlineStr">
        <is>
          <t>UPPSALA LÄN</t>
        </is>
      </c>
      <c r="G47" t="inlineStr">
        <is>
          <t>ÄLVKARLEBY</t>
        </is>
      </c>
      <c r="H47" t="inlineStr">
        <is>
          <t>Bergvik skog öst AB</t>
        </is>
      </c>
      <c r="I47" t="n">
        <v>4.8</v>
      </c>
      <c r="J47" t="n">
        <v>1</v>
      </c>
      <c r="K47" t="n">
        <v>1</v>
      </c>
      <c r="L47" t="n">
        <v>0</v>
      </c>
      <c r="M47" t="n">
        <v>0</v>
      </c>
      <c r="N47" t="n">
        <v>0</v>
      </c>
      <c r="O47" t="n">
        <v>0</v>
      </c>
      <c r="P47" t="n">
        <v>0</v>
      </c>
      <c r="Q47" t="n">
        <v>0</v>
      </c>
      <c r="R47" t="n">
        <v>0</v>
      </c>
      <c r="S47" t="n">
        <v>1</v>
      </c>
      <c r="T47" t="n">
        <v>1</v>
      </c>
      <c r="U47" t="n">
        <v>0</v>
      </c>
      <c r="V47" s="2" t="inlineStr">
        <is>
          <t>Nästrot</t>
        </is>
      </c>
      <c r="W47">
        <f>HYPERLINK("https://klasma.github.io/Logging_0319/artfynd/A 30236-2026 artfynd.xlsx", "A 30236-2026")</f>
        <v/>
      </c>
      <c r="X47">
        <f>HYPERLINK("https://klasma.github.io/Logging_0319/kartor/A 30236-2026 karta.png", "A 30236-2026")</f>
        <v/>
      </c>
      <c r="Y47">
        <f>HYPERLINK("https://klasma.github.io/Logging_0319/kartor_geotiff/A 30236-2026 georefererad karta.tif", "A 30236-2026")</f>
        <v/>
      </c>
      <c r="AA47">
        <f>HYPERLINK("https://klasma.github.io/Logging_0319/klagomål/A 30236-2026 FSC-klagomål.docx", "A 30236-2026")</f>
        <v/>
      </c>
      <c r="AB47">
        <f>HYPERLINK("https://klasma.github.io/Logging_0319/klagomålsmail/A 30236-2026 FSC-klagomål mail.docx", "A 30236-2026")</f>
        <v/>
      </c>
      <c r="AC47">
        <f>HYPERLINK("https://klasma.github.io/Logging_0319/tillsyn/A 30236-2026 tillsynsbegäran.docx", "A 30236-2026")</f>
        <v/>
      </c>
      <c r="AD47">
        <f>HYPERLINK("https://klasma.github.io/Logging_0319/tillsynsmail/A 30236-2026 tillsynsbegäran mail.docx", "A 30236-2026")</f>
        <v/>
      </c>
    </row>
    <row r="48" ht="15" customHeight="1">
      <c r="A48" t="inlineStr">
        <is>
          <t>A 36217-2022</t>
        </is>
      </c>
      <c r="B48" t="inlineStr">
        <is>
          <t>avverkningsanmälan</t>
        </is>
      </c>
      <c r="C48" t="inlineStr">
        <is>
          <t>Avverkning för annat ändamål</t>
        </is>
      </c>
      <c r="D48" s="1" t="n">
        <v>44803</v>
      </c>
      <c r="E48" s="1" t="n">
        <v>46289</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46289</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26815-2022</t>
        </is>
      </c>
      <c r="B50" t="inlineStr">
        <is>
          <t>avverkningsanmälan</t>
        </is>
      </c>
      <c r="C50" t="inlineStr">
        <is>
          <t>Föryngringsavverkning</t>
        </is>
      </c>
      <c r="D50" s="1" t="n">
        <v>44740</v>
      </c>
      <c r="E50" s="1" t="n">
        <v>46289</v>
      </c>
      <c r="F50" t="inlineStr">
        <is>
          <t>UPPSALA LÄN</t>
        </is>
      </c>
      <c r="G50" t="inlineStr">
        <is>
          <t>ÄLVKARLEBY</t>
        </is>
      </c>
      <c r="I50" t="n">
        <v>5.8</v>
      </c>
      <c r="J50" t="n">
        <v>0</v>
      </c>
      <c r="K50" t="n">
        <v>0</v>
      </c>
      <c r="L50" t="n">
        <v>0</v>
      </c>
      <c r="M50" t="n">
        <v>0</v>
      </c>
      <c r="N50" t="n">
        <v>0</v>
      </c>
      <c r="O50" t="n">
        <v>0</v>
      </c>
      <c r="P50" t="n">
        <v>0</v>
      </c>
      <c r="Q50" t="n">
        <v>0</v>
      </c>
      <c r="R50" t="n">
        <v>0</v>
      </c>
      <c r="S50" t="n">
        <v>0</v>
      </c>
      <c r="T50" t="n">
        <v>0</v>
      </c>
      <c r="U50" t="n">
        <v>0</v>
      </c>
      <c r="V50" s="2" t="inlineStr"/>
    </row>
    <row r="51" ht="15" customHeight="1">
      <c r="A51" t="inlineStr">
        <is>
          <t>A 36216-2022</t>
        </is>
      </c>
      <c r="B51" t="inlineStr">
        <is>
          <t>avverkningsanmälan</t>
        </is>
      </c>
      <c r="C51" t="inlineStr">
        <is>
          <t>Avverkning för annat ändamål</t>
        </is>
      </c>
      <c r="D51" s="1" t="n">
        <v>44803</v>
      </c>
      <c r="E51" s="1" t="n">
        <v>46289</v>
      </c>
      <c r="F51" t="inlineStr">
        <is>
          <t>UPPSALA LÄN</t>
        </is>
      </c>
      <c r="G51" t="inlineStr">
        <is>
          <t>ÄLVKARLEBY</t>
        </is>
      </c>
      <c r="H51" t="inlineStr">
        <is>
          <t>Bergvik skog väst AB</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25330-2025</t>
        </is>
      </c>
      <c r="B52" t="inlineStr">
        <is>
          <t>avverkningsanmälan</t>
        </is>
      </c>
      <c r="C52" t="inlineStr">
        <is>
          <t>Föryngringsavverkning</t>
        </is>
      </c>
      <c r="D52" s="1" t="n">
        <v>45800</v>
      </c>
      <c r="E52" s="1" t="n">
        <v>46289</v>
      </c>
      <c r="F52" t="inlineStr">
        <is>
          <t>UPPSALA LÄN</t>
        </is>
      </c>
      <c r="G52" t="inlineStr">
        <is>
          <t>ÄLVKARLEBY</t>
        </is>
      </c>
      <c r="H52" t="inlineStr">
        <is>
          <t>Bergvik skog väst AB</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2184-2024</t>
        </is>
      </c>
      <c r="B53" t="inlineStr">
        <is>
          <t>avverkningsanmälan</t>
        </is>
      </c>
      <c r="C53" t="inlineStr">
        <is>
          <t>Föryngringsavverkning</t>
        </is>
      </c>
      <c r="D53" s="1" t="n">
        <v>45309</v>
      </c>
      <c r="E53" s="1" t="n">
        <v>46289</v>
      </c>
      <c r="F53" t="inlineStr">
        <is>
          <t>UPPSALA LÄN</t>
        </is>
      </c>
      <c r="G53" t="inlineStr">
        <is>
          <t>ÄLVKARLEBY</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46289</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46289</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46289</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41272-2023</t>
        </is>
      </c>
      <c r="B57" t="inlineStr">
        <is>
          <t>avverkningsanmälan</t>
        </is>
      </c>
      <c r="C57" t="inlineStr">
        <is>
          <t>Föryngringsavverkning</t>
        </is>
      </c>
      <c r="D57" s="1" t="n">
        <v>45174</v>
      </c>
      <c r="E57" s="1" t="n">
        <v>46289</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2183-2024</t>
        </is>
      </c>
      <c r="B58" t="inlineStr">
        <is>
          <t>avverkningsanmälan</t>
        </is>
      </c>
      <c r="C58" t="inlineStr">
        <is>
          <t>Föryngringsavverkning</t>
        </is>
      </c>
      <c r="D58" s="1" t="n">
        <v>45309</v>
      </c>
      <c r="E58" s="1" t="n">
        <v>46289</v>
      </c>
      <c r="F58" t="inlineStr">
        <is>
          <t>UPPSALA LÄN</t>
        </is>
      </c>
      <c r="G58" t="inlineStr">
        <is>
          <t>ÄLVKARLEBY</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46289</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46289</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45372-2024</t>
        </is>
      </c>
      <c r="B61" t="inlineStr">
        <is>
          <t>avverkningsanmälan</t>
        </is>
      </c>
      <c r="C61" t="inlineStr">
        <is>
          <t>Föryngringsavverkning</t>
        </is>
      </c>
      <c r="D61" s="1" t="n">
        <v>45576</v>
      </c>
      <c r="E61" s="1" t="n">
        <v>46289</v>
      </c>
      <c r="F61" t="inlineStr">
        <is>
          <t>UPPSALA LÄN</t>
        </is>
      </c>
      <c r="G61" t="inlineStr">
        <is>
          <t>ÄLVKARLEBY</t>
        </is>
      </c>
      <c r="H61" t="inlineStr">
        <is>
          <t>Bergvik skog väst AB</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16990-2022</t>
        </is>
      </c>
      <c r="B62" t="inlineStr">
        <is>
          <t>avverkningsanmälan</t>
        </is>
      </c>
      <c r="C62" t="inlineStr">
        <is>
          <t>Föryngringsavverkning</t>
        </is>
      </c>
      <c r="D62" s="1" t="n">
        <v>44676</v>
      </c>
      <c r="E62" s="1" t="n">
        <v>46289</v>
      </c>
      <c r="F62" t="inlineStr">
        <is>
          <t>UPPSALA LÄN</t>
        </is>
      </c>
      <c r="G62" t="inlineStr">
        <is>
          <t>ÄLVKARLEBY</t>
        </is>
      </c>
      <c r="H62" t="inlineStr">
        <is>
          <t>Bergvik skog väst AB</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46289</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46289</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46289</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46289</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53184-2025</t>
        </is>
      </c>
      <c r="B67" t="inlineStr">
        <is>
          <t>avverkningsanmälan</t>
        </is>
      </c>
      <c r="C67" t="inlineStr">
        <is>
          <t>Föryngringsavverkning</t>
        </is>
      </c>
      <c r="D67" s="1" t="n">
        <v>45958</v>
      </c>
      <c r="E67" s="1" t="n">
        <v>46289</v>
      </c>
      <c r="F67" t="inlineStr">
        <is>
          <t>UPPSALA LÄN</t>
        </is>
      </c>
      <c r="G67" t="inlineStr">
        <is>
          <t>ÄLVKARLEBY</t>
        </is>
      </c>
      <c r="H67" t="inlineStr">
        <is>
          <t>Bergvik skog väst AB</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56861-2025</t>
        </is>
      </c>
      <c r="B68" t="inlineStr">
        <is>
          <t>avverkningsanmälan</t>
        </is>
      </c>
      <c r="C68" t="inlineStr">
        <is>
          <t>Avverkning för att bevara och utveckla /försöksver</t>
        </is>
      </c>
      <c r="D68" s="1" t="n">
        <v>45978</v>
      </c>
      <c r="E68" s="1" t="n">
        <v>46289</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46289</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60256-2025</t>
        </is>
      </c>
      <c r="B70" t="inlineStr">
        <is>
          <t>avverkningsanmälan</t>
        </is>
      </c>
      <c r="C70" t="inlineStr">
        <is>
          <t>Föryngringsavverkning</t>
        </is>
      </c>
      <c r="D70" s="1" t="n">
        <v>45994</v>
      </c>
      <c r="E70" s="1" t="n">
        <v>46289</v>
      </c>
      <c r="F70" t="inlineStr">
        <is>
          <t>UPPSALA LÄN</t>
        </is>
      </c>
      <c r="G70" t="inlineStr">
        <is>
          <t>ÄLVKARLEBY</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60842-2025</t>
        </is>
      </c>
      <c r="B71" t="inlineStr">
        <is>
          <t>avverkningsanmälan</t>
        </is>
      </c>
      <c r="C71" t="inlineStr">
        <is>
          <t>Avverkning för att bevara och utveckla /försöksver</t>
        </is>
      </c>
      <c r="D71" s="1" t="n">
        <v>45999</v>
      </c>
      <c r="E71" s="1" t="n">
        <v>46289</v>
      </c>
      <c r="F71" t="inlineStr">
        <is>
          <t>UPPSALA LÄN</t>
        </is>
      </c>
      <c r="G71" t="inlineStr">
        <is>
          <t>ÄLVKARLEBY</t>
        </is>
      </c>
      <c r="H71" t="inlineStr">
        <is>
          <t>Bergvik skog väst AB</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61694-2025</t>
        </is>
      </c>
      <c r="B72" t="inlineStr">
        <is>
          <t>avverkningsanmälan</t>
        </is>
      </c>
      <c r="C72" t="inlineStr">
        <is>
          <t>Föryngringsavverkning</t>
        </is>
      </c>
      <c r="D72" s="1" t="n">
        <v>46002</v>
      </c>
      <c r="E72" s="1" t="n">
        <v>46289</v>
      </c>
      <c r="F72" t="inlineStr">
        <is>
          <t>UPPSALA LÄN</t>
        </is>
      </c>
      <c r="G72" t="inlineStr">
        <is>
          <t>ÄLVKARLEBY</t>
        </is>
      </c>
      <c r="H72" t="inlineStr">
        <is>
          <t>Bergvik skog öst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61691-2025</t>
        </is>
      </c>
      <c r="B73" t="inlineStr">
        <is>
          <t>avverkningsanmälan</t>
        </is>
      </c>
      <c r="C73" t="inlineStr">
        <is>
          <t>Föryngringsavverkning</t>
        </is>
      </c>
      <c r="D73" s="1" t="n">
        <v>46002</v>
      </c>
      <c r="E73" s="1" t="n">
        <v>46289</v>
      </c>
      <c r="F73" t="inlineStr">
        <is>
          <t>UPPSALA LÄN</t>
        </is>
      </c>
      <c r="G73" t="inlineStr">
        <is>
          <t>ÄLVKARLEBY</t>
        </is>
      </c>
      <c r="H73" t="inlineStr">
        <is>
          <t>Bergvik skog öst AB</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32187-2025</t>
        </is>
      </c>
      <c r="B74" t="inlineStr">
        <is>
          <t>avverkningsanmälan</t>
        </is>
      </c>
      <c r="C74" t="inlineStr">
        <is>
          <t>Föryngringsavverkning</t>
        </is>
      </c>
      <c r="D74" s="1" t="n">
        <v>45835</v>
      </c>
      <c r="E74" s="1" t="n">
        <v>46289</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46113-2023</t>
        </is>
      </c>
      <c r="B75" t="inlineStr">
        <is>
          <t>avverkningsanmälan</t>
        </is>
      </c>
      <c r="C75" t="inlineStr">
        <is>
          <t>Föryngringsavverkning</t>
        </is>
      </c>
      <c r="D75" s="1" t="n">
        <v>45196</v>
      </c>
      <c r="E75" s="1" t="n">
        <v>46289</v>
      </c>
      <c r="F75" t="inlineStr">
        <is>
          <t>UPPSALA LÄN</t>
        </is>
      </c>
      <c r="G75" t="inlineStr">
        <is>
          <t>ÄLVKARLEBY</t>
        </is>
      </c>
      <c r="H75" t="inlineStr">
        <is>
          <t>Bergvik skog väst AB</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46289</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46289</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46289</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38636-2026</t>
        </is>
      </c>
      <c r="B79" t="inlineStr">
        <is>
          <t>avverkningsanmälan</t>
        </is>
      </c>
      <c r="C79" t="inlineStr">
        <is>
          <t>Föryngringsavverkning</t>
        </is>
      </c>
      <c r="D79" s="1" t="n">
        <v>46283</v>
      </c>
      <c r="E79" s="1" t="n">
        <v>46289</v>
      </c>
      <c r="F79" t="inlineStr">
        <is>
          <t>UPPSALA LÄN</t>
        </is>
      </c>
      <c r="G79" t="inlineStr">
        <is>
          <t>ÄLVKARLEBY</t>
        </is>
      </c>
      <c r="H79" t="inlineStr">
        <is>
          <t>Bergvik skog väst AB</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38617-2026</t>
        </is>
      </c>
      <c r="B80" t="inlineStr">
        <is>
          <t>avverkningsanmälan</t>
        </is>
      </c>
      <c r="C80" t="inlineStr">
        <is>
          <t>Föryngringsavverkning</t>
        </is>
      </c>
      <c r="D80" s="1" t="n">
        <v>46283</v>
      </c>
      <c r="E80" s="1" t="n">
        <v>46289</v>
      </c>
      <c r="F80" t="inlineStr">
        <is>
          <t>UPPSALA LÄN</t>
        </is>
      </c>
      <c r="G80" t="inlineStr">
        <is>
          <t>ÄLVKARLEBY</t>
        </is>
      </c>
      <c r="H80" t="inlineStr">
        <is>
          <t>Bergvik skog väst AB</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46289</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41276-2023</t>
        </is>
      </c>
      <c r="B82" t="inlineStr">
        <is>
          <t>avverkningsanmälan</t>
        </is>
      </c>
      <c r="C82" t="inlineStr">
        <is>
          <t>Föryngringsavverkning</t>
        </is>
      </c>
      <c r="D82" s="1" t="n">
        <v>45174</v>
      </c>
      <c r="E82" s="1" t="n">
        <v>46289</v>
      </c>
      <c r="F82" t="inlineStr">
        <is>
          <t>UPPSALA LÄN</t>
        </is>
      </c>
      <c r="G82" t="inlineStr">
        <is>
          <t>ÄLVKARLEBY</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11467-2026</t>
        </is>
      </c>
      <c r="B83" t="inlineStr">
        <is>
          <t>avverkningsanmälan</t>
        </is>
      </c>
      <c r="C83" t="inlineStr">
        <is>
          <t>Föryngringsavverkning</t>
        </is>
      </c>
      <c r="D83" s="1" t="n">
        <v>46083</v>
      </c>
      <c r="E83" s="1" t="n">
        <v>46289</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11848-2026</t>
        </is>
      </c>
      <c r="B84" t="inlineStr">
        <is>
          <t>avverkningsanmälan</t>
        </is>
      </c>
      <c r="C84" t="inlineStr">
        <is>
          <t>Föryngringsavverkning</t>
        </is>
      </c>
      <c r="D84" s="1" t="n">
        <v>46085</v>
      </c>
      <c r="E84" s="1" t="n">
        <v>46289</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46289</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46289</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46289</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14590-2023</t>
        </is>
      </c>
      <c r="B88" t="inlineStr">
        <is>
          <t>avverkningsanmälan</t>
        </is>
      </c>
      <c r="C88" t="inlineStr">
        <is>
          <t>Föryngringsavverkning</t>
        </is>
      </c>
      <c r="D88" s="1" t="n">
        <v>45013</v>
      </c>
      <c r="E88" s="1" t="n">
        <v>46289</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28670-2025</t>
        </is>
      </c>
      <c r="B89" t="inlineStr">
        <is>
          <t>avverkningsanmälan</t>
        </is>
      </c>
      <c r="C89" t="inlineStr">
        <is>
          <t>Föryngringsavverkning</t>
        </is>
      </c>
      <c r="D89" s="1" t="n">
        <v>45819</v>
      </c>
      <c r="E89" s="1" t="n">
        <v>46289</v>
      </c>
      <c r="F89" t="inlineStr">
        <is>
          <t>UPPSALA LÄN</t>
        </is>
      </c>
      <c r="G89" t="inlineStr">
        <is>
          <t>ÄLVKARLEBY</t>
        </is>
      </c>
      <c r="H89" t="inlineStr">
        <is>
          <t>Bergvik skog väst AB</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9533-2025</t>
        </is>
      </c>
      <c r="B90" t="inlineStr">
        <is>
          <t>avverkningsanmälan</t>
        </is>
      </c>
      <c r="C90" t="inlineStr">
        <is>
          <t>Föryngringsavverkning</t>
        </is>
      </c>
      <c r="D90" s="1" t="n">
        <v>45715</v>
      </c>
      <c r="E90" s="1" t="n">
        <v>46289</v>
      </c>
      <c r="F90" t="inlineStr">
        <is>
          <t>UPPSALA LÄN</t>
        </is>
      </c>
      <c r="G90" t="inlineStr">
        <is>
          <t>ÄLVKARLEBY</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33485-2026</t>
        </is>
      </c>
      <c r="B91" t="inlineStr">
        <is>
          <t>avverkningsanmälan</t>
        </is>
      </c>
      <c r="C91" t="inlineStr">
        <is>
          <t>Föryngringsavverkning</t>
        </is>
      </c>
      <c r="D91" s="1" t="n">
        <v>46247</v>
      </c>
      <c r="E91" s="1" t="n">
        <v>46289</v>
      </c>
      <c r="F91" t="inlineStr">
        <is>
          <t>UPPSALA LÄN</t>
        </is>
      </c>
      <c r="G91" t="inlineStr">
        <is>
          <t>ÄLVKARLEBY</t>
        </is>
      </c>
      <c r="H91" t="inlineStr">
        <is>
          <t>Bergvik skog öst AB</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30238-2026</t>
        </is>
      </c>
      <c r="B92" t="inlineStr">
        <is>
          <t>avverkningsanmälan</t>
        </is>
      </c>
      <c r="C92" t="inlineStr">
        <is>
          <t>Föryngringsavverkning</t>
        </is>
      </c>
      <c r="D92" s="1" t="n">
        <v>46206</v>
      </c>
      <c r="E92" s="1" t="n">
        <v>46289</v>
      </c>
      <c r="F92" t="inlineStr">
        <is>
          <t>UPPSALA LÄN</t>
        </is>
      </c>
      <c r="G92" t="inlineStr">
        <is>
          <t>ÄLVKARLEBY</t>
        </is>
      </c>
      <c r="H92" t="inlineStr">
        <is>
          <t>Bergvik skog öst AB</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30234-2026</t>
        </is>
      </c>
      <c r="B93" t="inlineStr">
        <is>
          <t>avverkningsanmälan</t>
        </is>
      </c>
      <c r="C93" t="inlineStr">
        <is>
          <t>Föryngringsavverkning</t>
        </is>
      </c>
      <c r="D93" s="1" t="n">
        <v>46206</v>
      </c>
      <c r="E93" s="1" t="n">
        <v>46289</v>
      </c>
      <c r="F93" t="inlineStr">
        <is>
          <t>UPPSALA LÄN</t>
        </is>
      </c>
      <c r="G93" t="inlineStr">
        <is>
          <t>ÄLVKARLEBY</t>
        </is>
      </c>
      <c r="H93" t="inlineStr">
        <is>
          <t>Bergvik skog öst AB</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34575-2026</t>
        </is>
      </c>
      <c r="B94" t="inlineStr">
        <is>
          <t>avverkningsanmälan</t>
        </is>
      </c>
      <c r="C94" t="inlineStr">
        <is>
          <t>Föryngringsavverkning</t>
        </is>
      </c>
      <c r="D94" s="1" t="n">
        <v>46255</v>
      </c>
      <c r="E94" s="1" t="n">
        <v>46289</v>
      </c>
      <c r="F94" t="inlineStr">
        <is>
          <t>UPPSALA LÄN</t>
        </is>
      </c>
      <c r="G94" t="inlineStr">
        <is>
          <t>ÄLVKARLEBY</t>
        </is>
      </c>
      <c r="H94" t="inlineStr">
        <is>
          <t>Bergvik skog öst AB</t>
        </is>
      </c>
      <c r="I94" t="n">
        <v>5.7</v>
      </c>
      <c r="J94" t="n">
        <v>0</v>
      </c>
      <c r="K94" t="n">
        <v>0</v>
      </c>
      <c r="L94" t="n">
        <v>0</v>
      </c>
      <c r="M94" t="n">
        <v>0</v>
      </c>
      <c r="N94" t="n">
        <v>0</v>
      </c>
      <c r="O94" t="n">
        <v>0</v>
      </c>
      <c r="P94" t="n">
        <v>0</v>
      </c>
      <c r="Q94" t="n">
        <v>0</v>
      </c>
      <c r="R94" t="n">
        <v>0</v>
      </c>
      <c r="S94" t="n">
        <v>0</v>
      </c>
      <c r="T94" t="n">
        <v>0</v>
      </c>
      <c r="U94" t="n">
        <v>0</v>
      </c>
      <c r="V94" s="2" t="inlineStr"/>
    </row>
    <row r="95">
      <c r="A95" t="inlineStr">
        <is>
          <t>A 35356-2026</t>
        </is>
      </c>
      <c r="B95" t="inlineStr">
        <is>
          <t>avverkningsanmälan</t>
        </is>
      </c>
      <c r="C95" t="inlineStr">
        <is>
          <t>Föryngringsavverkning</t>
        </is>
      </c>
      <c r="D95" s="1" t="n">
        <v>46261</v>
      </c>
      <c r="E95" s="1" t="n">
        <v>46289</v>
      </c>
      <c r="F95" t="inlineStr">
        <is>
          <t>UPPSALA LÄN</t>
        </is>
      </c>
      <c r="G95" t="inlineStr">
        <is>
          <t>ÄLVKARLEBY</t>
        </is>
      </c>
      <c r="H95" t="inlineStr">
        <is>
          <t>Bergvik skog öst AB</t>
        </is>
      </c>
      <c r="I95" t="n">
        <v>2.1</v>
      </c>
      <c r="J95" t="n">
        <v>0</v>
      </c>
      <c r="K95" t="n">
        <v>0</v>
      </c>
      <c r="L95" t="n">
        <v>0</v>
      </c>
      <c r="M95" t="n">
        <v>0</v>
      </c>
      <c r="N95" t="n">
        <v>0</v>
      </c>
      <c r="O95" t="n">
        <v>0</v>
      </c>
      <c r="P95" t="n">
        <v>0</v>
      </c>
      <c r="Q95" t="n">
        <v>0</v>
      </c>
      <c r="R95" t="n">
        <v>0</v>
      </c>
      <c r="S95" t="n">
        <v>0</v>
      </c>
      <c r="T95" t="n">
        <v>0</v>
      </c>
      <c r="U95" t="n">
        <v>0</v>
      </c>
      <c r="V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2026-09-24T01:52:32Z</dcterms:created>
  <dcterms:modified xmlns:dcterms="http://purl.org/dc/terms/" xmlns:xsi="http://www.w3.org/2001/XMLSchema-instance" xsi:type="dcterms:W3CDTF">2026-09-24T01:52:32Z</dcterms:modified>
</cp:coreProperties>
</file>