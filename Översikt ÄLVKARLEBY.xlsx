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46232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46232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46232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46232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46232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46232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46232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46232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46232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46232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46232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46232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46232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46232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46232</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46232</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46232</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46232</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46232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46232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46232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46232</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46232</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46232</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46232</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t="n">
        <v>1</v>
      </c>
      <c r="V26" s="2" t="inlineStr">
        <is>
          <t>Knärot
Myskmadra</t>
        </is>
      </c>
      <c r="W26">
        <f>HYPERLINK("https://klasma.github.io/Logging_0319/artfynd/A 58485-2025 artfynd.xlsx", "A 58485-2025")</f>
        <v/>
      </c>
      <c r="X26">
        <f>HYPERLINK("https://klasma.github.io/Logging_0319/kartor/A 58485-2025 karta.png", "A 58485-2025")</f>
        <v/>
      </c>
      <c r="Y26">
        <f>HYPERLINK("https://klasma.github.io/Logging_0319/kartor_geotiff/A 58485-2025 georefererad karta.tif", "A 58485-2025")</f>
        <v/>
      </c>
      <c r="Z26">
        <f>HYPERLINK("https://klasma.github.io/Logging_0319/knärot/A 58485-2025 karta knärot.png", "A 58485-2025")</f>
        <v/>
      </c>
      <c r="AA26">
        <f>HYPERLINK("https://klasma.github.io/Logging_0319/klagomål/A 58485-2025 FSC-klagomål.docx", "A 58485-2025")</f>
        <v/>
      </c>
      <c r="AB26">
        <f>HYPERLINK("https://klasma.github.io/Logging_0319/klagomålsmail/A 58485-2025 FSC-klagomål mail.docx", "A 58485-2025")</f>
        <v/>
      </c>
      <c r="AC26">
        <f>HYPERLINK("https://klasma.github.io/Logging_0319/tillsyn/A 58485-2025 tillsynsbegäran.docx", "A 58485-2025")</f>
        <v/>
      </c>
      <c r="AD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46232</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46232</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1673-2026</t>
        </is>
      </c>
      <c r="B29" t="inlineStr">
        <is>
          <t>avverkningsanmälan</t>
        </is>
      </c>
      <c r="C29" t="inlineStr">
        <is>
          <t>Föryngringsavverkning</t>
        </is>
      </c>
      <c r="D29" s="1" t="n">
        <v>46034</v>
      </c>
      <c r="E29" s="1" t="n">
        <v>46232</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t="n">
        <v>0</v>
      </c>
      <c r="V29" s="2" t="inlineStr">
        <is>
          <t>Tibast</t>
        </is>
      </c>
      <c r="W29">
        <f>HYPERLINK("https://klasma.github.io/Logging_0319/artfynd/A 1673-2026 artfynd.xlsx", "A 1673-2026")</f>
        <v/>
      </c>
      <c r="X29">
        <f>HYPERLINK("https://klasma.github.io/Logging_0319/kartor/A 1673-2026 karta.png", "A 1673-2026")</f>
        <v/>
      </c>
      <c r="Y29">
        <f>HYPERLINK("https://klasma.github.io/Logging_0319/kartor_geotiff/A 1673-2026 georefererad karta.tif", "A 1673-2026")</f>
        <v/>
      </c>
      <c r="AA29">
        <f>HYPERLINK("https://klasma.github.io/Logging_0319/klagomål/A 1673-2026 FSC-klagomål.docx", "A 1673-2026")</f>
        <v/>
      </c>
      <c r="AB29">
        <f>HYPERLINK("https://klasma.github.io/Logging_0319/klagomålsmail/A 1673-2026 FSC-klagomål mail.docx", "A 1673-2026")</f>
        <v/>
      </c>
      <c r="AC29">
        <f>HYPERLINK("https://klasma.github.io/Logging_0319/tillsyn/A 1673-2026 tillsynsbegäran.docx", "A 1673-2026")</f>
        <v/>
      </c>
      <c r="AD29">
        <f>HYPERLINK("https://klasma.github.io/Logging_0319/tillsynsmail/A 1673-2026 tillsynsbegäran mail.docx", "A 1673-2026")</f>
        <v/>
      </c>
    </row>
    <row r="30" ht="15" customHeight="1">
      <c r="A30" t="inlineStr">
        <is>
          <t>A 4131-2026</t>
        </is>
      </c>
      <c r="B30" t="inlineStr">
        <is>
          <t>avverkningsanmälan</t>
        </is>
      </c>
      <c r="C30" t="inlineStr">
        <is>
          <t>Föryngringsavverkning</t>
        </is>
      </c>
      <c r="D30" s="1" t="n">
        <v>46044</v>
      </c>
      <c r="E30" s="1" t="n">
        <v>46232</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43285-2023</t>
        </is>
      </c>
      <c r="B31" t="inlineStr">
        <is>
          <t>avverkningsanmälan</t>
        </is>
      </c>
      <c r="C31" t="inlineStr">
        <is>
          <t>Föryngringsavverkning</t>
        </is>
      </c>
      <c r="D31" s="1" t="n">
        <v>45183</v>
      </c>
      <c r="E31" s="1" t="n">
        <v>46232</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70017-2021</t>
        </is>
      </c>
      <c r="B32" t="inlineStr">
        <is>
          <t>avverkningsanmälan</t>
        </is>
      </c>
      <c r="C32" t="inlineStr">
        <is>
          <t>Föryngringsavverkning</t>
        </is>
      </c>
      <c r="D32" s="1" t="n">
        <v>44533</v>
      </c>
      <c r="E32" s="1" t="n">
        <v>46232</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51238-2025</t>
        </is>
      </c>
      <c r="B33" t="inlineStr">
        <is>
          <t>avverkningsanmälan</t>
        </is>
      </c>
      <c r="C33" t="inlineStr">
        <is>
          <t>Föryngringsavverkning</t>
        </is>
      </c>
      <c r="D33" s="1" t="n">
        <v>45947</v>
      </c>
      <c r="E33" s="1" t="n">
        <v>46232</v>
      </c>
      <c r="F33" t="inlineStr">
        <is>
          <t>UPPSALA LÄN</t>
        </is>
      </c>
      <c r="G33" t="inlineStr">
        <is>
          <t>ÄLVKARLEBY</t>
        </is>
      </c>
      <c r="H33" t="inlineStr">
        <is>
          <t>Bergvik skog väst AB</t>
        </is>
      </c>
      <c r="I33" t="n">
        <v>6</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HYPERLINK("https://klasma.github.io/Logging_0319/artfynd/A 51238-2025 artfynd.xlsx", "A 51238-2025")</f>
        <v/>
      </c>
      <c r="X33">
        <f>HYPERLINK("https://klasma.github.io/Logging_0319/kartor/A 51238-2025 karta.png", "A 51238-2025")</f>
        <v/>
      </c>
      <c r="Y33">
        <f>HYPERLINK("https://klasma.github.io/Logging_0319/kartor_geotiff/A 51238-2025 georefererad karta.tif", "A 51238-2025")</f>
        <v/>
      </c>
      <c r="AA33">
        <f>HYPERLINK("https://klasma.github.io/Logging_0319/klagomål/A 51238-2025 FSC-klagomål.docx", "A 51238-2025")</f>
        <v/>
      </c>
      <c r="AB33">
        <f>HYPERLINK("https://klasma.github.io/Logging_0319/klagomålsmail/A 51238-2025 FSC-klagomål mail.docx", "A 51238-2025")</f>
        <v/>
      </c>
      <c r="AC33">
        <f>HYPERLINK("https://klasma.github.io/Logging_0319/tillsyn/A 51238-2025 tillsynsbegäran.docx", "A 51238-2025")</f>
        <v/>
      </c>
      <c r="AD33">
        <f>HYPERLINK("https://klasma.github.io/Logging_0319/tillsynsmail/A 51238-2025 tillsynsbegäran mail.docx", "A 51238-2025")</f>
        <v/>
      </c>
    </row>
    <row r="34" ht="15" customHeight="1">
      <c r="A34" t="inlineStr">
        <is>
          <t>A 57734-2025</t>
        </is>
      </c>
      <c r="B34" t="inlineStr">
        <is>
          <t>avverkningsanmälan</t>
        </is>
      </c>
      <c r="C34" t="inlineStr">
        <is>
          <t>Föryngringsavverkning</t>
        </is>
      </c>
      <c r="D34" s="1" t="n">
        <v>45981</v>
      </c>
      <c r="E34" s="1" t="n">
        <v>46232</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59993-2025</t>
        </is>
      </c>
      <c r="B35" t="inlineStr">
        <is>
          <t>avverkningsanmälan</t>
        </is>
      </c>
      <c r="C35" t="inlineStr">
        <is>
          <t>Avverkning för att bevara och utveckla /försöksver</t>
        </is>
      </c>
      <c r="D35" s="1" t="n">
        <v>45993</v>
      </c>
      <c r="E35" s="1" t="n">
        <v>46232</v>
      </c>
      <c r="F35" t="inlineStr">
        <is>
          <t>UPPSALA LÄN</t>
        </is>
      </c>
      <c r="G35" t="inlineStr">
        <is>
          <t>ÄLVKARLEBY</t>
        </is>
      </c>
      <c r="H35" t="inlineStr">
        <is>
          <t>Bergvik skog väst AB</t>
        </is>
      </c>
      <c r="I35" t="n">
        <v>18.6</v>
      </c>
      <c r="J35" t="n">
        <v>1</v>
      </c>
      <c r="K35" t="n">
        <v>1</v>
      </c>
      <c r="L35" t="n">
        <v>0</v>
      </c>
      <c r="M35" t="n">
        <v>0</v>
      </c>
      <c r="N35" t="n">
        <v>0</v>
      </c>
      <c r="O35" t="n">
        <v>0</v>
      </c>
      <c r="P35" t="n">
        <v>0</v>
      </c>
      <c r="Q35" t="n">
        <v>0</v>
      </c>
      <c r="R35" t="n">
        <v>0</v>
      </c>
      <c r="S35" t="n">
        <v>1</v>
      </c>
      <c r="T35" t="n">
        <v>11</v>
      </c>
      <c r="U35" t="n">
        <v>0</v>
      </c>
      <c r="V35" s="2" t="inlineStr">
        <is>
          <t>Skogsknipprot</t>
        </is>
      </c>
      <c r="W35">
        <f>HYPERLINK("https://klasma.github.io/Logging_0319/artfynd/A 59993-2025 artfynd.xlsx", "A 59993-2025")</f>
        <v/>
      </c>
      <c r="X35">
        <f>HYPERLINK("https://klasma.github.io/Logging_0319/kartor/A 59993-2025 karta.png", "A 59993-2025")</f>
        <v/>
      </c>
      <c r="Y35">
        <f>HYPERLINK("https://klasma.github.io/Logging_0319/kartor_geotiff/A 59993-2025 georefererad karta.tif", "A 59993-2025")</f>
        <v/>
      </c>
      <c r="AA35">
        <f>HYPERLINK("https://klasma.github.io/Logging_0319/klagomål/A 59993-2025 FSC-klagomål.docx", "A 59993-2025")</f>
        <v/>
      </c>
      <c r="AB35">
        <f>HYPERLINK("https://klasma.github.io/Logging_0319/klagomålsmail/A 59993-2025 FSC-klagomål mail.docx", "A 59993-2025")</f>
        <v/>
      </c>
      <c r="AC35">
        <f>HYPERLINK("https://klasma.github.io/Logging_0319/tillsyn/A 59993-2025 tillsynsbegäran.docx", "A 59993-2025")</f>
        <v/>
      </c>
      <c r="AD35">
        <f>HYPERLINK("https://klasma.github.io/Logging_0319/tillsynsmail/A 59993-2025 tillsynsbegäran mail.docx", "A 59993-2025")</f>
        <v/>
      </c>
    </row>
    <row r="36" ht="15" customHeight="1">
      <c r="A36" t="inlineStr">
        <is>
          <t>A 60829-2025</t>
        </is>
      </c>
      <c r="B36" t="inlineStr">
        <is>
          <t>avverkningsanmälan</t>
        </is>
      </c>
      <c r="C36" t="inlineStr">
        <is>
          <t>Avverkning för att bevara och utveckla /försöksver</t>
        </is>
      </c>
      <c r="D36" s="1" t="n">
        <v>45999</v>
      </c>
      <c r="E36" s="1" t="n">
        <v>46232</v>
      </c>
      <c r="F36" t="inlineStr">
        <is>
          <t>UPPSALA LÄN</t>
        </is>
      </c>
      <c r="G36" t="inlineStr">
        <is>
          <t>ÄLVKARLEBY</t>
        </is>
      </c>
      <c r="H36" t="inlineStr">
        <is>
          <t>Bergvik skog väst AB</t>
        </is>
      </c>
      <c r="I36" t="n">
        <v>5.5</v>
      </c>
      <c r="J36" t="n">
        <v>1</v>
      </c>
      <c r="K36" t="n">
        <v>0</v>
      </c>
      <c r="L36" t="n">
        <v>1</v>
      </c>
      <c r="M36" t="n">
        <v>0</v>
      </c>
      <c r="N36" t="n">
        <v>0</v>
      </c>
      <c r="O36" t="n">
        <v>0</v>
      </c>
      <c r="P36" t="n">
        <v>0</v>
      </c>
      <c r="Q36" t="n">
        <v>1</v>
      </c>
      <c r="R36" t="n">
        <v>0</v>
      </c>
      <c r="S36" t="n">
        <v>1</v>
      </c>
      <c r="T36" t="n">
        <v>1</v>
      </c>
      <c r="U36" t="n">
        <v>0</v>
      </c>
      <c r="V36" s="2" t="inlineStr">
        <is>
          <t>Sparvuggla</t>
        </is>
      </c>
      <c r="W36">
        <f>HYPERLINK("https://klasma.github.io/Logging_0319/artfynd/A 60829-2025 artfynd.xlsx", "A 60829-2025")</f>
        <v/>
      </c>
      <c r="X36">
        <f>HYPERLINK("https://klasma.github.io/Logging_0319/kartor/A 60829-2025 karta.png", "A 60829-2025")</f>
        <v/>
      </c>
      <c r="Y36">
        <f>HYPERLINK("https://klasma.github.io/Logging_0319/kartor_geotiff/A 60829-2025 georefererad karta.tif", "A 60829-2025")</f>
        <v/>
      </c>
      <c r="AA36">
        <f>HYPERLINK("https://klasma.github.io/Logging_0319/klagomål/A 60829-2025 FSC-klagomål.docx", "A 60829-2025")</f>
        <v/>
      </c>
      <c r="AB36">
        <f>HYPERLINK("https://klasma.github.io/Logging_0319/klagomålsmail/A 60829-2025 FSC-klagomål mail.docx", "A 60829-2025")</f>
        <v/>
      </c>
      <c r="AC36">
        <f>HYPERLINK("https://klasma.github.io/Logging_0319/tillsyn/A 60829-2025 tillsynsbegäran.docx", "A 60829-2025")</f>
        <v/>
      </c>
      <c r="AD36">
        <f>HYPERLINK("https://klasma.github.io/Logging_0319/tillsynsmail/A 60829-2025 tillsynsbegäran mail.docx", "A 60829-2025")</f>
        <v/>
      </c>
      <c r="AE36">
        <f>HYPERLINK("https://klasma.github.io/Logging_0319/fåglar/A 60829-2025 prioriterade fågelarter.docx", "A 60829-2025")</f>
        <v/>
      </c>
    </row>
    <row r="37" ht="15" customHeight="1">
      <c r="A37" t="inlineStr">
        <is>
          <t>A 7286-2023</t>
        </is>
      </c>
      <c r="B37" t="inlineStr">
        <is>
          <t>avverkningsanmälan</t>
        </is>
      </c>
      <c r="C37" t="inlineStr">
        <is>
          <t>Avverkning för annat ändamål</t>
        </is>
      </c>
      <c r="D37" s="1" t="n">
        <v>44970</v>
      </c>
      <c r="E37" s="1" t="n">
        <v>46232</v>
      </c>
      <c r="F37" t="inlineStr">
        <is>
          <t>UPPSALA LÄN</t>
        </is>
      </c>
      <c r="G37" t="inlineStr">
        <is>
          <t>ÄLVKARLEBY</t>
        </is>
      </c>
      <c r="H37" t="inlineStr">
        <is>
          <t>Bergvik skog väst AB</t>
        </is>
      </c>
      <c r="I37" t="n">
        <v>2.5</v>
      </c>
      <c r="J37" t="n">
        <v>0</v>
      </c>
      <c r="K37" t="n">
        <v>1</v>
      </c>
      <c r="L37" t="n">
        <v>0</v>
      </c>
      <c r="M37" t="n">
        <v>0</v>
      </c>
      <c r="N37" t="n">
        <v>0</v>
      </c>
      <c r="O37" t="n">
        <v>0</v>
      </c>
      <c r="P37" t="n">
        <v>0</v>
      </c>
      <c r="Q37" t="n">
        <v>0</v>
      </c>
      <c r="R37" t="n">
        <v>0</v>
      </c>
      <c r="S37" t="n">
        <v>1</v>
      </c>
      <c r="T37" t="n">
        <v>1</v>
      </c>
      <c r="U37" t="n">
        <v>0</v>
      </c>
      <c r="V37" s="2" t="inlineStr">
        <is>
          <t>Grönpyrola</t>
        </is>
      </c>
      <c r="W37">
        <f>HYPERLINK("https://klasma.github.io/Logging_0319/artfynd/A 7286-2023 artfynd.xlsx", "A 7286-2023")</f>
        <v/>
      </c>
      <c r="X37">
        <f>HYPERLINK("https://klasma.github.io/Logging_0319/kartor/A 7286-2023 karta.png", "A 7286-2023")</f>
        <v/>
      </c>
      <c r="Y37">
        <f>HYPERLINK("https://klasma.github.io/Logging_0319/kartor_geotiff/A 7286-2023 georefererad karta.tif", "A 7286-2023")</f>
        <v/>
      </c>
      <c r="AA37">
        <f>HYPERLINK("https://klasma.github.io/Logging_0319/klagomål/A 7286-2023 FSC-klagomål.docx", "A 7286-2023")</f>
        <v/>
      </c>
      <c r="AB37">
        <f>HYPERLINK("https://klasma.github.io/Logging_0319/klagomålsmail/A 7286-2023 FSC-klagomål mail.docx", "A 7286-2023")</f>
        <v/>
      </c>
      <c r="AC37">
        <f>HYPERLINK("https://klasma.github.io/Logging_0319/tillsyn/A 7286-2023 tillsynsbegäran.docx", "A 7286-2023")</f>
        <v/>
      </c>
      <c r="AD37">
        <f>HYPERLINK("https://klasma.github.io/Logging_0319/tillsynsmail/A 7286-2023 tillsynsbegäran mail.docx", "A 7286-2023")</f>
        <v/>
      </c>
    </row>
    <row r="38" ht="15" customHeight="1">
      <c r="A38" t="inlineStr">
        <is>
          <t>A 63004-2025</t>
        </is>
      </c>
      <c r="B38" t="inlineStr">
        <is>
          <t>avverkningsanmälan</t>
        </is>
      </c>
      <c r="C38" t="inlineStr">
        <is>
          <t>Föryngringsavverkning</t>
        </is>
      </c>
      <c r="D38" s="1" t="n">
        <v>46009</v>
      </c>
      <c r="E38" s="1" t="n">
        <v>46232</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14127-2026</t>
        </is>
      </c>
      <c r="B39" t="inlineStr">
        <is>
          <t>avverkningsanmälan</t>
        </is>
      </c>
      <c r="C39" t="inlineStr">
        <is>
          <t>Föryngringsavverkning</t>
        </is>
      </c>
      <c r="D39" s="1" t="n">
        <v>46099</v>
      </c>
      <c r="E39" s="1" t="n">
        <v>46232</v>
      </c>
      <c r="F39" t="inlineStr">
        <is>
          <t>UPPSALA LÄN</t>
        </is>
      </c>
      <c r="G39" t="inlineStr">
        <is>
          <t>ÄLVKARLEBY</t>
        </is>
      </c>
      <c r="I39" t="n">
        <v>1.7</v>
      </c>
      <c r="J39" t="n">
        <v>0</v>
      </c>
      <c r="K39" t="n">
        <v>0</v>
      </c>
      <c r="L39" t="n">
        <v>0</v>
      </c>
      <c r="M39" t="n">
        <v>1</v>
      </c>
      <c r="N39" t="n">
        <v>0</v>
      </c>
      <c r="O39" t="n">
        <v>0</v>
      </c>
      <c r="P39" t="n">
        <v>0</v>
      </c>
      <c r="Q39" t="n">
        <v>1</v>
      </c>
      <c r="R39" t="n">
        <v>1</v>
      </c>
      <c r="S39" t="n">
        <v>1</v>
      </c>
      <c r="T39" t="n">
        <v>1</v>
      </c>
      <c r="U39" t="n">
        <v>0</v>
      </c>
      <c r="V39" s="2" t="inlineStr">
        <is>
          <t>Grangråticka</t>
        </is>
      </c>
      <c r="W39">
        <f>HYPERLINK("https://klasma.github.io/Logging_0319/artfynd/A 14127-2026 artfynd.xlsx", "A 14127-2026")</f>
        <v/>
      </c>
      <c r="X39">
        <f>HYPERLINK("https://klasma.github.io/Logging_0319/kartor/A 14127-2026 karta.png", "A 14127-2026")</f>
        <v/>
      </c>
      <c r="Y39">
        <f>HYPERLINK("https://klasma.github.io/Logging_0319/kartor_geotiff/A 14127-2026 georefererad karta.tif", "A 14127-2026")</f>
        <v/>
      </c>
      <c r="AA39">
        <f>HYPERLINK("https://klasma.github.io/Logging_0319/klagomål/A 14127-2026 FSC-klagomål.docx", "A 14127-2026")</f>
        <v/>
      </c>
      <c r="AB39">
        <f>HYPERLINK("https://klasma.github.io/Logging_0319/klagomålsmail/A 14127-2026 FSC-klagomål mail.docx", "A 14127-2026")</f>
        <v/>
      </c>
      <c r="AC39">
        <f>HYPERLINK("https://klasma.github.io/Logging_0319/tillsyn/A 14127-2026 tillsynsbegäran.docx", "A 14127-2026")</f>
        <v/>
      </c>
      <c r="AD39">
        <f>HYPERLINK("https://klasma.github.io/Logging_0319/tillsynsmail/A 14127-2026 tillsynsbegäran mail.docx", "A 14127-2026")</f>
        <v/>
      </c>
    </row>
    <row r="40" ht="15" customHeight="1">
      <c r="A40" t="inlineStr">
        <is>
          <t>A 19303-2024</t>
        </is>
      </c>
      <c r="B40" t="inlineStr">
        <is>
          <t>avverkningsanmälan</t>
        </is>
      </c>
      <c r="C40" t="inlineStr">
        <is>
          <t>Föryngringsavverkning</t>
        </is>
      </c>
      <c r="D40" s="1" t="n">
        <v>45428</v>
      </c>
      <c r="E40" s="1" t="n">
        <v>46232</v>
      </c>
      <c r="F40" t="inlineStr">
        <is>
          <t>UPPSALA LÄN</t>
        </is>
      </c>
      <c r="G40" t="inlineStr">
        <is>
          <t>ÄLVKARLEBY</t>
        </is>
      </c>
      <c r="I40" t="n">
        <v>0.4</v>
      </c>
      <c r="J40" t="n">
        <v>1</v>
      </c>
      <c r="K40" t="n">
        <v>0</v>
      </c>
      <c r="L40" t="n">
        <v>0</v>
      </c>
      <c r="M40" t="n">
        <v>1</v>
      </c>
      <c r="N40" t="n">
        <v>0</v>
      </c>
      <c r="O40" t="n">
        <v>0</v>
      </c>
      <c r="P40" t="n">
        <v>0</v>
      </c>
      <c r="Q40" t="n">
        <v>1</v>
      </c>
      <c r="R40" t="n">
        <v>1</v>
      </c>
      <c r="S40" t="n">
        <v>1</v>
      </c>
      <c r="T40" t="n">
        <v>1</v>
      </c>
      <c r="U40" t="n">
        <v>1</v>
      </c>
      <c r="V40" s="2" t="inlineStr">
        <is>
          <t>Gölgroda</t>
        </is>
      </c>
      <c r="W40">
        <f>HYPERLINK("https://klasma.github.io/Logging_0319/artfynd/A 19303-2024 artfynd.xlsx", "A 19303-2024")</f>
        <v/>
      </c>
      <c r="X40">
        <f>HYPERLINK("https://klasma.github.io/Logging_0319/kartor/A 19303-2024 karta.png", "A 19303-2024")</f>
        <v/>
      </c>
      <c r="Y40">
        <f>HYPERLINK("https://klasma.github.io/Logging_0319/kartor_geotiff/A 19303-2024 georefererad karta.tif", "A 19303-2024")</f>
        <v/>
      </c>
      <c r="AA40">
        <f>HYPERLINK("https://klasma.github.io/Logging_0319/klagomål/A 19303-2024 FSC-klagomål.docx", "A 19303-2024")</f>
        <v/>
      </c>
      <c r="AB40">
        <f>HYPERLINK("https://klasma.github.io/Logging_0319/klagomålsmail/A 19303-2024 FSC-klagomål mail.docx", "A 19303-2024")</f>
        <v/>
      </c>
      <c r="AC40">
        <f>HYPERLINK("https://klasma.github.io/Logging_0319/tillsyn/A 19303-2024 tillsynsbegäran.docx", "A 19303-2024")</f>
        <v/>
      </c>
      <c r="AD40">
        <f>HYPERLINK("https://klasma.github.io/Logging_0319/tillsynsmail/A 19303-2024 tillsynsbegäran mail.docx", "A 19303-2024")</f>
        <v/>
      </c>
    </row>
    <row r="41" ht="15" customHeight="1">
      <c r="A41" t="inlineStr">
        <is>
          <t>A 3950-2025</t>
        </is>
      </c>
      <c r="B41" t="inlineStr">
        <is>
          <t>avverkningsanmälan</t>
        </is>
      </c>
      <c r="C41" t="inlineStr">
        <is>
          <t>Avverkning för annat ändamål</t>
        </is>
      </c>
      <c r="D41" s="1" t="n">
        <v>45684</v>
      </c>
      <c r="E41" s="1" t="n">
        <v>46232</v>
      </c>
      <c r="F41" t="inlineStr">
        <is>
          <t>UPPSALA LÄN</t>
        </is>
      </c>
      <c r="G41" t="inlineStr">
        <is>
          <t>ÄLVKARLEBY</t>
        </is>
      </c>
      <c r="I41" t="n">
        <v>3.1</v>
      </c>
      <c r="J41" t="n">
        <v>0</v>
      </c>
      <c r="K41" t="n">
        <v>0</v>
      </c>
      <c r="L41" t="n">
        <v>1</v>
      </c>
      <c r="M41" t="n">
        <v>0</v>
      </c>
      <c r="N41" t="n">
        <v>0</v>
      </c>
      <c r="O41" t="n">
        <v>0</v>
      </c>
      <c r="P41" t="n">
        <v>0</v>
      </c>
      <c r="Q41" t="n">
        <v>1</v>
      </c>
      <c r="R41" t="n">
        <v>0</v>
      </c>
      <c r="S41" t="n">
        <v>1</v>
      </c>
      <c r="T41" t="n">
        <v>4</v>
      </c>
      <c r="U41" t="n">
        <v>0</v>
      </c>
      <c r="V41" s="2" t="inlineStr">
        <is>
          <t>Månlåsbräken</t>
        </is>
      </c>
      <c r="W41">
        <f>HYPERLINK("https://klasma.github.io/Logging_0319/artfynd/A 3950-2025 artfynd.xlsx", "A 3950-2025")</f>
        <v/>
      </c>
      <c r="X41">
        <f>HYPERLINK("https://klasma.github.io/Logging_0319/kartor/A 3950-2025 karta.png", "A 3950-2025")</f>
        <v/>
      </c>
      <c r="Y41">
        <f>HYPERLINK("https://klasma.github.io/Logging_0319/kartor_geotiff/A 3950-2025 georefererad karta.tif", "A 3950-2025")</f>
        <v/>
      </c>
      <c r="AA41">
        <f>HYPERLINK("https://klasma.github.io/Logging_0319/klagomål/A 3950-2025 FSC-klagomål.docx", "A 3950-2025")</f>
        <v/>
      </c>
      <c r="AB41">
        <f>HYPERLINK("https://klasma.github.io/Logging_0319/klagomålsmail/A 3950-2025 FSC-klagomål mail.docx", "A 3950-2025")</f>
        <v/>
      </c>
      <c r="AC41">
        <f>HYPERLINK("https://klasma.github.io/Logging_0319/tillsyn/A 3950-2025 tillsynsbegäran.docx", "A 3950-2025")</f>
        <v/>
      </c>
      <c r="AD41">
        <f>HYPERLINK("https://klasma.github.io/Logging_0319/tillsynsmail/A 3950-2025 tillsynsbegäran mail.docx", "A 3950-2025")</f>
        <v/>
      </c>
    </row>
    <row r="42" ht="15" customHeight="1">
      <c r="A42" t="inlineStr">
        <is>
          <t>A 19300-2024</t>
        </is>
      </c>
      <c r="B42" t="inlineStr">
        <is>
          <t>avverkningsanmälan</t>
        </is>
      </c>
      <c r="C42" t="inlineStr">
        <is>
          <t>Föryngringsavverkning</t>
        </is>
      </c>
      <c r="D42" s="1" t="n">
        <v>45428</v>
      </c>
      <c r="E42" s="1" t="n">
        <v>46232</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30236-2026</t>
        </is>
      </c>
      <c r="B43" t="inlineStr">
        <is>
          <t>avverkningsanmälan</t>
        </is>
      </c>
      <c r="C43" t="inlineStr">
        <is>
          <t>Föryngringsavverkning</t>
        </is>
      </c>
      <c r="D43" s="1" t="n">
        <v>46206</v>
      </c>
      <c r="E43" s="1" t="n">
        <v>46232</v>
      </c>
      <c r="F43" t="inlineStr">
        <is>
          <t>UPPSALA LÄN</t>
        </is>
      </c>
      <c r="G43" t="inlineStr">
        <is>
          <t>ÄLVKARLEBY</t>
        </is>
      </c>
      <c r="H43" t="inlineStr">
        <is>
          <t>Bergvik skog öst AB</t>
        </is>
      </c>
      <c r="I43" t="n">
        <v>4.8</v>
      </c>
      <c r="J43" t="n">
        <v>1</v>
      </c>
      <c r="K43" t="n">
        <v>1</v>
      </c>
      <c r="L43" t="n">
        <v>0</v>
      </c>
      <c r="M43" t="n">
        <v>0</v>
      </c>
      <c r="N43" t="n">
        <v>0</v>
      </c>
      <c r="O43" t="n">
        <v>0</v>
      </c>
      <c r="P43" t="n">
        <v>0</v>
      </c>
      <c r="Q43" t="n">
        <v>0</v>
      </c>
      <c r="R43" t="n">
        <v>0</v>
      </c>
      <c r="S43" t="n">
        <v>1</v>
      </c>
      <c r="T43" t="n">
        <v>1</v>
      </c>
      <c r="U43" t="n">
        <v>0</v>
      </c>
      <c r="V43" s="2" t="inlineStr">
        <is>
          <t>Nästrot</t>
        </is>
      </c>
      <c r="W43">
        <f>HYPERLINK("https://klasma.github.io/Logging_0319/artfynd/A 30236-2026 artfynd.xlsx", "A 30236-2026")</f>
        <v/>
      </c>
      <c r="X43">
        <f>HYPERLINK("https://klasma.github.io/Logging_0319/kartor/A 30236-2026 karta.png", "A 30236-2026")</f>
        <v/>
      </c>
      <c r="Y43">
        <f>HYPERLINK("https://klasma.github.io/Logging_0319/kartor_geotiff/A 30236-2026 georefererad karta.tif", "A 30236-2026")</f>
        <v/>
      </c>
      <c r="AA43">
        <f>HYPERLINK("https://klasma.github.io/Logging_0319/klagomål/A 30236-2026 FSC-klagomål.docx", "A 30236-2026")</f>
        <v/>
      </c>
      <c r="AB43">
        <f>HYPERLINK("https://klasma.github.io/Logging_0319/klagomålsmail/A 30236-2026 FSC-klagomål mail.docx", "A 30236-2026")</f>
        <v/>
      </c>
      <c r="AC43">
        <f>HYPERLINK("https://klasma.github.io/Logging_0319/tillsyn/A 30236-2026 tillsynsbegäran.docx", "A 30236-2026")</f>
        <v/>
      </c>
      <c r="AD43">
        <f>HYPERLINK("https://klasma.github.io/Logging_0319/tillsynsmail/A 30236-2026 tillsynsbegäran mail.docx", "A 30236-2026")</f>
        <v/>
      </c>
    </row>
    <row r="44" ht="15" customHeight="1">
      <c r="A44" t="inlineStr">
        <is>
          <t>A 30233-2026</t>
        </is>
      </c>
      <c r="B44" t="inlineStr">
        <is>
          <t>avverkningsanmälan</t>
        </is>
      </c>
      <c r="C44" t="inlineStr">
        <is>
          <t>Föryngringsavverkning</t>
        </is>
      </c>
      <c r="D44" s="1" t="n">
        <v>46206</v>
      </c>
      <c r="E44" s="1" t="n">
        <v>46232</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19304-2024</t>
        </is>
      </c>
      <c r="B45" t="inlineStr">
        <is>
          <t>avverkningsanmälan</t>
        </is>
      </c>
      <c r="C45" t="inlineStr">
        <is>
          <t>Föryngringsavverkning</t>
        </is>
      </c>
      <c r="D45" s="1" t="n">
        <v>45428</v>
      </c>
      <c r="E45" s="1" t="n">
        <v>46232</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46232</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46232</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2183-2024</t>
        </is>
      </c>
      <c r="B48" t="inlineStr">
        <is>
          <t>avverkningsanmälan</t>
        </is>
      </c>
      <c r="C48" t="inlineStr">
        <is>
          <t>Föryngringsavverkning</t>
        </is>
      </c>
      <c r="D48" s="1" t="n">
        <v>45309</v>
      </c>
      <c r="E48" s="1" t="n">
        <v>46232</v>
      </c>
      <c r="F48" t="inlineStr">
        <is>
          <t>UPPSALA LÄN</t>
        </is>
      </c>
      <c r="G48" t="inlineStr">
        <is>
          <t>ÄLVKARLEBY</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46232</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25330-2025</t>
        </is>
      </c>
      <c r="B50" t="inlineStr">
        <is>
          <t>avverkningsanmälan</t>
        </is>
      </c>
      <c r="C50" t="inlineStr">
        <is>
          <t>Föryngringsavverkning</t>
        </is>
      </c>
      <c r="D50" s="1" t="n">
        <v>45800</v>
      </c>
      <c r="E50" s="1" t="n">
        <v>46232</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26664-2025</t>
        </is>
      </c>
      <c r="B51" t="inlineStr">
        <is>
          <t>avverkningsanmälan</t>
        </is>
      </c>
      <c r="C51" t="inlineStr">
        <is>
          <t>Avverkning för att bevara och utveckla /försöksver</t>
        </is>
      </c>
      <c r="D51" s="1" t="n">
        <v>45810</v>
      </c>
      <c r="E51" s="1" t="n">
        <v>46232</v>
      </c>
      <c r="F51" t="inlineStr">
        <is>
          <t>UPPSALA LÄN</t>
        </is>
      </c>
      <c r="G51" t="inlineStr">
        <is>
          <t>ÄLVKARLEBY</t>
        </is>
      </c>
      <c r="H51" t="inlineStr">
        <is>
          <t>Bergvik skog väst AB</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32187-2025</t>
        </is>
      </c>
      <c r="B52" t="inlineStr">
        <is>
          <t>avverkningsanmälan</t>
        </is>
      </c>
      <c r="C52" t="inlineStr">
        <is>
          <t>Föryngringsavverkning</t>
        </is>
      </c>
      <c r="D52" s="1" t="n">
        <v>45835</v>
      </c>
      <c r="E52" s="1" t="n">
        <v>46232</v>
      </c>
      <c r="F52" t="inlineStr">
        <is>
          <t>UPPSALA LÄN</t>
        </is>
      </c>
      <c r="G52" t="inlineStr">
        <is>
          <t>ÄLVKARLEBY</t>
        </is>
      </c>
      <c r="H52" t="inlineStr">
        <is>
          <t>Bergvik skog väst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4134-2026</t>
        </is>
      </c>
      <c r="B53" t="inlineStr">
        <is>
          <t>avverkningsanmälan</t>
        </is>
      </c>
      <c r="C53" t="inlineStr">
        <is>
          <t>Föryngringsavverkning</t>
        </is>
      </c>
      <c r="D53" s="1" t="n">
        <v>46044</v>
      </c>
      <c r="E53" s="1" t="n">
        <v>46232</v>
      </c>
      <c r="F53" t="inlineStr">
        <is>
          <t>UPPSALA LÄN</t>
        </is>
      </c>
      <c r="G53" t="inlineStr">
        <is>
          <t>ÄLVKARLEBY</t>
        </is>
      </c>
      <c r="H53" t="inlineStr">
        <is>
          <t>Bergvik skog öst AB</t>
        </is>
      </c>
      <c r="I53" t="n">
        <v>5.1</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46232</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46510-2025</t>
        </is>
      </c>
      <c r="B55" t="inlineStr">
        <is>
          <t>avverkningsanmälan</t>
        </is>
      </c>
      <c r="C55" t="inlineStr">
        <is>
          <t>Föryngringsavverkning</t>
        </is>
      </c>
      <c r="D55" s="1" t="n">
        <v>45925</v>
      </c>
      <c r="E55" s="1" t="n">
        <v>46232</v>
      </c>
      <c r="F55" t="inlineStr">
        <is>
          <t>UPPSALA LÄN</t>
        </is>
      </c>
      <c r="G55" t="inlineStr">
        <is>
          <t>ÄLVKARLEBY</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9533-2025</t>
        </is>
      </c>
      <c r="B56" t="inlineStr">
        <is>
          <t>avverkningsanmälan</t>
        </is>
      </c>
      <c r="C56" t="inlineStr">
        <is>
          <t>Föryngringsavverkning</t>
        </is>
      </c>
      <c r="D56" s="1" t="n">
        <v>45715</v>
      </c>
      <c r="E56" s="1" t="n">
        <v>46232</v>
      </c>
      <c r="F56" t="inlineStr">
        <is>
          <t>UPPSALA LÄN</t>
        </is>
      </c>
      <c r="G56" t="inlineStr">
        <is>
          <t>ÄLVKARLEBY</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2184-2024</t>
        </is>
      </c>
      <c r="B57" t="inlineStr">
        <is>
          <t>avverkningsanmälan</t>
        </is>
      </c>
      <c r="C57" t="inlineStr">
        <is>
          <t>Föryngringsavverkning</t>
        </is>
      </c>
      <c r="D57" s="1" t="n">
        <v>45309</v>
      </c>
      <c r="E57" s="1" t="n">
        <v>46232</v>
      </c>
      <c r="F57" t="inlineStr">
        <is>
          <t>UPPSALA LÄN</t>
        </is>
      </c>
      <c r="G57" t="inlineStr">
        <is>
          <t>ÄLVKARLEBY</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46232</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46232</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46232</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46232</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46232</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53184-2025</t>
        </is>
      </c>
      <c r="B63" t="inlineStr">
        <is>
          <t>avverkningsanmälan</t>
        </is>
      </c>
      <c r="C63" t="inlineStr">
        <is>
          <t>Föryngringsavverkning</t>
        </is>
      </c>
      <c r="D63" s="1" t="n">
        <v>45958</v>
      </c>
      <c r="E63" s="1" t="n">
        <v>46232</v>
      </c>
      <c r="F63" t="inlineStr">
        <is>
          <t>UPPSALA LÄN</t>
        </is>
      </c>
      <c r="G63" t="inlineStr">
        <is>
          <t>ÄLVKARLEBY</t>
        </is>
      </c>
      <c r="H63" t="inlineStr">
        <is>
          <t>Bergvik skog väst AB</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53173-2025</t>
        </is>
      </c>
      <c r="B64" t="inlineStr">
        <is>
          <t>avverkningsanmälan</t>
        </is>
      </c>
      <c r="C64" t="inlineStr">
        <is>
          <t>Föryngringsavverkning</t>
        </is>
      </c>
      <c r="D64" s="1" t="n">
        <v>45958</v>
      </c>
      <c r="E64" s="1" t="n">
        <v>46232</v>
      </c>
      <c r="F64" t="inlineStr">
        <is>
          <t>UPPSALA LÄN</t>
        </is>
      </c>
      <c r="G64" t="inlineStr">
        <is>
          <t>ÄLVKARLEBY</t>
        </is>
      </c>
      <c r="H64" t="inlineStr">
        <is>
          <t>Bergvik skog väst AB</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9394-2026</t>
        </is>
      </c>
      <c r="B65" t="inlineStr">
        <is>
          <t>avverkningsanmälan</t>
        </is>
      </c>
      <c r="C65" t="inlineStr">
        <is>
          <t>Föryngringsavverkning</t>
        </is>
      </c>
      <c r="D65" s="1" t="n">
        <v>46071</v>
      </c>
      <c r="E65" s="1" t="n">
        <v>46232</v>
      </c>
      <c r="F65" t="inlineStr">
        <is>
          <t>UPPSALA LÄN</t>
        </is>
      </c>
      <c r="G65" t="inlineStr">
        <is>
          <t>ÄLVKARLEBY</t>
        </is>
      </c>
      <c r="H65" t="inlineStr">
        <is>
          <t>Bergvik skog väst AB</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56861-2025</t>
        </is>
      </c>
      <c r="B66" t="inlineStr">
        <is>
          <t>avverkningsanmälan</t>
        </is>
      </c>
      <c r="C66" t="inlineStr">
        <is>
          <t>Avverkning för att bevara och utveckla /försöksver</t>
        </is>
      </c>
      <c r="D66" s="1" t="n">
        <v>45978</v>
      </c>
      <c r="E66" s="1" t="n">
        <v>46232</v>
      </c>
      <c r="F66" t="inlineStr">
        <is>
          <t>UPPSALA LÄN</t>
        </is>
      </c>
      <c r="G66" t="inlineStr">
        <is>
          <t>ÄLVKARLEBY</t>
        </is>
      </c>
      <c r="H66" t="inlineStr">
        <is>
          <t>Bergvik skog väst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58168-2025</t>
        </is>
      </c>
      <c r="B67" t="inlineStr">
        <is>
          <t>avverkningsanmälan</t>
        </is>
      </c>
      <c r="C67" t="inlineStr">
        <is>
          <t>Föryngringsavverkning</t>
        </is>
      </c>
      <c r="D67" s="1" t="n">
        <v>45982</v>
      </c>
      <c r="E67" s="1" t="n">
        <v>46232</v>
      </c>
      <c r="F67" t="inlineStr">
        <is>
          <t>UPPSALA LÄN</t>
        </is>
      </c>
      <c r="G67" t="inlineStr">
        <is>
          <t>ÄLVKARLEBY</t>
        </is>
      </c>
      <c r="H67" t="inlineStr">
        <is>
          <t>Bergvik skog väst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11467-2026</t>
        </is>
      </c>
      <c r="B68" t="inlineStr">
        <is>
          <t>avverkningsanmälan</t>
        </is>
      </c>
      <c r="C68" t="inlineStr">
        <is>
          <t>Föryngringsavverkning</t>
        </is>
      </c>
      <c r="D68" s="1" t="n">
        <v>46083</v>
      </c>
      <c r="E68" s="1" t="n">
        <v>46232</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58497-2025</t>
        </is>
      </c>
      <c r="B69" t="inlineStr">
        <is>
          <t>avverkningsanmälan</t>
        </is>
      </c>
      <c r="C69" t="inlineStr">
        <is>
          <t>Föryngringsavverkning</t>
        </is>
      </c>
      <c r="D69" s="1" t="n">
        <v>45985</v>
      </c>
      <c r="E69" s="1" t="n">
        <v>46232</v>
      </c>
      <c r="F69" t="inlineStr">
        <is>
          <t>UPPSALA LÄN</t>
        </is>
      </c>
      <c r="G69" t="inlineStr">
        <is>
          <t>ÄLVKARLEBY</t>
        </is>
      </c>
      <c r="H69" t="inlineStr">
        <is>
          <t>Bergvik skog väst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11848-2026</t>
        </is>
      </c>
      <c r="B70" t="inlineStr">
        <is>
          <t>avverkningsanmälan</t>
        </is>
      </c>
      <c r="C70" t="inlineStr">
        <is>
          <t>Föryngringsavverkning</t>
        </is>
      </c>
      <c r="D70" s="1" t="n">
        <v>46085</v>
      </c>
      <c r="E70" s="1" t="n">
        <v>46232</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46232</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60842-2025</t>
        </is>
      </c>
      <c r="B72" t="inlineStr">
        <is>
          <t>avverkningsanmälan</t>
        </is>
      </c>
      <c r="C72" t="inlineStr">
        <is>
          <t>Avverkning för att bevara och utveckla /försöksver</t>
        </is>
      </c>
      <c r="D72" s="1" t="n">
        <v>45999</v>
      </c>
      <c r="E72" s="1" t="n">
        <v>46232</v>
      </c>
      <c r="F72" t="inlineStr">
        <is>
          <t>UPPSALA LÄN</t>
        </is>
      </c>
      <c r="G72" t="inlineStr">
        <is>
          <t>ÄLVKARLEBY</t>
        </is>
      </c>
      <c r="H72" t="inlineStr">
        <is>
          <t>Bergvik skog väst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14590-2023</t>
        </is>
      </c>
      <c r="B73" t="inlineStr">
        <is>
          <t>avverkningsanmälan</t>
        </is>
      </c>
      <c r="C73" t="inlineStr">
        <is>
          <t>Föryngringsavverkning</t>
        </is>
      </c>
      <c r="D73" s="1" t="n">
        <v>45013</v>
      </c>
      <c r="E73" s="1" t="n">
        <v>46232</v>
      </c>
      <c r="F73" t="inlineStr">
        <is>
          <t>UPPSALA LÄN</t>
        </is>
      </c>
      <c r="G73" t="inlineStr">
        <is>
          <t>ÄLVKARLEBY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46232</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46232</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46232</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46232</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46232</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14091-2026</t>
        </is>
      </c>
      <c r="B79" t="inlineStr">
        <is>
          <t>avverkningsanmälan</t>
        </is>
      </c>
      <c r="C79" t="inlineStr">
        <is>
          <t>Föryngringsavverkning</t>
        </is>
      </c>
      <c r="D79" s="1" t="n">
        <v>46099</v>
      </c>
      <c r="E79" s="1" t="n">
        <v>46232</v>
      </c>
      <c r="F79" t="inlineStr">
        <is>
          <t>UPPSALA LÄN</t>
        </is>
      </c>
      <c r="G79" t="inlineStr">
        <is>
          <t>ÄLVKARLEBY</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46232</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46232</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46232</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46232</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38226-2023</t>
        </is>
      </c>
      <c r="B84" t="inlineStr">
        <is>
          <t>avverkningsanmälan</t>
        </is>
      </c>
      <c r="C84" t="inlineStr">
        <is>
          <t>Föryngringsavverkning</t>
        </is>
      </c>
      <c r="D84" s="1" t="n">
        <v>45161</v>
      </c>
      <c r="E84" s="1" t="n">
        <v>46232</v>
      </c>
      <c r="F84" t="inlineStr">
        <is>
          <t>UPPSALA LÄN</t>
        </is>
      </c>
      <c r="G84" t="inlineStr">
        <is>
          <t>ÄLVKARLEBY</t>
        </is>
      </c>
      <c r="H84" t="inlineStr">
        <is>
          <t>Bergvik skog väst AB</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46232</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46232</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46232</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30238-2026</t>
        </is>
      </c>
      <c r="B88" t="inlineStr">
        <is>
          <t>avverkningsanmälan</t>
        </is>
      </c>
      <c r="C88" t="inlineStr">
        <is>
          <t>Föryngringsavverkning</t>
        </is>
      </c>
      <c r="D88" s="1" t="n">
        <v>46206</v>
      </c>
      <c r="E88" s="1" t="n">
        <v>46232</v>
      </c>
      <c r="F88" t="inlineStr">
        <is>
          <t>UPPSALA LÄN</t>
        </is>
      </c>
      <c r="G88" t="inlineStr">
        <is>
          <t>ÄLVKARLEBY</t>
        </is>
      </c>
      <c r="H88" t="inlineStr">
        <is>
          <t>Bergvik skog öst AB</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30234-2026</t>
        </is>
      </c>
      <c r="B89" t="inlineStr">
        <is>
          <t>avverkningsanmälan</t>
        </is>
      </c>
      <c r="C89" t="inlineStr">
        <is>
          <t>Föryngringsavverkning</t>
        </is>
      </c>
      <c r="D89" s="1" t="n">
        <v>46206</v>
      </c>
      <c r="E89" s="1" t="n">
        <v>46232</v>
      </c>
      <c r="F89" t="inlineStr">
        <is>
          <t>UPPSALA LÄN</t>
        </is>
      </c>
      <c r="G89" t="inlineStr">
        <is>
          <t>ÄLVKARLEBY</t>
        </is>
      </c>
      <c r="H89" t="inlineStr">
        <is>
          <t>Bergvik skog öst AB</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46232</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c r="A91" t="inlineStr">
        <is>
          <t>A 41276-2023</t>
        </is>
      </c>
      <c r="B91" t="inlineStr">
        <is>
          <t>avverkningsanmälan</t>
        </is>
      </c>
      <c r="C91" t="inlineStr">
        <is>
          <t>Föryngringsavverkning</t>
        </is>
      </c>
      <c r="D91" s="1" t="n">
        <v>45174</v>
      </c>
      <c r="E91" s="1" t="n">
        <v>46232</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2026-07-29T01:48:25Z</dcterms:created>
  <dcterms:modified xmlns:dcterms="http://purl.org/dc/terms/" xmlns:xsi="http://www.w3.org/2001/XMLSchema-instance" xsi:type="dcterms:W3CDTF">2026-07-29T01:48:25Z</dcterms:modified>
</cp:coreProperties>
</file>