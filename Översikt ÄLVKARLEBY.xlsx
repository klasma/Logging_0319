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46190</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46190</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46190</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46190</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46190</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46190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46190</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46190</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46190</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46190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70017-2021</t>
        </is>
      </c>
      <c r="B12" s="1" t="n">
        <v>44533</v>
      </c>
      <c r="C12" s="1" t="n">
        <v>46190</v>
      </c>
      <c r="D12" t="inlineStr">
        <is>
          <t>UPPSALA LÄN</t>
        </is>
      </c>
      <c r="E12" t="inlineStr">
        <is>
          <t>ÄLVKARLEBY</t>
        </is>
      </c>
      <c r="G12" t="n">
        <v>2.1</v>
      </c>
      <c r="H12" t="n">
        <v>3</v>
      </c>
      <c r="I12" t="n">
        <v>0</v>
      </c>
      <c r="J12" t="n">
        <v>0</v>
      </c>
      <c r="K12" t="n">
        <v>1</v>
      </c>
      <c r="L12" t="n">
        <v>0</v>
      </c>
      <c r="M12" t="n">
        <v>0</v>
      </c>
      <c r="N12" t="n">
        <v>0</v>
      </c>
      <c r="O12" t="n">
        <v>1</v>
      </c>
      <c r="P12" t="n">
        <v>1</v>
      </c>
      <c r="Q12" t="n">
        <v>3</v>
      </c>
      <c r="R12" s="2" t="inlineStr">
        <is>
          <t>Gölgroda
Trana
Mindre vattensalamander</t>
        </is>
      </c>
      <c r="S12">
        <f>HYPERLINK("https://klasma.github.io/Logging_0319/artfynd/A 70017-2021 artfynd.xlsx", "A 70017-2021")</f>
        <v/>
      </c>
      <c r="T12">
        <f>HYPERLINK("https://klasma.github.io/Logging_0319/kartor/A 70017-2021 karta.png", "A 70017-2021")</f>
        <v/>
      </c>
      <c r="V12">
        <f>HYPERLINK("https://klasma.github.io/Logging_0319/klagomål/A 70017-2021 FSC-klagomål.docx", "A 70017-2021")</f>
        <v/>
      </c>
      <c r="W12">
        <f>HYPERLINK("https://klasma.github.io/Logging_0319/klagomålsmail/A 70017-2021 FSC-klagomål mail.docx", "A 70017-2021")</f>
        <v/>
      </c>
      <c r="X12">
        <f>HYPERLINK("https://klasma.github.io/Logging_0319/tillsyn/A 70017-2021 tillsynsbegäran.docx", "A 70017-2021")</f>
        <v/>
      </c>
      <c r="Y12">
        <f>HYPERLINK("https://klasma.github.io/Logging_0319/tillsynsmail/A 70017-2021 tillsynsbegäran mail.docx", "A 70017-2021")</f>
        <v/>
      </c>
      <c r="Z12">
        <f>HYPERLINK("https://klasma.github.io/Logging_0319/fåglar/A 70017-2021 prioriterade fågelarter.docx", "A 70017-2021")</f>
        <v/>
      </c>
    </row>
    <row r="13" ht="15" customHeight="1">
      <c r="A13" t="inlineStr">
        <is>
          <t>A 58480-2025</t>
        </is>
      </c>
      <c r="B13" s="1" t="n">
        <v>45985.64805555555</v>
      </c>
      <c r="C13" s="1" t="n">
        <v>46190</v>
      </c>
      <c r="D13" t="inlineStr">
        <is>
          <t>UPPSALA LÄN</t>
        </is>
      </c>
      <c r="E13" t="inlineStr">
        <is>
          <t>ÄLVKARLEBY</t>
        </is>
      </c>
      <c r="F13" t="inlineStr">
        <is>
          <t>Bergvik skog väst AB</t>
        </is>
      </c>
      <c r="G13" t="n">
        <v>4.1</v>
      </c>
      <c r="H13" t="n">
        <v>1</v>
      </c>
      <c r="I13" t="n">
        <v>2</v>
      </c>
      <c r="J13" t="n">
        <v>0</v>
      </c>
      <c r="K13" t="n">
        <v>1</v>
      </c>
      <c r="L13" t="n">
        <v>0</v>
      </c>
      <c r="M13" t="n">
        <v>0</v>
      </c>
      <c r="N13" t="n">
        <v>0</v>
      </c>
      <c r="O13" t="n">
        <v>1</v>
      </c>
      <c r="P13" t="n">
        <v>1</v>
      </c>
      <c r="Q13" t="n">
        <v>3</v>
      </c>
      <c r="R13" s="2" t="inlineStr">
        <is>
          <t>Knärot
Tibast
Vätteros</t>
        </is>
      </c>
      <c r="S13">
        <f>HYPERLINK("https://klasma.github.io/Logging_0319/artfynd/A 58480-2025 artfynd.xlsx", "A 58480-2025")</f>
        <v/>
      </c>
      <c r="T13">
        <f>HYPERLINK("https://klasma.github.io/Logging_0319/kartor/A 58480-2025 karta.png", "A 58480-2025")</f>
        <v/>
      </c>
      <c r="U13">
        <f>HYPERLINK("https://klasma.github.io/Logging_0319/knärot/A 58480-2025 karta knärot.png", "A 58480-2025")</f>
        <v/>
      </c>
      <c r="V13">
        <f>HYPERLINK("https://klasma.github.io/Logging_0319/klagomål/A 58480-2025 FSC-klagomål.docx", "A 58480-2025")</f>
        <v/>
      </c>
      <c r="W13">
        <f>HYPERLINK("https://klasma.github.io/Logging_0319/klagomålsmail/A 58480-2025 FSC-klagomål mail.docx", "A 58480-2025")</f>
        <v/>
      </c>
      <c r="X13">
        <f>HYPERLINK("https://klasma.github.io/Logging_0319/tillsyn/A 58480-2025 tillsynsbegäran.docx", "A 58480-2025")</f>
        <v/>
      </c>
      <c r="Y13">
        <f>HYPERLINK("https://klasma.github.io/Logging_0319/tillsynsmail/A 58480-2025 tillsynsbegäran mail.docx", "A 58480-2025")</f>
        <v/>
      </c>
    </row>
    <row r="14" ht="15" customHeight="1">
      <c r="A14" t="inlineStr">
        <is>
          <t>A 61693-2025</t>
        </is>
      </c>
      <c r="B14" s="1" t="n">
        <v>46002</v>
      </c>
      <c r="C14" s="1" t="n">
        <v>46190</v>
      </c>
      <c r="D14" t="inlineStr">
        <is>
          <t>UPPSALA LÄN</t>
        </is>
      </c>
      <c r="E14" t="inlineStr">
        <is>
          <t>ÄLVKARLEBY</t>
        </is>
      </c>
      <c r="F14" t="inlineStr">
        <is>
          <t>Bergvik skog öst AB</t>
        </is>
      </c>
      <c r="G14" t="n">
        <v>9.199999999999999</v>
      </c>
      <c r="H14" t="n">
        <v>0</v>
      </c>
      <c r="I14" t="n">
        <v>2</v>
      </c>
      <c r="J14" t="n">
        <v>1</v>
      </c>
      <c r="K14" t="n">
        <v>0</v>
      </c>
      <c r="L14" t="n">
        <v>0</v>
      </c>
      <c r="M14" t="n">
        <v>0</v>
      </c>
      <c r="N14" t="n">
        <v>0</v>
      </c>
      <c r="O14" t="n">
        <v>1</v>
      </c>
      <c r="P14" t="n">
        <v>0</v>
      </c>
      <c r="Q14" t="n">
        <v>3</v>
      </c>
      <c r="R14" s="2" t="inlineStr">
        <is>
          <t>Vedtrappmossa
Brandticka
Sårläka</t>
        </is>
      </c>
      <c r="S14">
        <f>HYPERLINK("https://klasma.github.io/Logging_0319/artfynd/A 61693-2025 artfynd.xlsx", "A 61693-2025")</f>
        <v/>
      </c>
      <c r="T14">
        <f>HYPERLINK("https://klasma.github.io/Logging_0319/kartor/A 61693-2025 karta.png", "A 61693-2025")</f>
        <v/>
      </c>
      <c r="V14">
        <f>HYPERLINK("https://klasma.github.io/Logging_0319/klagomål/A 61693-2025 FSC-klagomål.docx", "A 61693-2025")</f>
        <v/>
      </c>
      <c r="W14">
        <f>HYPERLINK("https://klasma.github.io/Logging_0319/klagomålsmail/A 61693-2025 FSC-klagomål mail.docx", "A 61693-2025")</f>
        <v/>
      </c>
      <c r="X14">
        <f>HYPERLINK("https://klasma.github.io/Logging_0319/tillsyn/A 61693-2025 tillsynsbegäran.docx", "A 61693-2025")</f>
        <v/>
      </c>
      <c r="Y14">
        <f>HYPERLINK("https://klasma.github.io/Logging_0319/tillsynsmail/A 61693-2025 tillsynsbegäran mail.docx", "A 61693-2025")</f>
        <v/>
      </c>
    </row>
    <row r="15" ht="15" customHeight="1">
      <c r="A15" t="inlineStr">
        <is>
          <t>A 62278-2025</t>
        </is>
      </c>
      <c r="B15" s="1" t="n">
        <v>46006.63202546296</v>
      </c>
      <c r="C15" s="1" t="n">
        <v>46190</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34798-2024</t>
        </is>
      </c>
      <c r="B16" s="1" t="n">
        <v>45526</v>
      </c>
      <c r="C16" s="1" t="n">
        <v>46190</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58485-2025</t>
        </is>
      </c>
      <c r="B17" s="1" t="n">
        <v>45985.65565972222</v>
      </c>
      <c r="C17" s="1" t="n">
        <v>46190</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10455-2022</t>
        </is>
      </c>
      <c r="B18" s="1" t="n">
        <v>44623</v>
      </c>
      <c r="C18" s="1" t="n">
        <v>46190</v>
      </c>
      <c r="D18" t="inlineStr">
        <is>
          <t>UPPSALA LÄN</t>
        </is>
      </c>
      <c r="E18" t="inlineStr">
        <is>
          <t>ÄLVKARLEBY</t>
        </is>
      </c>
      <c r="F18" t="inlineStr">
        <is>
          <t>Bergvik skog öst AB</t>
        </is>
      </c>
      <c r="G18" t="n">
        <v>1.1</v>
      </c>
      <c r="H18" t="n">
        <v>0</v>
      </c>
      <c r="I18" t="n">
        <v>0</v>
      </c>
      <c r="J18" t="n">
        <v>1</v>
      </c>
      <c r="K18" t="n">
        <v>0</v>
      </c>
      <c r="L18" t="n">
        <v>0</v>
      </c>
      <c r="M18" t="n">
        <v>0</v>
      </c>
      <c r="N18" t="n">
        <v>0</v>
      </c>
      <c r="O18" t="n">
        <v>1</v>
      </c>
      <c r="P18" t="n">
        <v>0</v>
      </c>
      <c r="Q18" t="n">
        <v>1</v>
      </c>
      <c r="R18" s="2" t="inlineStr">
        <is>
          <t>Sandviol</t>
        </is>
      </c>
      <c r="S18">
        <f>HYPERLINK("https://klasma.github.io/Logging_0319/artfynd/A 10455-2022 artfynd.xlsx", "A 10455-2022")</f>
        <v/>
      </c>
      <c r="T18">
        <f>HYPERLINK("https://klasma.github.io/Logging_0319/kartor/A 10455-2022 karta.png", "A 10455-2022")</f>
        <v/>
      </c>
      <c r="V18">
        <f>HYPERLINK("https://klasma.github.io/Logging_0319/klagomål/A 10455-2022 FSC-klagomål.docx", "A 10455-2022")</f>
        <v/>
      </c>
      <c r="W18">
        <f>HYPERLINK("https://klasma.github.io/Logging_0319/klagomålsmail/A 10455-2022 FSC-klagomål mail.docx", "A 10455-2022")</f>
        <v/>
      </c>
      <c r="X18">
        <f>HYPERLINK("https://klasma.github.io/Logging_0319/tillsyn/A 10455-2022 tillsynsbegäran.docx", "A 10455-2022")</f>
        <v/>
      </c>
      <c r="Y18">
        <f>HYPERLINK("https://klasma.github.io/Logging_0319/tillsynsmail/A 10455-2022 tillsynsbegäran mail.docx", "A 10455-2022")</f>
        <v/>
      </c>
    </row>
    <row r="19" ht="15" customHeight="1">
      <c r="A19" t="inlineStr">
        <is>
          <t>A 59993-2025</t>
        </is>
      </c>
      <c r="B19" s="1" t="n">
        <v>45993.56505787037</v>
      </c>
      <c r="C19" s="1" t="n">
        <v>46190</v>
      </c>
      <c r="D19" t="inlineStr">
        <is>
          <t>UPPSALA LÄN</t>
        </is>
      </c>
      <c r="E19" t="inlineStr">
        <is>
          <t>ÄLVKARLEBY</t>
        </is>
      </c>
      <c r="F19" t="inlineStr">
        <is>
          <t>Bergvik skog väst AB</t>
        </is>
      </c>
      <c r="G19" t="n">
        <v>18.6</v>
      </c>
      <c r="H19" t="n">
        <v>1</v>
      </c>
      <c r="I19" t="n">
        <v>1</v>
      </c>
      <c r="J19" t="n">
        <v>0</v>
      </c>
      <c r="K19" t="n">
        <v>0</v>
      </c>
      <c r="L19" t="n">
        <v>0</v>
      </c>
      <c r="M19" t="n">
        <v>0</v>
      </c>
      <c r="N19" t="n">
        <v>0</v>
      </c>
      <c r="O19" t="n">
        <v>0</v>
      </c>
      <c r="P19" t="n">
        <v>0</v>
      </c>
      <c r="Q19" t="n">
        <v>1</v>
      </c>
      <c r="R19" s="2" t="inlineStr">
        <is>
          <t>Skogsknipprot</t>
        </is>
      </c>
      <c r="S19">
        <f>HYPERLINK("https://klasma.github.io/Logging_0319/artfynd/A 59993-2025 artfynd.xlsx", "A 59993-2025")</f>
        <v/>
      </c>
      <c r="T19">
        <f>HYPERLINK("https://klasma.github.io/Logging_0319/kartor/A 59993-2025 karta.png", "A 59993-2025")</f>
        <v/>
      </c>
      <c r="V19">
        <f>HYPERLINK("https://klasma.github.io/Logging_0319/klagomål/A 59993-2025 FSC-klagomål.docx", "A 59993-2025")</f>
        <v/>
      </c>
      <c r="W19">
        <f>HYPERLINK("https://klasma.github.io/Logging_0319/klagomålsmail/A 59993-2025 FSC-klagomål mail.docx", "A 59993-2025")</f>
        <v/>
      </c>
      <c r="X19">
        <f>HYPERLINK("https://klasma.github.io/Logging_0319/tillsyn/A 59993-2025 tillsynsbegäran.docx", "A 59993-2025")</f>
        <v/>
      </c>
      <c r="Y19">
        <f>HYPERLINK("https://klasma.github.io/Logging_0319/tillsynsmail/A 59993-2025 tillsynsbegäran mail.docx", "A 59993-2025")</f>
        <v/>
      </c>
    </row>
    <row r="20" ht="15" customHeight="1">
      <c r="A20" t="inlineStr">
        <is>
          <t>A 21700-2024</t>
        </is>
      </c>
      <c r="B20" s="1" t="n">
        <v>45442</v>
      </c>
      <c r="C20" s="1" t="n">
        <v>46190</v>
      </c>
      <c r="D20" t="inlineStr">
        <is>
          <t>UPPSALA LÄN</t>
        </is>
      </c>
      <c r="E20" t="inlineStr">
        <is>
          <t>ÄLVKARLEBY</t>
        </is>
      </c>
      <c r="F20" t="inlineStr">
        <is>
          <t>Bergvik skog väst AB</t>
        </is>
      </c>
      <c r="G20" t="n">
        <v>1.1</v>
      </c>
      <c r="H20" t="n">
        <v>0</v>
      </c>
      <c r="I20" t="n">
        <v>0</v>
      </c>
      <c r="J20" t="n">
        <v>0</v>
      </c>
      <c r="K20" t="n">
        <v>1</v>
      </c>
      <c r="L20" t="n">
        <v>0</v>
      </c>
      <c r="M20" t="n">
        <v>0</v>
      </c>
      <c r="N20" t="n">
        <v>0</v>
      </c>
      <c r="O20" t="n">
        <v>1</v>
      </c>
      <c r="P20" t="n">
        <v>1</v>
      </c>
      <c r="Q20" t="n">
        <v>1</v>
      </c>
      <c r="R20" s="2" t="inlineStr">
        <is>
          <t>Töcknig trymal</t>
        </is>
      </c>
      <c r="S20">
        <f>HYPERLINK("https://klasma.github.io/Logging_0319/artfynd/A 21700-2024 artfynd.xlsx", "A 21700-2024")</f>
        <v/>
      </c>
      <c r="T20">
        <f>HYPERLINK("https://klasma.github.io/Logging_0319/kartor/A 21700-2024 karta.png", "A 21700-2024")</f>
        <v/>
      </c>
      <c r="V20">
        <f>HYPERLINK("https://klasma.github.io/Logging_0319/klagomål/A 21700-2024 FSC-klagomål.docx", "A 21700-2024")</f>
        <v/>
      </c>
      <c r="W20">
        <f>HYPERLINK("https://klasma.github.io/Logging_0319/klagomålsmail/A 21700-2024 FSC-klagomål mail.docx", "A 21700-2024")</f>
        <v/>
      </c>
      <c r="X20">
        <f>HYPERLINK("https://klasma.github.io/Logging_0319/tillsyn/A 21700-2024 tillsynsbegäran.docx", "A 21700-2024")</f>
        <v/>
      </c>
      <c r="Y20">
        <f>HYPERLINK("https://klasma.github.io/Logging_0319/tillsynsmail/A 21700-2024 tillsynsbegäran mail.docx", "A 21700-2024")</f>
        <v/>
      </c>
    </row>
    <row r="21" ht="15" customHeight="1">
      <c r="A21" t="inlineStr">
        <is>
          <t>A 51238-2025</t>
        </is>
      </c>
      <c r="B21" s="1" t="n">
        <v>45947.69753472223</v>
      </c>
      <c r="C21" s="1" t="n">
        <v>46190</v>
      </c>
      <c r="D21" t="inlineStr">
        <is>
          <t>UPPSALA LÄN</t>
        </is>
      </c>
      <c r="E21" t="inlineStr">
        <is>
          <t>ÄLVKARLEBY</t>
        </is>
      </c>
      <c r="F21" t="inlineStr">
        <is>
          <t>Bergvik skog väst AB</t>
        </is>
      </c>
      <c r="G21" t="n">
        <v>6</v>
      </c>
      <c r="H21" t="n">
        <v>1</v>
      </c>
      <c r="I21" t="n">
        <v>0</v>
      </c>
      <c r="J21" t="n">
        <v>0</v>
      </c>
      <c r="K21" t="n">
        <v>0</v>
      </c>
      <c r="L21" t="n">
        <v>0</v>
      </c>
      <c r="M21" t="n">
        <v>0</v>
      </c>
      <c r="N21" t="n">
        <v>0</v>
      </c>
      <c r="O21" t="n">
        <v>0</v>
      </c>
      <c r="P21" t="n">
        <v>0</v>
      </c>
      <c r="Q21" t="n">
        <v>1</v>
      </c>
      <c r="R21" s="2" t="inlineStr">
        <is>
          <t>Lopplummer (aggregat)</t>
        </is>
      </c>
      <c r="S21">
        <f>HYPERLINK("https://klasma.github.io/Logging_0319/artfynd/A 51238-2025 artfynd.xlsx", "A 51238-2025")</f>
        <v/>
      </c>
      <c r="T21">
        <f>HYPERLINK("https://klasma.github.io/Logging_0319/kartor/A 51238-2025 karta.png", "A 51238-2025")</f>
        <v/>
      </c>
      <c r="V21">
        <f>HYPERLINK("https://klasma.github.io/Logging_0319/klagomål/A 51238-2025 FSC-klagomål.docx", "A 51238-2025")</f>
        <v/>
      </c>
      <c r="W21">
        <f>HYPERLINK("https://klasma.github.io/Logging_0319/klagomålsmail/A 51238-2025 FSC-klagomål mail.docx", "A 51238-2025")</f>
        <v/>
      </c>
      <c r="X21">
        <f>HYPERLINK("https://klasma.github.io/Logging_0319/tillsyn/A 51238-2025 tillsynsbegäran.docx", "A 51238-2025")</f>
        <v/>
      </c>
      <c r="Y21">
        <f>HYPERLINK("https://klasma.github.io/Logging_0319/tillsynsmail/A 51238-2025 tillsynsbegäran mail.docx", "A 51238-2025")</f>
        <v/>
      </c>
    </row>
    <row r="22" ht="15" customHeight="1">
      <c r="A22" t="inlineStr">
        <is>
          <t>A 4132-2026</t>
        </is>
      </c>
      <c r="B22" s="1" t="n">
        <v>46044.62596064815</v>
      </c>
      <c r="C22" s="1" t="n">
        <v>46190</v>
      </c>
      <c r="D22" t="inlineStr">
        <is>
          <t>UPPSALA LÄN</t>
        </is>
      </c>
      <c r="E22" t="inlineStr">
        <is>
          <t>ÄLVKARLEBY</t>
        </is>
      </c>
      <c r="F22" t="inlineStr">
        <is>
          <t>Bergvik skog öst AB</t>
        </is>
      </c>
      <c r="G22" t="n">
        <v>12.2</v>
      </c>
      <c r="H22" t="n">
        <v>1</v>
      </c>
      <c r="I22" t="n">
        <v>0</v>
      </c>
      <c r="J22" t="n">
        <v>0</v>
      </c>
      <c r="K22" t="n">
        <v>0</v>
      </c>
      <c r="L22" t="n">
        <v>0</v>
      </c>
      <c r="M22" t="n">
        <v>0</v>
      </c>
      <c r="N22" t="n">
        <v>0</v>
      </c>
      <c r="O22" t="n">
        <v>0</v>
      </c>
      <c r="P22" t="n">
        <v>0</v>
      </c>
      <c r="Q22" t="n">
        <v>1</v>
      </c>
      <c r="R22" s="2" t="inlineStr">
        <is>
          <t>Dubbelnycklar</t>
        </is>
      </c>
      <c r="S22">
        <f>HYPERLINK("https://klasma.github.io/Logging_0319/artfynd/A 4132-2026 artfynd.xlsx", "A 4132-2026")</f>
        <v/>
      </c>
      <c r="T22">
        <f>HYPERLINK("https://klasma.github.io/Logging_0319/kartor/A 4132-2026 karta.png", "A 4132-2026")</f>
        <v/>
      </c>
      <c r="V22">
        <f>HYPERLINK("https://klasma.github.io/Logging_0319/klagomål/A 4132-2026 FSC-klagomål.docx", "A 4132-2026")</f>
        <v/>
      </c>
      <c r="W22">
        <f>HYPERLINK("https://klasma.github.io/Logging_0319/klagomålsmail/A 4132-2026 FSC-klagomål mail.docx", "A 4132-2026")</f>
        <v/>
      </c>
      <c r="X22">
        <f>HYPERLINK("https://klasma.github.io/Logging_0319/tillsyn/A 4132-2026 tillsynsbegäran.docx", "A 4132-2026")</f>
        <v/>
      </c>
      <c r="Y22">
        <f>HYPERLINK("https://klasma.github.io/Logging_0319/tillsynsmail/A 4132-2026 tillsynsbegäran mail.docx", "A 4132-2026")</f>
        <v/>
      </c>
    </row>
    <row r="23" ht="15" customHeight="1">
      <c r="A23" t="inlineStr">
        <is>
          <t>A 19300-2024</t>
        </is>
      </c>
      <c r="B23" s="1" t="n">
        <v>45428.70128472222</v>
      </c>
      <c r="C23" s="1" t="n">
        <v>46190</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36217-2022</t>
        </is>
      </c>
      <c r="B24" s="1" t="n">
        <v>44803</v>
      </c>
      <c r="C24" s="1" t="n">
        <v>46190</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36282-2022</t>
        </is>
      </c>
      <c r="B25" s="1" t="n">
        <v>44803</v>
      </c>
      <c r="C25" s="1" t="n">
        <v>46190</v>
      </c>
      <c r="D25" t="inlineStr">
        <is>
          <t>UPPSALA LÄN</t>
        </is>
      </c>
      <c r="E25" t="inlineStr">
        <is>
          <t>ÄLVKARLEBY</t>
        </is>
      </c>
      <c r="G25" t="n">
        <v>0.1</v>
      </c>
      <c r="H25" t="n">
        <v>0</v>
      </c>
      <c r="I25" t="n">
        <v>0</v>
      </c>
      <c r="J25" t="n">
        <v>0</v>
      </c>
      <c r="K25" t="n">
        <v>0</v>
      </c>
      <c r="L25" t="n">
        <v>0</v>
      </c>
      <c r="M25" t="n">
        <v>0</v>
      </c>
      <c r="N25" t="n">
        <v>0</v>
      </c>
      <c r="O25" t="n">
        <v>0</v>
      </c>
      <c r="P25" t="n">
        <v>0</v>
      </c>
      <c r="Q25" t="n">
        <v>0</v>
      </c>
      <c r="R25" s="2" t="inlineStr"/>
    </row>
    <row r="26" ht="15" customHeight="1">
      <c r="A26" t="inlineStr">
        <is>
          <t>A 2184-2024</t>
        </is>
      </c>
      <c r="B26" s="1" t="n">
        <v>45309</v>
      </c>
      <c r="C26" s="1" t="n">
        <v>46190</v>
      </c>
      <c r="D26" t="inlineStr">
        <is>
          <t>UPPSALA LÄN</t>
        </is>
      </c>
      <c r="E26" t="inlineStr">
        <is>
          <t>ÄLVKARLEBY</t>
        </is>
      </c>
      <c r="G26" t="n">
        <v>0.6</v>
      </c>
      <c r="H26" t="n">
        <v>0</v>
      </c>
      <c r="I26" t="n">
        <v>0</v>
      </c>
      <c r="J26" t="n">
        <v>0</v>
      </c>
      <c r="K26" t="n">
        <v>0</v>
      </c>
      <c r="L26" t="n">
        <v>0</v>
      </c>
      <c r="M26" t="n">
        <v>0</v>
      </c>
      <c r="N26" t="n">
        <v>0</v>
      </c>
      <c r="O26" t="n">
        <v>0</v>
      </c>
      <c r="P26" t="n">
        <v>0</v>
      </c>
      <c r="Q26" t="n">
        <v>0</v>
      </c>
      <c r="R26" s="2" t="inlineStr"/>
    </row>
    <row r="27" ht="15" customHeight="1">
      <c r="A27" t="inlineStr">
        <is>
          <t>A 41276-2023</t>
        </is>
      </c>
      <c r="B27" s="1" t="n">
        <v>45174</v>
      </c>
      <c r="C27" s="1" t="n">
        <v>46190</v>
      </c>
      <c r="D27" t="inlineStr">
        <is>
          <t>UPPSALA LÄN</t>
        </is>
      </c>
      <c r="E27" t="inlineStr">
        <is>
          <t>ÄLVKARLEBY</t>
        </is>
      </c>
      <c r="F27" t="inlineStr">
        <is>
          <t>Bergvik skog väst AB</t>
        </is>
      </c>
      <c r="G27" t="n">
        <v>0.3</v>
      </c>
      <c r="H27" t="n">
        <v>0</v>
      </c>
      <c r="I27" t="n">
        <v>0</v>
      </c>
      <c r="J27" t="n">
        <v>0</v>
      </c>
      <c r="K27" t="n">
        <v>0</v>
      </c>
      <c r="L27" t="n">
        <v>0</v>
      </c>
      <c r="M27" t="n">
        <v>0</v>
      </c>
      <c r="N27" t="n">
        <v>0</v>
      </c>
      <c r="O27" t="n">
        <v>0</v>
      </c>
      <c r="P27" t="n">
        <v>0</v>
      </c>
      <c r="Q27" t="n">
        <v>0</v>
      </c>
      <c r="R27" s="2" t="inlineStr"/>
    </row>
    <row r="28" ht="15" customHeight="1">
      <c r="A28" t="inlineStr">
        <is>
          <t>A 46113-2023</t>
        </is>
      </c>
      <c r="B28" s="1" t="n">
        <v>45196.54938657407</v>
      </c>
      <c r="C28" s="1" t="n">
        <v>46190</v>
      </c>
      <c r="D28" t="inlineStr">
        <is>
          <t>UPPSALA LÄN</t>
        </is>
      </c>
      <c r="E28" t="inlineStr">
        <is>
          <t>ÄLVKARLEBY</t>
        </is>
      </c>
      <c r="F28" t="inlineStr">
        <is>
          <t>Bergvik skog väst AB</t>
        </is>
      </c>
      <c r="G28" t="n">
        <v>0.6</v>
      </c>
      <c r="H28" t="n">
        <v>0</v>
      </c>
      <c r="I28" t="n">
        <v>0</v>
      </c>
      <c r="J28" t="n">
        <v>0</v>
      </c>
      <c r="K28" t="n">
        <v>0</v>
      </c>
      <c r="L28" t="n">
        <v>0</v>
      </c>
      <c r="M28" t="n">
        <v>0</v>
      </c>
      <c r="N28" t="n">
        <v>0</v>
      </c>
      <c r="O28" t="n">
        <v>0</v>
      </c>
      <c r="P28" t="n">
        <v>0</v>
      </c>
      <c r="Q28" t="n">
        <v>0</v>
      </c>
      <c r="R28" s="2" t="inlineStr"/>
    </row>
    <row r="29" ht="15" customHeight="1">
      <c r="A29" t="inlineStr">
        <is>
          <t>A 19304-2024</t>
        </is>
      </c>
      <c r="B29" s="1" t="n">
        <v>45428</v>
      </c>
      <c r="C29" s="1" t="n">
        <v>46190</v>
      </c>
      <c r="D29" t="inlineStr">
        <is>
          <t>UPPSALA LÄN</t>
        </is>
      </c>
      <c r="E29" t="inlineStr">
        <is>
          <t>ÄLVKARLEBY</t>
        </is>
      </c>
      <c r="G29" t="n">
        <v>0.2</v>
      </c>
      <c r="H29" t="n">
        <v>0</v>
      </c>
      <c r="I29" t="n">
        <v>0</v>
      </c>
      <c r="J29" t="n">
        <v>0</v>
      </c>
      <c r="K29" t="n">
        <v>0</v>
      </c>
      <c r="L29" t="n">
        <v>0</v>
      </c>
      <c r="M29" t="n">
        <v>0</v>
      </c>
      <c r="N29" t="n">
        <v>0</v>
      </c>
      <c r="O29" t="n">
        <v>0</v>
      </c>
      <c r="P29" t="n">
        <v>0</v>
      </c>
      <c r="Q29" t="n">
        <v>0</v>
      </c>
      <c r="R29" s="2" t="inlineStr"/>
    </row>
    <row r="30" ht="15" customHeight="1">
      <c r="A30" t="inlineStr">
        <is>
          <t>A 2183-2024</t>
        </is>
      </c>
      <c r="B30" s="1" t="n">
        <v>45309</v>
      </c>
      <c r="C30" s="1" t="n">
        <v>46190</v>
      </c>
      <c r="D30" t="inlineStr">
        <is>
          <t>UPPSALA LÄN</t>
        </is>
      </c>
      <c r="E30" t="inlineStr">
        <is>
          <t>ÄLVKARLEBY</t>
        </is>
      </c>
      <c r="G30" t="n">
        <v>0.5</v>
      </c>
      <c r="H30" t="n">
        <v>0</v>
      </c>
      <c r="I30" t="n">
        <v>0</v>
      </c>
      <c r="J30" t="n">
        <v>0</v>
      </c>
      <c r="K30" t="n">
        <v>0</v>
      </c>
      <c r="L30" t="n">
        <v>0</v>
      </c>
      <c r="M30" t="n">
        <v>0</v>
      </c>
      <c r="N30" t="n">
        <v>0</v>
      </c>
      <c r="O30" t="n">
        <v>0</v>
      </c>
      <c r="P30" t="n">
        <v>0</v>
      </c>
      <c r="Q30" t="n">
        <v>0</v>
      </c>
      <c r="R30" s="2" t="inlineStr"/>
    </row>
    <row r="31" ht="15" customHeight="1">
      <c r="A31" t="inlineStr">
        <is>
          <t>A 14590-2023</t>
        </is>
      </c>
      <c r="B31" s="1" t="n">
        <v>45013.54621527778</v>
      </c>
      <c r="C31" s="1" t="n">
        <v>46190</v>
      </c>
      <c r="D31" t="inlineStr">
        <is>
          <t>UPPSALA LÄN</t>
        </is>
      </c>
      <c r="E31" t="inlineStr">
        <is>
          <t>ÄLVKARLEBY</t>
        </is>
      </c>
      <c r="G31" t="n">
        <v>1.8</v>
      </c>
      <c r="H31" t="n">
        <v>0</v>
      </c>
      <c r="I31" t="n">
        <v>0</v>
      </c>
      <c r="J31" t="n">
        <v>0</v>
      </c>
      <c r="K31" t="n">
        <v>0</v>
      </c>
      <c r="L31" t="n">
        <v>0</v>
      </c>
      <c r="M31" t="n">
        <v>0</v>
      </c>
      <c r="N31" t="n">
        <v>0</v>
      </c>
      <c r="O31" t="n">
        <v>0</v>
      </c>
      <c r="P31" t="n">
        <v>0</v>
      </c>
      <c r="Q31" t="n">
        <v>0</v>
      </c>
      <c r="R31" s="2" t="inlineStr"/>
    </row>
    <row r="32" ht="15" customHeight="1">
      <c r="A32" t="inlineStr">
        <is>
          <t>A 24591-2025</t>
        </is>
      </c>
      <c r="B32" s="1" t="n">
        <v>45798.53666666667</v>
      </c>
      <c r="C32" s="1" t="n">
        <v>46190</v>
      </c>
      <c r="D32" t="inlineStr">
        <is>
          <t>UPPSALA LÄN</t>
        </is>
      </c>
      <c r="E32" t="inlineStr">
        <is>
          <t>ÄLVKARLEBY</t>
        </is>
      </c>
      <c r="F32" t="inlineStr">
        <is>
          <t>Bergvik skog väst AB</t>
        </is>
      </c>
      <c r="G32" t="n">
        <v>1.7</v>
      </c>
      <c r="H32" t="n">
        <v>0</v>
      </c>
      <c r="I32" t="n">
        <v>0</v>
      </c>
      <c r="J32" t="n">
        <v>0</v>
      </c>
      <c r="K32" t="n">
        <v>0</v>
      </c>
      <c r="L32" t="n">
        <v>0</v>
      </c>
      <c r="M32" t="n">
        <v>0</v>
      </c>
      <c r="N32" t="n">
        <v>0</v>
      </c>
      <c r="O32" t="n">
        <v>0</v>
      </c>
      <c r="P32" t="n">
        <v>0</v>
      </c>
      <c r="Q32" t="n">
        <v>0</v>
      </c>
      <c r="R32" s="2" t="inlineStr"/>
    </row>
    <row r="33" ht="15" customHeight="1">
      <c r="A33" t="inlineStr">
        <is>
          <t>A 7286-2023</t>
        </is>
      </c>
      <c r="B33" s="1" t="n">
        <v>44970</v>
      </c>
      <c r="C33" s="1" t="n">
        <v>46190</v>
      </c>
      <c r="D33" t="inlineStr">
        <is>
          <t>UPPSALA LÄN</t>
        </is>
      </c>
      <c r="E33" t="inlineStr">
        <is>
          <t>ÄLVKARLEBY</t>
        </is>
      </c>
      <c r="F33" t="inlineStr">
        <is>
          <t>Bergvik skog väst AB</t>
        </is>
      </c>
      <c r="G33" t="n">
        <v>2.5</v>
      </c>
      <c r="H33" t="n">
        <v>0</v>
      </c>
      <c r="I33" t="n">
        <v>0</v>
      </c>
      <c r="J33" t="n">
        <v>0</v>
      </c>
      <c r="K33" t="n">
        <v>0</v>
      </c>
      <c r="L33" t="n">
        <v>0</v>
      </c>
      <c r="M33" t="n">
        <v>0</v>
      </c>
      <c r="N33" t="n">
        <v>0</v>
      </c>
      <c r="O33" t="n">
        <v>0</v>
      </c>
      <c r="P33" t="n">
        <v>0</v>
      </c>
      <c r="Q33" t="n">
        <v>0</v>
      </c>
      <c r="R33" s="2" t="inlineStr"/>
    </row>
    <row r="34" ht="15" customHeight="1">
      <c r="A34" t="inlineStr">
        <is>
          <t>A 25330-2025</t>
        </is>
      </c>
      <c r="B34" s="1" t="n">
        <v>45800.59114583334</v>
      </c>
      <c r="C34" s="1" t="n">
        <v>46190</v>
      </c>
      <c r="D34" t="inlineStr">
        <is>
          <t>UPPSALA LÄN</t>
        </is>
      </c>
      <c r="E34" t="inlineStr">
        <is>
          <t>ÄLVKARLEBY</t>
        </is>
      </c>
      <c r="F34" t="inlineStr">
        <is>
          <t>Bergvik skog väst AB</t>
        </is>
      </c>
      <c r="G34" t="n">
        <v>5</v>
      </c>
      <c r="H34" t="n">
        <v>0</v>
      </c>
      <c r="I34" t="n">
        <v>0</v>
      </c>
      <c r="J34" t="n">
        <v>0</v>
      </c>
      <c r="K34" t="n">
        <v>0</v>
      </c>
      <c r="L34" t="n">
        <v>0</v>
      </c>
      <c r="M34" t="n">
        <v>0</v>
      </c>
      <c r="N34" t="n">
        <v>0</v>
      </c>
      <c r="O34" t="n">
        <v>0</v>
      </c>
      <c r="P34" t="n">
        <v>0</v>
      </c>
      <c r="Q34" t="n">
        <v>0</v>
      </c>
      <c r="R34" s="2" t="inlineStr"/>
    </row>
    <row r="35" ht="15" customHeight="1">
      <c r="A35" t="inlineStr">
        <is>
          <t>A 15739-2025</t>
        </is>
      </c>
      <c r="B35" s="1" t="n">
        <v>45748.54612268518</v>
      </c>
      <c r="C35" s="1" t="n">
        <v>46190</v>
      </c>
      <c r="D35" t="inlineStr">
        <is>
          <t>UPPSALA LÄN</t>
        </is>
      </c>
      <c r="E35" t="inlineStr">
        <is>
          <t>ÄLVKARLEBY</t>
        </is>
      </c>
      <c r="F35" t="inlineStr">
        <is>
          <t>Kyrkan</t>
        </is>
      </c>
      <c r="G35" t="n">
        <v>2.4</v>
      </c>
      <c r="H35" t="n">
        <v>0</v>
      </c>
      <c r="I35" t="n">
        <v>0</v>
      </c>
      <c r="J35" t="n">
        <v>0</v>
      </c>
      <c r="K35" t="n">
        <v>0</v>
      </c>
      <c r="L35" t="n">
        <v>0</v>
      </c>
      <c r="M35" t="n">
        <v>0</v>
      </c>
      <c r="N35" t="n">
        <v>0</v>
      </c>
      <c r="O35" t="n">
        <v>0</v>
      </c>
      <c r="P35" t="n">
        <v>0</v>
      </c>
      <c r="Q35" t="n">
        <v>0</v>
      </c>
      <c r="R35" s="2" t="inlineStr"/>
    </row>
    <row r="36" ht="15" customHeight="1">
      <c r="A36" t="inlineStr">
        <is>
          <t>A 36216-2022</t>
        </is>
      </c>
      <c r="B36" s="1" t="n">
        <v>44803</v>
      </c>
      <c r="C36" s="1" t="n">
        <v>46190</v>
      </c>
      <c r="D36" t="inlineStr">
        <is>
          <t>UPPSALA LÄN</t>
        </is>
      </c>
      <c r="E36" t="inlineStr">
        <is>
          <t>ÄLVKARLEBY</t>
        </is>
      </c>
      <c r="F36" t="inlineStr">
        <is>
          <t>Bergvik skog väst AB</t>
        </is>
      </c>
      <c r="G36" t="n">
        <v>0.5</v>
      </c>
      <c r="H36" t="n">
        <v>0</v>
      </c>
      <c r="I36" t="n">
        <v>0</v>
      </c>
      <c r="J36" t="n">
        <v>0</v>
      </c>
      <c r="K36" t="n">
        <v>0</v>
      </c>
      <c r="L36" t="n">
        <v>0</v>
      </c>
      <c r="M36" t="n">
        <v>0</v>
      </c>
      <c r="N36" t="n">
        <v>0</v>
      </c>
      <c r="O36" t="n">
        <v>0</v>
      </c>
      <c r="P36" t="n">
        <v>0</v>
      </c>
      <c r="Q36" t="n">
        <v>0</v>
      </c>
      <c r="R36" s="2" t="inlineStr"/>
    </row>
    <row r="37" ht="15" customHeight="1">
      <c r="A37" t="inlineStr">
        <is>
          <t>A 32187-2025</t>
        </is>
      </c>
      <c r="B37" s="1" t="n">
        <v>45835.56949074074</v>
      </c>
      <c r="C37" s="1" t="n">
        <v>46190</v>
      </c>
      <c r="D37" t="inlineStr">
        <is>
          <t>UPPSALA LÄN</t>
        </is>
      </c>
      <c r="E37" t="inlineStr">
        <is>
          <t>ÄLVKARLEBY</t>
        </is>
      </c>
      <c r="F37" t="inlineStr">
        <is>
          <t>Bergvik skog väst AB</t>
        </is>
      </c>
      <c r="G37" t="n">
        <v>1.5</v>
      </c>
      <c r="H37" t="n">
        <v>0</v>
      </c>
      <c r="I37" t="n">
        <v>0</v>
      </c>
      <c r="J37" t="n">
        <v>0</v>
      </c>
      <c r="K37" t="n">
        <v>0</v>
      </c>
      <c r="L37" t="n">
        <v>0</v>
      </c>
      <c r="M37" t="n">
        <v>0</v>
      </c>
      <c r="N37" t="n">
        <v>0</v>
      </c>
      <c r="O37" t="n">
        <v>0</v>
      </c>
      <c r="P37" t="n">
        <v>0</v>
      </c>
      <c r="Q37" t="n">
        <v>0</v>
      </c>
      <c r="R37" s="2" t="inlineStr"/>
    </row>
    <row r="38" ht="15" customHeight="1">
      <c r="A38" t="inlineStr">
        <is>
          <t>A 26664-2025</t>
        </is>
      </c>
      <c r="B38" s="1" t="n">
        <v>45810</v>
      </c>
      <c r="C38" s="1" t="n">
        <v>46190</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43285-2023</t>
        </is>
      </c>
      <c r="B39" s="1" t="n">
        <v>45183.5630787037</v>
      </c>
      <c r="C39" s="1" t="n">
        <v>46190</v>
      </c>
      <c r="D39" t="inlineStr">
        <is>
          <t>UPPSALA LÄN</t>
        </is>
      </c>
      <c r="E39" t="inlineStr">
        <is>
          <t>ÄLVKARLEBY</t>
        </is>
      </c>
      <c r="F39" t="inlineStr">
        <is>
          <t>Bergvik skog väst AB</t>
        </is>
      </c>
      <c r="G39" t="n">
        <v>1.3</v>
      </c>
      <c r="H39" t="n">
        <v>0</v>
      </c>
      <c r="I39" t="n">
        <v>0</v>
      </c>
      <c r="J39" t="n">
        <v>0</v>
      </c>
      <c r="K39" t="n">
        <v>0</v>
      </c>
      <c r="L39" t="n">
        <v>0</v>
      </c>
      <c r="M39" t="n">
        <v>0</v>
      </c>
      <c r="N39" t="n">
        <v>0</v>
      </c>
      <c r="O39" t="n">
        <v>0</v>
      </c>
      <c r="P39" t="n">
        <v>0</v>
      </c>
      <c r="Q39" t="n">
        <v>0</v>
      </c>
      <c r="R39" s="2" t="inlineStr"/>
    </row>
    <row r="40" ht="15" customHeight="1">
      <c r="A40" t="inlineStr">
        <is>
          <t>A 16990-2022</t>
        </is>
      </c>
      <c r="B40" s="1" t="n">
        <v>44676.6122337963</v>
      </c>
      <c r="C40" s="1" t="n">
        <v>46190</v>
      </c>
      <c r="D40" t="inlineStr">
        <is>
          <t>UPPSALA LÄN</t>
        </is>
      </c>
      <c r="E40" t="inlineStr">
        <is>
          <t>ÄLVKARLEBY</t>
        </is>
      </c>
      <c r="F40" t="inlineStr">
        <is>
          <t>Bergvik skog väst AB</t>
        </is>
      </c>
      <c r="G40" t="n">
        <v>2.6</v>
      </c>
      <c r="H40" t="n">
        <v>0</v>
      </c>
      <c r="I40" t="n">
        <v>0</v>
      </c>
      <c r="J40" t="n">
        <v>0</v>
      </c>
      <c r="K40" t="n">
        <v>0</v>
      </c>
      <c r="L40" t="n">
        <v>0</v>
      </c>
      <c r="M40" t="n">
        <v>0</v>
      </c>
      <c r="N40" t="n">
        <v>0</v>
      </c>
      <c r="O40" t="n">
        <v>0</v>
      </c>
      <c r="P40" t="n">
        <v>0</v>
      </c>
      <c r="Q40" t="n">
        <v>0</v>
      </c>
      <c r="R40" s="2" t="inlineStr"/>
    </row>
    <row r="41" ht="15" customHeight="1">
      <c r="A41" t="inlineStr">
        <is>
          <t>A 9533-2025</t>
        </is>
      </c>
      <c r="B41" s="1" t="n">
        <v>45715.57082175926</v>
      </c>
      <c r="C41" s="1" t="n">
        <v>46190</v>
      </c>
      <c r="D41" t="inlineStr">
        <is>
          <t>UPPSALA LÄN</t>
        </is>
      </c>
      <c r="E41" t="inlineStr">
        <is>
          <t>ÄLVKARLEBY</t>
        </is>
      </c>
      <c r="G41" t="n">
        <v>2.1</v>
      </c>
      <c r="H41" t="n">
        <v>0</v>
      </c>
      <c r="I41" t="n">
        <v>0</v>
      </c>
      <c r="J41" t="n">
        <v>0</v>
      </c>
      <c r="K41" t="n">
        <v>0</v>
      </c>
      <c r="L41" t="n">
        <v>0</v>
      </c>
      <c r="M41" t="n">
        <v>0</v>
      </c>
      <c r="N41" t="n">
        <v>0</v>
      </c>
      <c r="O41" t="n">
        <v>0</v>
      </c>
      <c r="P41" t="n">
        <v>0</v>
      </c>
      <c r="Q41" t="n">
        <v>0</v>
      </c>
      <c r="R41" s="2" t="inlineStr"/>
    </row>
    <row r="42" ht="15" customHeight="1">
      <c r="A42" t="inlineStr">
        <is>
          <t>A 56861-2025</t>
        </is>
      </c>
      <c r="B42" s="1" t="n">
        <v>45978.50824074074</v>
      </c>
      <c r="C42" s="1" t="n">
        <v>46190</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57734-2025</t>
        </is>
      </c>
      <c r="B43" s="1" t="n">
        <v>45981.51148148148</v>
      </c>
      <c r="C43" s="1" t="n">
        <v>46190</v>
      </c>
      <c r="D43" t="inlineStr">
        <is>
          <t>UPPSALA LÄN</t>
        </is>
      </c>
      <c r="E43" t="inlineStr">
        <is>
          <t>ÄLVKARLEBY</t>
        </is>
      </c>
      <c r="F43" t="inlineStr">
        <is>
          <t>Bergvik skog väst AB</t>
        </is>
      </c>
      <c r="G43" t="n">
        <v>1.3</v>
      </c>
      <c r="H43" t="n">
        <v>0</v>
      </c>
      <c r="I43" t="n">
        <v>0</v>
      </c>
      <c r="J43" t="n">
        <v>0</v>
      </c>
      <c r="K43" t="n">
        <v>0</v>
      </c>
      <c r="L43" t="n">
        <v>0</v>
      </c>
      <c r="M43" t="n">
        <v>0</v>
      </c>
      <c r="N43" t="n">
        <v>0</v>
      </c>
      <c r="O43" t="n">
        <v>0</v>
      </c>
      <c r="P43" t="n">
        <v>0</v>
      </c>
      <c r="Q43" t="n">
        <v>0</v>
      </c>
      <c r="R43" s="2" t="inlineStr"/>
    </row>
    <row r="44" ht="15" customHeight="1">
      <c r="A44" t="inlineStr">
        <is>
          <t>A 58168-2025</t>
        </is>
      </c>
      <c r="B44" s="1" t="n">
        <v>45982.72024305556</v>
      </c>
      <c r="C44" s="1" t="n">
        <v>46190</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45033-2025</t>
        </is>
      </c>
      <c r="B45" s="1" t="n">
        <v>45918.70299768518</v>
      </c>
      <c r="C45" s="1" t="n">
        <v>46190</v>
      </c>
      <c r="D45" t="inlineStr">
        <is>
          <t>UPPSALA LÄN</t>
        </is>
      </c>
      <c r="E45" t="inlineStr">
        <is>
          <t>ÄLVKARLEBY</t>
        </is>
      </c>
      <c r="F45" t="inlineStr">
        <is>
          <t>Bergvik skog väst AB</t>
        </is>
      </c>
      <c r="G45" t="n">
        <v>0.9</v>
      </c>
      <c r="H45" t="n">
        <v>0</v>
      </c>
      <c r="I45" t="n">
        <v>0</v>
      </c>
      <c r="J45" t="n">
        <v>0</v>
      </c>
      <c r="K45" t="n">
        <v>0</v>
      </c>
      <c r="L45" t="n">
        <v>0</v>
      </c>
      <c r="M45" t="n">
        <v>0</v>
      </c>
      <c r="N45" t="n">
        <v>0</v>
      </c>
      <c r="O45" t="n">
        <v>0</v>
      </c>
      <c r="P45" t="n">
        <v>0</v>
      </c>
      <c r="Q45" t="n">
        <v>0</v>
      </c>
      <c r="R45" s="2" t="inlineStr"/>
    </row>
    <row r="46" ht="15" customHeight="1">
      <c r="A46" t="inlineStr">
        <is>
          <t>A 58497-2025</t>
        </is>
      </c>
      <c r="B46" s="1" t="n">
        <v>45985.67912037037</v>
      </c>
      <c r="C46" s="1" t="n">
        <v>46190</v>
      </c>
      <c r="D46" t="inlineStr">
        <is>
          <t>UPPSALA LÄN</t>
        </is>
      </c>
      <c r="E46" t="inlineStr">
        <is>
          <t>ÄLVKARLEBY</t>
        </is>
      </c>
      <c r="F46" t="inlineStr">
        <is>
          <t>Bergvik skog väst AB</t>
        </is>
      </c>
      <c r="G46" t="n">
        <v>4.6</v>
      </c>
      <c r="H46" t="n">
        <v>0</v>
      </c>
      <c r="I46" t="n">
        <v>0</v>
      </c>
      <c r="J46" t="n">
        <v>0</v>
      </c>
      <c r="K46" t="n">
        <v>0</v>
      </c>
      <c r="L46" t="n">
        <v>0</v>
      </c>
      <c r="M46" t="n">
        <v>0</v>
      </c>
      <c r="N46" t="n">
        <v>0</v>
      </c>
      <c r="O46" t="n">
        <v>0</v>
      </c>
      <c r="P46" t="n">
        <v>0</v>
      </c>
      <c r="Q46" t="n">
        <v>0</v>
      </c>
      <c r="R46" s="2" t="inlineStr"/>
    </row>
    <row r="47" ht="15" customHeight="1">
      <c r="A47" t="inlineStr">
        <is>
          <t>A 60256-2025</t>
        </is>
      </c>
      <c r="B47" s="1" t="n">
        <v>45994.60216435185</v>
      </c>
      <c r="C47" s="1" t="n">
        <v>46190</v>
      </c>
      <c r="D47" t="inlineStr">
        <is>
          <t>UPPSALA LÄN</t>
        </is>
      </c>
      <c r="E47" t="inlineStr">
        <is>
          <t>ÄLVKARLEBY</t>
        </is>
      </c>
      <c r="G47" t="n">
        <v>1</v>
      </c>
      <c r="H47" t="n">
        <v>0</v>
      </c>
      <c r="I47" t="n">
        <v>0</v>
      </c>
      <c r="J47" t="n">
        <v>0</v>
      </c>
      <c r="K47" t="n">
        <v>0</v>
      </c>
      <c r="L47" t="n">
        <v>0</v>
      </c>
      <c r="M47" t="n">
        <v>0</v>
      </c>
      <c r="N47" t="n">
        <v>0</v>
      </c>
      <c r="O47" t="n">
        <v>0</v>
      </c>
      <c r="P47" t="n">
        <v>0</v>
      </c>
      <c r="Q47" t="n">
        <v>0</v>
      </c>
      <c r="R47" s="2" t="inlineStr"/>
    </row>
    <row r="48" ht="15" customHeight="1">
      <c r="A48" t="inlineStr">
        <is>
          <t>A 60842-2025</t>
        </is>
      </c>
      <c r="B48" s="1" t="n">
        <v>45999.48721064815</v>
      </c>
      <c r="C48" s="1" t="n">
        <v>46190</v>
      </c>
      <c r="D48" t="inlineStr">
        <is>
          <t>UPPSALA LÄN</t>
        </is>
      </c>
      <c r="E48" t="inlineStr">
        <is>
          <t>ÄLVKARLEBY</t>
        </is>
      </c>
      <c r="F48" t="inlineStr">
        <is>
          <t>Bergvik skog väst AB</t>
        </is>
      </c>
      <c r="G48" t="n">
        <v>1.9</v>
      </c>
      <c r="H48" t="n">
        <v>0</v>
      </c>
      <c r="I48" t="n">
        <v>0</v>
      </c>
      <c r="J48" t="n">
        <v>0</v>
      </c>
      <c r="K48" t="n">
        <v>0</v>
      </c>
      <c r="L48" t="n">
        <v>0</v>
      </c>
      <c r="M48" t="n">
        <v>0</v>
      </c>
      <c r="N48" t="n">
        <v>0</v>
      </c>
      <c r="O48" t="n">
        <v>0</v>
      </c>
      <c r="P48" t="n">
        <v>0</v>
      </c>
      <c r="Q48" t="n">
        <v>0</v>
      </c>
      <c r="R48" s="2" t="inlineStr"/>
    </row>
    <row r="49" ht="15" customHeight="1">
      <c r="A49" t="inlineStr">
        <is>
          <t>A 46510-2025</t>
        </is>
      </c>
      <c r="B49" s="1" t="n">
        <v>45925.92368055556</v>
      </c>
      <c r="C49" s="1" t="n">
        <v>46190</v>
      </c>
      <c r="D49" t="inlineStr">
        <is>
          <t>UPPSALA LÄN</t>
        </is>
      </c>
      <c r="E49" t="inlineStr">
        <is>
          <t>ÄLVKARLEBY</t>
        </is>
      </c>
      <c r="G49" t="n">
        <v>2.3</v>
      </c>
      <c r="H49" t="n">
        <v>0</v>
      </c>
      <c r="I49" t="n">
        <v>0</v>
      </c>
      <c r="J49" t="n">
        <v>0</v>
      </c>
      <c r="K49" t="n">
        <v>0</v>
      </c>
      <c r="L49" t="n">
        <v>0</v>
      </c>
      <c r="M49" t="n">
        <v>0</v>
      </c>
      <c r="N49" t="n">
        <v>0</v>
      </c>
      <c r="O49" t="n">
        <v>0</v>
      </c>
      <c r="P49" t="n">
        <v>0</v>
      </c>
      <c r="Q49" t="n">
        <v>0</v>
      </c>
      <c r="R49" s="2" t="inlineStr"/>
    </row>
    <row r="50" ht="15" customHeight="1">
      <c r="A50" t="inlineStr">
        <is>
          <t>A 60829-2025</t>
        </is>
      </c>
      <c r="B50" s="1" t="n">
        <v>45999.46523148148</v>
      </c>
      <c r="C50" s="1" t="n">
        <v>46190</v>
      </c>
      <c r="D50" t="inlineStr">
        <is>
          <t>UPPSALA LÄN</t>
        </is>
      </c>
      <c r="E50" t="inlineStr">
        <is>
          <t>ÄLVKARLEBY</t>
        </is>
      </c>
      <c r="F50" t="inlineStr">
        <is>
          <t>Bergvik skog väst AB</t>
        </is>
      </c>
      <c r="G50" t="n">
        <v>5.5</v>
      </c>
      <c r="H50" t="n">
        <v>0</v>
      </c>
      <c r="I50" t="n">
        <v>0</v>
      </c>
      <c r="J50" t="n">
        <v>0</v>
      </c>
      <c r="K50" t="n">
        <v>0</v>
      </c>
      <c r="L50" t="n">
        <v>0</v>
      </c>
      <c r="M50" t="n">
        <v>0</v>
      </c>
      <c r="N50" t="n">
        <v>0</v>
      </c>
      <c r="O50" t="n">
        <v>0</v>
      </c>
      <c r="P50" t="n">
        <v>0</v>
      </c>
      <c r="Q50" t="n">
        <v>0</v>
      </c>
      <c r="R50" s="2" t="inlineStr"/>
    </row>
    <row r="51" ht="15" customHeight="1">
      <c r="A51" t="inlineStr">
        <is>
          <t>A 38226-2023</t>
        </is>
      </c>
      <c r="B51" s="1" t="n">
        <v>45161</v>
      </c>
      <c r="C51" s="1" t="n">
        <v>46190</v>
      </c>
      <c r="D51" t="inlineStr">
        <is>
          <t>UPPSALA LÄN</t>
        </is>
      </c>
      <c r="E51" t="inlineStr">
        <is>
          <t>ÄLVKARLEBY</t>
        </is>
      </c>
      <c r="F51" t="inlineStr">
        <is>
          <t>Bergvik skog väst AB</t>
        </is>
      </c>
      <c r="G51" t="n">
        <v>4.5</v>
      </c>
      <c r="H51" t="n">
        <v>0</v>
      </c>
      <c r="I51" t="n">
        <v>0</v>
      </c>
      <c r="J51" t="n">
        <v>0</v>
      </c>
      <c r="K51" t="n">
        <v>0</v>
      </c>
      <c r="L51" t="n">
        <v>0</v>
      </c>
      <c r="M51" t="n">
        <v>0</v>
      </c>
      <c r="N51" t="n">
        <v>0</v>
      </c>
      <c r="O51" t="n">
        <v>0</v>
      </c>
      <c r="P51" t="n">
        <v>0</v>
      </c>
      <c r="Q51" t="n">
        <v>0</v>
      </c>
      <c r="R51" s="2" t="inlineStr"/>
    </row>
    <row r="52" ht="15" customHeight="1">
      <c r="A52" t="inlineStr">
        <is>
          <t>A 61694-2025</t>
        </is>
      </c>
      <c r="B52" s="1" t="n">
        <v>46002.52361111111</v>
      </c>
      <c r="C52" s="1" t="n">
        <v>46190</v>
      </c>
      <c r="D52" t="inlineStr">
        <is>
          <t>UPPSALA LÄN</t>
        </is>
      </c>
      <c r="E52" t="inlineStr">
        <is>
          <t>ÄLVKARLEBY</t>
        </is>
      </c>
      <c r="F52" t="inlineStr">
        <is>
          <t>Bergvik skog öst AB</t>
        </is>
      </c>
      <c r="G52" t="n">
        <v>1.5</v>
      </c>
      <c r="H52" t="n">
        <v>0</v>
      </c>
      <c r="I52" t="n">
        <v>0</v>
      </c>
      <c r="J52" t="n">
        <v>0</v>
      </c>
      <c r="K52" t="n">
        <v>0</v>
      </c>
      <c r="L52" t="n">
        <v>0</v>
      </c>
      <c r="M52" t="n">
        <v>0</v>
      </c>
      <c r="N52" t="n">
        <v>0</v>
      </c>
      <c r="O52" t="n">
        <v>0</v>
      </c>
      <c r="P52" t="n">
        <v>0</v>
      </c>
      <c r="Q52" t="n">
        <v>0</v>
      </c>
      <c r="R52" s="2" t="inlineStr"/>
    </row>
    <row r="53" ht="15" customHeight="1">
      <c r="A53" t="inlineStr">
        <is>
          <t>A 61685-2025</t>
        </is>
      </c>
      <c r="B53" s="1" t="n">
        <v>46002.503125</v>
      </c>
      <c r="C53" s="1" t="n">
        <v>46190</v>
      </c>
      <c r="D53" t="inlineStr">
        <is>
          <t>UPPSALA LÄN</t>
        </is>
      </c>
      <c r="E53" t="inlineStr">
        <is>
          <t>ÄLVKARLEBY</t>
        </is>
      </c>
      <c r="F53" t="inlineStr">
        <is>
          <t>Bergvik skog öst AB</t>
        </is>
      </c>
      <c r="G53" t="n">
        <v>1</v>
      </c>
      <c r="H53" t="n">
        <v>0</v>
      </c>
      <c r="I53" t="n">
        <v>0</v>
      </c>
      <c r="J53" t="n">
        <v>0</v>
      </c>
      <c r="K53" t="n">
        <v>0</v>
      </c>
      <c r="L53" t="n">
        <v>0</v>
      </c>
      <c r="M53" t="n">
        <v>0</v>
      </c>
      <c r="N53" t="n">
        <v>0</v>
      </c>
      <c r="O53" t="n">
        <v>0</v>
      </c>
      <c r="P53" t="n">
        <v>0</v>
      </c>
      <c r="Q53" t="n">
        <v>0</v>
      </c>
      <c r="R53" s="2" t="inlineStr"/>
    </row>
    <row r="54" ht="15" customHeight="1">
      <c r="A54" t="inlineStr">
        <is>
          <t>A 61691-2025</t>
        </is>
      </c>
      <c r="B54" s="1" t="n">
        <v>46002.51318287037</v>
      </c>
      <c r="C54" s="1" t="n">
        <v>46190</v>
      </c>
      <c r="D54" t="inlineStr">
        <is>
          <t>UPPSALA LÄN</t>
        </is>
      </c>
      <c r="E54" t="inlineStr">
        <is>
          <t>ÄLVKARLEBY</t>
        </is>
      </c>
      <c r="F54" t="inlineStr">
        <is>
          <t>Bergvik skog öst AB</t>
        </is>
      </c>
      <c r="G54" t="n">
        <v>0.7</v>
      </c>
      <c r="H54" t="n">
        <v>0</v>
      </c>
      <c r="I54" t="n">
        <v>0</v>
      </c>
      <c r="J54" t="n">
        <v>0</v>
      </c>
      <c r="K54" t="n">
        <v>0</v>
      </c>
      <c r="L54" t="n">
        <v>0</v>
      </c>
      <c r="M54" t="n">
        <v>0</v>
      </c>
      <c r="N54" t="n">
        <v>0</v>
      </c>
      <c r="O54" t="n">
        <v>0</v>
      </c>
      <c r="P54" t="n">
        <v>0</v>
      </c>
      <c r="Q54" t="n">
        <v>0</v>
      </c>
      <c r="R54" s="2" t="inlineStr"/>
    </row>
    <row r="55" ht="15" customHeight="1">
      <c r="A55" t="inlineStr">
        <is>
          <t>A 19303-2024</t>
        </is>
      </c>
      <c r="B55" s="1" t="n">
        <v>45428.70386574074</v>
      </c>
      <c r="C55" s="1" t="n">
        <v>46190</v>
      </c>
      <c r="D55" t="inlineStr">
        <is>
          <t>UPPSALA LÄN</t>
        </is>
      </c>
      <c r="E55" t="inlineStr">
        <is>
          <t>ÄLVKARLEBY</t>
        </is>
      </c>
      <c r="G55" t="n">
        <v>0.4</v>
      </c>
      <c r="H55" t="n">
        <v>0</v>
      </c>
      <c r="I55" t="n">
        <v>0</v>
      </c>
      <c r="J55" t="n">
        <v>0</v>
      </c>
      <c r="K55" t="n">
        <v>0</v>
      </c>
      <c r="L55" t="n">
        <v>0</v>
      </c>
      <c r="M55" t="n">
        <v>0</v>
      </c>
      <c r="N55" t="n">
        <v>0</v>
      </c>
      <c r="O55" t="n">
        <v>0</v>
      </c>
      <c r="P55" t="n">
        <v>0</v>
      </c>
      <c r="Q55" t="n">
        <v>0</v>
      </c>
      <c r="R55" s="2" t="inlineStr"/>
    </row>
    <row r="56" ht="15" customHeight="1">
      <c r="A56" t="inlineStr">
        <is>
          <t>A 63004-2025</t>
        </is>
      </c>
      <c r="B56" s="1" t="n">
        <v>46009.56873842593</v>
      </c>
      <c r="C56" s="1" t="n">
        <v>46190</v>
      </c>
      <c r="D56" t="inlineStr">
        <is>
          <t>UPPSALA LÄN</t>
        </is>
      </c>
      <c r="E56" t="inlineStr">
        <is>
          <t>ÄLVKARLEBY</t>
        </is>
      </c>
      <c r="F56" t="inlineStr">
        <is>
          <t>Bergvik skog väst AB</t>
        </is>
      </c>
      <c r="G56" t="n">
        <v>2.2</v>
      </c>
      <c r="H56" t="n">
        <v>0</v>
      </c>
      <c r="I56" t="n">
        <v>0</v>
      </c>
      <c r="J56" t="n">
        <v>0</v>
      </c>
      <c r="K56" t="n">
        <v>0</v>
      </c>
      <c r="L56" t="n">
        <v>0</v>
      </c>
      <c r="M56" t="n">
        <v>0</v>
      </c>
      <c r="N56" t="n">
        <v>0</v>
      </c>
      <c r="O56" t="n">
        <v>0</v>
      </c>
      <c r="P56" t="n">
        <v>0</v>
      </c>
      <c r="Q56" t="n">
        <v>0</v>
      </c>
      <c r="R56" s="2" t="inlineStr"/>
    </row>
    <row r="57" ht="15" customHeight="1">
      <c r="A57" t="inlineStr">
        <is>
          <t>A 62938-2025</t>
        </is>
      </c>
      <c r="B57" s="1" t="n">
        <v>46009.42092592592</v>
      </c>
      <c r="C57" s="1" t="n">
        <v>46190</v>
      </c>
      <c r="D57" t="inlineStr">
        <is>
          <t>UPPSALA LÄN</t>
        </is>
      </c>
      <c r="E57" t="inlineStr">
        <is>
          <t>ÄLVKARLEBY</t>
        </is>
      </c>
      <c r="F57" t="inlineStr">
        <is>
          <t>Bergvik skog väst AB</t>
        </is>
      </c>
      <c r="G57" t="n">
        <v>10.2</v>
      </c>
      <c r="H57" t="n">
        <v>0</v>
      </c>
      <c r="I57" t="n">
        <v>0</v>
      </c>
      <c r="J57" t="n">
        <v>0</v>
      </c>
      <c r="K57" t="n">
        <v>0</v>
      </c>
      <c r="L57" t="n">
        <v>0</v>
      </c>
      <c r="M57" t="n">
        <v>0</v>
      </c>
      <c r="N57" t="n">
        <v>0</v>
      </c>
      <c r="O57" t="n">
        <v>0</v>
      </c>
      <c r="P57" t="n">
        <v>0</v>
      </c>
      <c r="Q57" t="n">
        <v>0</v>
      </c>
      <c r="R57" s="2" t="inlineStr"/>
    </row>
    <row r="58" ht="15" customHeight="1">
      <c r="A58" t="inlineStr">
        <is>
          <t>A 3950-2025</t>
        </is>
      </c>
      <c r="B58" s="1" t="n">
        <v>45684</v>
      </c>
      <c r="C58" s="1" t="n">
        <v>46190</v>
      </c>
      <c r="D58" t="inlineStr">
        <is>
          <t>UPPSALA LÄN</t>
        </is>
      </c>
      <c r="E58" t="inlineStr">
        <is>
          <t>ÄLVKARLEBY</t>
        </is>
      </c>
      <c r="G58" t="n">
        <v>3.1</v>
      </c>
      <c r="H58" t="n">
        <v>0</v>
      </c>
      <c r="I58" t="n">
        <v>0</v>
      </c>
      <c r="J58" t="n">
        <v>0</v>
      </c>
      <c r="K58" t="n">
        <v>0</v>
      </c>
      <c r="L58" t="n">
        <v>0</v>
      </c>
      <c r="M58" t="n">
        <v>0</v>
      </c>
      <c r="N58" t="n">
        <v>0</v>
      </c>
      <c r="O58" t="n">
        <v>0</v>
      </c>
      <c r="P58" t="n">
        <v>0</v>
      </c>
      <c r="Q58" t="n">
        <v>0</v>
      </c>
      <c r="R58" s="2" t="inlineStr"/>
    </row>
    <row r="59" ht="15" customHeight="1">
      <c r="A59" t="inlineStr">
        <is>
          <t>A 63365-2025</t>
        </is>
      </c>
      <c r="B59" s="1" t="n">
        <v>46010.70717592593</v>
      </c>
      <c r="C59" s="1" t="n">
        <v>46190</v>
      </c>
      <c r="D59" t="inlineStr">
        <is>
          <t>UPPSALA LÄN</t>
        </is>
      </c>
      <c r="E59" t="inlineStr">
        <is>
          <t>ÄLVKARLEBY</t>
        </is>
      </c>
      <c r="F59" t="inlineStr">
        <is>
          <t>Bergvik skog väst AB</t>
        </is>
      </c>
      <c r="G59" t="n">
        <v>1.5</v>
      </c>
      <c r="H59" t="n">
        <v>0</v>
      </c>
      <c r="I59" t="n">
        <v>0</v>
      </c>
      <c r="J59" t="n">
        <v>0</v>
      </c>
      <c r="K59" t="n">
        <v>0</v>
      </c>
      <c r="L59" t="n">
        <v>0</v>
      </c>
      <c r="M59" t="n">
        <v>0</v>
      </c>
      <c r="N59" t="n">
        <v>0</v>
      </c>
      <c r="O59" t="n">
        <v>0</v>
      </c>
      <c r="P59" t="n">
        <v>0</v>
      </c>
      <c r="Q59" t="n">
        <v>0</v>
      </c>
      <c r="R59" s="2" t="inlineStr"/>
    </row>
    <row r="60" ht="15" customHeight="1">
      <c r="A60" t="inlineStr">
        <is>
          <t>A 61839-2025</t>
        </is>
      </c>
      <c r="B60" s="1" t="n">
        <v>46003.35768518518</v>
      </c>
      <c r="C60" s="1" t="n">
        <v>46190</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45372-2024</t>
        </is>
      </c>
      <c r="B61" s="1" t="n">
        <v>45576.51116898148</v>
      </c>
      <c r="C61" s="1" t="n">
        <v>46190</v>
      </c>
      <c r="D61" t="inlineStr">
        <is>
          <t>UPPSALA LÄN</t>
        </is>
      </c>
      <c r="E61" t="inlineStr">
        <is>
          <t>ÄLVKARLEBY</t>
        </is>
      </c>
      <c r="F61" t="inlineStr">
        <is>
          <t>Bergvik skog väst AB</t>
        </is>
      </c>
      <c r="G61" t="n">
        <v>3.4</v>
      </c>
      <c r="H61" t="n">
        <v>0</v>
      </c>
      <c r="I61" t="n">
        <v>0</v>
      </c>
      <c r="J61" t="n">
        <v>0</v>
      </c>
      <c r="K61" t="n">
        <v>0</v>
      </c>
      <c r="L61" t="n">
        <v>0</v>
      </c>
      <c r="M61" t="n">
        <v>0</v>
      </c>
      <c r="N61" t="n">
        <v>0</v>
      </c>
      <c r="O61" t="n">
        <v>0</v>
      </c>
      <c r="P61" t="n">
        <v>0</v>
      </c>
      <c r="Q61" t="n">
        <v>0</v>
      </c>
      <c r="R61" s="2" t="inlineStr"/>
    </row>
    <row r="62" ht="15" customHeight="1">
      <c r="A62" t="inlineStr">
        <is>
          <t>A 1673-2026</t>
        </is>
      </c>
      <c r="B62" s="1" t="n">
        <v>46034.56863425926</v>
      </c>
      <c r="C62" s="1" t="n">
        <v>46190</v>
      </c>
      <c r="D62" t="inlineStr">
        <is>
          <t>UPPSALA LÄN</t>
        </is>
      </c>
      <c r="E62" t="inlineStr">
        <is>
          <t>ÄLVKARLEBY</t>
        </is>
      </c>
      <c r="F62" t="inlineStr">
        <is>
          <t>Bergvik skog väst AB</t>
        </is>
      </c>
      <c r="G62" t="n">
        <v>1.9</v>
      </c>
      <c r="H62" t="n">
        <v>0</v>
      </c>
      <c r="I62" t="n">
        <v>0</v>
      </c>
      <c r="J62" t="n">
        <v>0</v>
      </c>
      <c r="K62" t="n">
        <v>0</v>
      </c>
      <c r="L62" t="n">
        <v>0</v>
      </c>
      <c r="M62" t="n">
        <v>0</v>
      </c>
      <c r="N62" t="n">
        <v>0</v>
      </c>
      <c r="O62" t="n">
        <v>0</v>
      </c>
      <c r="P62" t="n">
        <v>0</v>
      </c>
      <c r="Q62" t="n">
        <v>0</v>
      </c>
      <c r="R62" s="2" t="inlineStr"/>
    </row>
    <row r="63" ht="15" customHeight="1">
      <c r="A63" t="inlineStr">
        <is>
          <t>A 50398-2025</t>
        </is>
      </c>
      <c r="B63" s="1" t="n">
        <v>45944.62854166667</v>
      </c>
      <c r="C63" s="1" t="n">
        <v>46190</v>
      </c>
      <c r="D63" t="inlineStr">
        <is>
          <t>UPPSALA LÄN</t>
        </is>
      </c>
      <c r="E63" t="inlineStr">
        <is>
          <t>ÄLVKARLEBY</t>
        </is>
      </c>
      <c r="F63" t="inlineStr">
        <is>
          <t>Bergvik skog väst AB</t>
        </is>
      </c>
      <c r="G63" t="n">
        <v>4.4</v>
      </c>
      <c r="H63" t="n">
        <v>0</v>
      </c>
      <c r="I63" t="n">
        <v>0</v>
      </c>
      <c r="J63" t="n">
        <v>0</v>
      </c>
      <c r="K63" t="n">
        <v>0</v>
      </c>
      <c r="L63" t="n">
        <v>0</v>
      </c>
      <c r="M63" t="n">
        <v>0</v>
      </c>
      <c r="N63" t="n">
        <v>0</v>
      </c>
      <c r="O63" t="n">
        <v>0</v>
      </c>
      <c r="P63" t="n">
        <v>0</v>
      </c>
      <c r="Q63" t="n">
        <v>0</v>
      </c>
      <c r="R63" s="2" t="inlineStr"/>
    </row>
    <row r="64" ht="15" customHeight="1">
      <c r="A64" t="inlineStr">
        <is>
          <t>A 50371-2025</t>
        </is>
      </c>
      <c r="B64" s="1" t="n">
        <v>45944.58696759259</v>
      </c>
      <c r="C64" s="1" t="n">
        <v>46190</v>
      </c>
      <c r="D64" t="inlineStr">
        <is>
          <t>UPPSALA LÄN</t>
        </is>
      </c>
      <c r="E64" t="inlineStr">
        <is>
          <t>ÄLVKARLEBY</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41929-2024</t>
        </is>
      </c>
      <c r="B65" s="1" t="n">
        <v>45561</v>
      </c>
      <c r="C65" s="1" t="n">
        <v>46190</v>
      </c>
      <c r="D65" t="inlineStr">
        <is>
          <t>UPPSALA LÄN</t>
        </is>
      </c>
      <c r="E65" t="inlineStr">
        <is>
          <t>ÄLVKARLEBY</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51237-2025</t>
        </is>
      </c>
      <c r="B66" s="1" t="n">
        <v>45947.69307870371</v>
      </c>
      <c r="C66" s="1" t="n">
        <v>46190</v>
      </c>
      <c r="D66" t="inlineStr">
        <is>
          <t>UPPSALA LÄN</t>
        </is>
      </c>
      <c r="E66" t="inlineStr">
        <is>
          <t>ÄLVKARLEBY</t>
        </is>
      </c>
      <c r="F66" t="inlineStr">
        <is>
          <t>Bergvik skog väst AB</t>
        </is>
      </c>
      <c r="G66" t="n">
        <v>1.8</v>
      </c>
      <c r="H66" t="n">
        <v>0</v>
      </c>
      <c r="I66" t="n">
        <v>0</v>
      </c>
      <c r="J66" t="n">
        <v>0</v>
      </c>
      <c r="K66" t="n">
        <v>0</v>
      </c>
      <c r="L66" t="n">
        <v>0</v>
      </c>
      <c r="M66" t="n">
        <v>0</v>
      </c>
      <c r="N66" t="n">
        <v>0</v>
      </c>
      <c r="O66" t="n">
        <v>0</v>
      </c>
      <c r="P66" t="n">
        <v>0</v>
      </c>
      <c r="Q66" t="n">
        <v>0</v>
      </c>
      <c r="R66" s="2" t="inlineStr"/>
    </row>
    <row r="67" ht="15" customHeight="1">
      <c r="A67" t="inlineStr">
        <is>
          <t>A 4131-2026</t>
        </is>
      </c>
      <c r="B67" s="1" t="n">
        <v>46044.62451388889</v>
      </c>
      <c r="C67" s="1" t="n">
        <v>46190</v>
      </c>
      <c r="D67" t="inlineStr">
        <is>
          <t>UPPSALA LÄN</t>
        </is>
      </c>
      <c r="E67" t="inlineStr">
        <is>
          <t>ÄLVKARLEBY</t>
        </is>
      </c>
      <c r="F67" t="inlineStr">
        <is>
          <t>Bergvik skog öst AB</t>
        </is>
      </c>
      <c r="G67" t="n">
        <v>2.4</v>
      </c>
      <c r="H67" t="n">
        <v>0</v>
      </c>
      <c r="I67" t="n">
        <v>0</v>
      </c>
      <c r="J67" t="n">
        <v>0</v>
      </c>
      <c r="K67" t="n">
        <v>0</v>
      </c>
      <c r="L67" t="n">
        <v>0</v>
      </c>
      <c r="M67" t="n">
        <v>0</v>
      </c>
      <c r="N67" t="n">
        <v>0</v>
      </c>
      <c r="O67" t="n">
        <v>0</v>
      </c>
      <c r="P67" t="n">
        <v>0</v>
      </c>
      <c r="Q67" t="n">
        <v>0</v>
      </c>
      <c r="R67" s="2" t="inlineStr"/>
    </row>
    <row r="68" ht="15" customHeight="1">
      <c r="A68" t="inlineStr">
        <is>
          <t>A 4134-2026</t>
        </is>
      </c>
      <c r="B68" s="1" t="n">
        <v>46044.6280787037</v>
      </c>
      <c r="C68" s="1" t="n">
        <v>46190</v>
      </c>
      <c r="D68" t="inlineStr">
        <is>
          <t>UPPSALA LÄN</t>
        </is>
      </c>
      <c r="E68" t="inlineStr">
        <is>
          <t>ÄLVKARLEBY</t>
        </is>
      </c>
      <c r="F68" t="inlineStr">
        <is>
          <t>Bergvik skog öst AB</t>
        </is>
      </c>
      <c r="G68" t="n">
        <v>5.1</v>
      </c>
      <c r="H68" t="n">
        <v>0</v>
      </c>
      <c r="I68" t="n">
        <v>0</v>
      </c>
      <c r="J68" t="n">
        <v>0</v>
      </c>
      <c r="K68" t="n">
        <v>0</v>
      </c>
      <c r="L68" t="n">
        <v>0</v>
      </c>
      <c r="M68" t="n">
        <v>0</v>
      </c>
      <c r="N68" t="n">
        <v>0</v>
      </c>
      <c r="O68" t="n">
        <v>0</v>
      </c>
      <c r="P68" t="n">
        <v>0</v>
      </c>
      <c r="Q68" t="n">
        <v>0</v>
      </c>
      <c r="R68" s="2" t="inlineStr"/>
    </row>
    <row r="69" ht="15" customHeight="1">
      <c r="A69" t="inlineStr">
        <is>
          <t>A 4133-2026</t>
        </is>
      </c>
      <c r="B69" s="1" t="n">
        <v>46044.626875</v>
      </c>
      <c r="C69" s="1" t="n">
        <v>46190</v>
      </c>
      <c r="D69" t="inlineStr">
        <is>
          <t>UPPSALA LÄN</t>
        </is>
      </c>
      <c r="E69" t="inlineStr">
        <is>
          <t>ÄLVKARLEBY</t>
        </is>
      </c>
      <c r="F69" t="inlineStr">
        <is>
          <t>Bergvik skog öst AB</t>
        </is>
      </c>
      <c r="G69" t="n">
        <v>4.1</v>
      </c>
      <c r="H69" t="n">
        <v>0</v>
      </c>
      <c r="I69" t="n">
        <v>0</v>
      </c>
      <c r="J69" t="n">
        <v>0</v>
      </c>
      <c r="K69" t="n">
        <v>0</v>
      </c>
      <c r="L69" t="n">
        <v>0</v>
      </c>
      <c r="M69" t="n">
        <v>0</v>
      </c>
      <c r="N69" t="n">
        <v>0</v>
      </c>
      <c r="O69" t="n">
        <v>0</v>
      </c>
      <c r="P69" t="n">
        <v>0</v>
      </c>
      <c r="Q69" t="n">
        <v>0</v>
      </c>
      <c r="R69" s="2" t="inlineStr"/>
    </row>
    <row r="70" ht="15" customHeight="1">
      <c r="A70" t="inlineStr">
        <is>
          <t>A 39791-2021</t>
        </is>
      </c>
      <c r="B70" s="1" t="n">
        <v>44417</v>
      </c>
      <c r="C70" s="1" t="n">
        <v>46190</v>
      </c>
      <c r="D70" t="inlineStr">
        <is>
          <t>UPPSALA LÄN</t>
        </is>
      </c>
      <c r="E70" t="inlineStr">
        <is>
          <t>ÄLVKARLEBY</t>
        </is>
      </c>
      <c r="G70" t="n">
        <v>1.8</v>
      </c>
      <c r="H70" t="n">
        <v>0</v>
      </c>
      <c r="I70" t="n">
        <v>0</v>
      </c>
      <c r="J70" t="n">
        <v>0</v>
      </c>
      <c r="K70" t="n">
        <v>0</v>
      </c>
      <c r="L70" t="n">
        <v>0</v>
      </c>
      <c r="M70" t="n">
        <v>0</v>
      </c>
      <c r="N70" t="n">
        <v>0</v>
      </c>
      <c r="O70" t="n">
        <v>0</v>
      </c>
      <c r="P70" t="n">
        <v>0</v>
      </c>
      <c r="Q70" t="n">
        <v>0</v>
      </c>
      <c r="R70" s="2" t="inlineStr"/>
    </row>
    <row r="71" ht="15" customHeight="1">
      <c r="A71" t="inlineStr">
        <is>
          <t>A 52477-2025</t>
        </is>
      </c>
      <c r="B71" s="1" t="n">
        <v>45954.46980324074</v>
      </c>
      <c r="C71" s="1" t="n">
        <v>46190</v>
      </c>
      <c r="D71" t="inlineStr">
        <is>
          <t>UPPSALA LÄN</t>
        </is>
      </c>
      <c r="E71" t="inlineStr">
        <is>
          <t>ÄLVKARLEBY</t>
        </is>
      </c>
      <c r="F71" t="inlineStr">
        <is>
          <t>Bergvik skog väst AB</t>
        </is>
      </c>
      <c r="G71" t="n">
        <v>5.3</v>
      </c>
      <c r="H71" t="n">
        <v>0</v>
      </c>
      <c r="I71" t="n">
        <v>0</v>
      </c>
      <c r="J71" t="n">
        <v>0</v>
      </c>
      <c r="K71" t="n">
        <v>0</v>
      </c>
      <c r="L71" t="n">
        <v>0</v>
      </c>
      <c r="M71" t="n">
        <v>0</v>
      </c>
      <c r="N71" t="n">
        <v>0</v>
      </c>
      <c r="O71" t="n">
        <v>0</v>
      </c>
      <c r="P71" t="n">
        <v>0</v>
      </c>
      <c r="Q71" t="n">
        <v>0</v>
      </c>
      <c r="R71" s="2" t="inlineStr"/>
    </row>
    <row r="72" ht="15" customHeight="1">
      <c r="A72" t="inlineStr">
        <is>
          <t>A 52498-2025</t>
        </is>
      </c>
      <c r="B72" s="1" t="n">
        <v>45954.49314814815</v>
      </c>
      <c r="C72" s="1" t="n">
        <v>46190</v>
      </c>
      <c r="D72" t="inlineStr">
        <is>
          <t>UPPSALA LÄN</t>
        </is>
      </c>
      <c r="E72" t="inlineStr">
        <is>
          <t>ÄLVKARLEBY</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53184-2025</t>
        </is>
      </c>
      <c r="B73" s="1" t="n">
        <v>45958</v>
      </c>
      <c r="C73" s="1" t="n">
        <v>46190</v>
      </c>
      <c r="D73" t="inlineStr">
        <is>
          <t>UPPSALA LÄN</t>
        </is>
      </c>
      <c r="E73" t="inlineStr">
        <is>
          <t>ÄLVKARLEBY</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53173-2025</t>
        </is>
      </c>
      <c r="B74" s="1" t="n">
        <v>45958.51738425926</v>
      </c>
      <c r="C74" s="1" t="n">
        <v>46190</v>
      </c>
      <c r="D74" t="inlineStr">
        <is>
          <t>UPPSALA LÄN</t>
        </is>
      </c>
      <c r="E74" t="inlineStr">
        <is>
          <t>ÄLVKARLEBY</t>
        </is>
      </c>
      <c r="F74" t="inlineStr">
        <is>
          <t>Bergvik skog väst AB</t>
        </is>
      </c>
      <c r="G74" t="n">
        <v>2.3</v>
      </c>
      <c r="H74" t="n">
        <v>0</v>
      </c>
      <c r="I74" t="n">
        <v>0</v>
      </c>
      <c r="J74" t="n">
        <v>0</v>
      </c>
      <c r="K74" t="n">
        <v>0</v>
      </c>
      <c r="L74" t="n">
        <v>0</v>
      </c>
      <c r="M74" t="n">
        <v>0</v>
      </c>
      <c r="N74" t="n">
        <v>0</v>
      </c>
      <c r="O74" t="n">
        <v>0</v>
      </c>
      <c r="P74" t="n">
        <v>0</v>
      </c>
      <c r="Q74" t="n">
        <v>0</v>
      </c>
      <c r="R74" s="2" t="inlineStr"/>
    </row>
    <row r="75" ht="15" customHeight="1">
      <c r="A75" t="inlineStr">
        <is>
          <t>A 9394-2026</t>
        </is>
      </c>
      <c r="B75" s="1" t="n">
        <v>46071.36576388889</v>
      </c>
      <c r="C75" s="1" t="n">
        <v>46190</v>
      </c>
      <c r="D75" t="inlineStr">
        <is>
          <t>UPPSALA LÄN</t>
        </is>
      </c>
      <c r="E75" t="inlineStr">
        <is>
          <t>ÄLVKARLEBY</t>
        </is>
      </c>
      <c r="F75" t="inlineStr">
        <is>
          <t>Bergvik skog väst AB</t>
        </is>
      </c>
      <c r="G75" t="n">
        <v>2.2</v>
      </c>
      <c r="H75" t="n">
        <v>0</v>
      </c>
      <c r="I75" t="n">
        <v>0</v>
      </c>
      <c r="J75" t="n">
        <v>0</v>
      </c>
      <c r="K75" t="n">
        <v>0</v>
      </c>
      <c r="L75" t="n">
        <v>0</v>
      </c>
      <c r="M75" t="n">
        <v>0</v>
      </c>
      <c r="N75" t="n">
        <v>0</v>
      </c>
      <c r="O75" t="n">
        <v>0</v>
      </c>
      <c r="P75" t="n">
        <v>0</v>
      </c>
      <c r="Q75" t="n">
        <v>0</v>
      </c>
      <c r="R75" s="2" t="inlineStr"/>
    </row>
    <row r="76" ht="15" customHeight="1">
      <c r="A76" t="inlineStr">
        <is>
          <t>A 26815-2022</t>
        </is>
      </c>
      <c r="B76" s="1" t="n">
        <v>44740.44644675926</v>
      </c>
      <c r="C76" s="1" t="n">
        <v>46190</v>
      </c>
      <c r="D76" t="inlineStr">
        <is>
          <t>UPPSALA LÄN</t>
        </is>
      </c>
      <c r="E76" t="inlineStr">
        <is>
          <t>ÄLVKARLEBY</t>
        </is>
      </c>
      <c r="G76" t="n">
        <v>5.8</v>
      </c>
      <c r="H76" t="n">
        <v>0</v>
      </c>
      <c r="I76" t="n">
        <v>0</v>
      </c>
      <c r="J76" t="n">
        <v>0</v>
      </c>
      <c r="K76" t="n">
        <v>0</v>
      </c>
      <c r="L76" t="n">
        <v>0</v>
      </c>
      <c r="M76" t="n">
        <v>0</v>
      </c>
      <c r="N76" t="n">
        <v>0</v>
      </c>
      <c r="O76" t="n">
        <v>0</v>
      </c>
      <c r="P76" t="n">
        <v>0</v>
      </c>
      <c r="Q76" t="n">
        <v>0</v>
      </c>
      <c r="R76" s="2" t="inlineStr"/>
    </row>
    <row r="77" ht="15" customHeight="1">
      <c r="A77" t="inlineStr">
        <is>
          <t>A 11467-2026</t>
        </is>
      </c>
      <c r="B77" s="1" t="n">
        <v>46083.58950231481</v>
      </c>
      <c r="C77" s="1" t="n">
        <v>46190</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11848-2026</t>
        </is>
      </c>
      <c r="B78" s="1" t="n">
        <v>46085.45927083334</v>
      </c>
      <c r="C78" s="1" t="n">
        <v>46190</v>
      </c>
      <c r="D78" t="inlineStr">
        <is>
          <t>UPPSALA LÄN</t>
        </is>
      </c>
      <c r="E78" t="inlineStr">
        <is>
          <t>ÄLVKARLEBY</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14127-2026</t>
        </is>
      </c>
      <c r="B79" s="1" t="n">
        <v>46099.44534722222</v>
      </c>
      <c r="C79" s="1" t="n">
        <v>46190</v>
      </c>
      <c r="D79" t="inlineStr">
        <is>
          <t>UPPSALA LÄN</t>
        </is>
      </c>
      <c r="E79" t="inlineStr">
        <is>
          <t>ÄLVKARLEBY</t>
        </is>
      </c>
      <c r="G79" t="n">
        <v>1.7</v>
      </c>
      <c r="H79" t="n">
        <v>0</v>
      </c>
      <c r="I79" t="n">
        <v>0</v>
      </c>
      <c r="J79" t="n">
        <v>0</v>
      </c>
      <c r="K79" t="n">
        <v>0</v>
      </c>
      <c r="L79" t="n">
        <v>0</v>
      </c>
      <c r="M79" t="n">
        <v>0</v>
      </c>
      <c r="N79" t="n">
        <v>0</v>
      </c>
      <c r="O79" t="n">
        <v>0</v>
      </c>
      <c r="P79" t="n">
        <v>0</v>
      </c>
      <c r="Q79" t="n">
        <v>0</v>
      </c>
      <c r="R79" s="2" t="inlineStr"/>
    </row>
    <row r="80" ht="15" customHeight="1">
      <c r="A80" t="inlineStr">
        <is>
          <t>A 14091-2026</t>
        </is>
      </c>
      <c r="B80" s="1" t="n">
        <v>46099.38484953704</v>
      </c>
      <c r="C80" s="1" t="n">
        <v>46190</v>
      </c>
      <c r="D80" t="inlineStr">
        <is>
          <t>UPPSALA LÄN</t>
        </is>
      </c>
      <c r="E80" t="inlineStr">
        <is>
          <t>ÄLVKARLEBY</t>
        </is>
      </c>
      <c r="G80" t="n">
        <v>0.7</v>
      </c>
      <c r="H80" t="n">
        <v>0</v>
      </c>
      <c r="I80" t="n">
        <v>0</v>
      </c>
      <c r="J80" t="n">
        <v>0</v>
      </c>
      <c r="K80" t="n">
        <v>0</v>
      </c>
      <c r="L80" t="n">
        <v>0</v>
      </c>
      <c r="M80" t="n">
        <v>0</v>
      </c>
      <c r="N80" t="n">
        <v>0</v>
      </c>
      <c r="O80" t="n">
        <v>0</v>
      </c>
      <c r="P80" t="n">
        <v>0</v>
      </c>
      <c r="Q80" t="n">
        <v>0</v>
      </c>
      <c r="R80" s="2" t="inlineStr"/>
    </row>
    <row r="81" ht="15" customHeight="1">
      <c r="A81" t="inlineStr">
        <is>
          <t>A 22563-2026</t>
        </is>
      </c>
      <c r="B81" s="1" t="n">
        <v>46155.55376157408</v>
      </c>
      <c r="C81" s="1" t="n">
        <v>46190</v>
      </c>
      <c r="D81" t="inlineStr">
        <is>
          <t>UPPSALA LÄN</t>
        </is>
      </c>
      <c r="E81" t="inlineStr">
        <is>
          <t>ÄLVKARLEBY</t>
        </is>
      </c>
      <c r="F81" t="inlineStr">
        <is>
          <t>Bergvik skog öst AB</t>
        </is>
      </c>
      <c r="G81" t="n">
        <v>3.5</v>
      </c>
      <c r="H81" t="n">
        <v>0</v>
      </c>
      <c r="I81" t="n">
        <v>0</v>
      </c>
      <c r="J81" t="n">
        <v>0</v>
      </c>
      <c r="K81" t="n">
        <v>0</v>
      </c>
      <c r="L81" t="n">
        <v>0</v>
      </c>
      <c r="M81" t="n">
        <v>0</v>
      </c>
      <c r="N81" t="n">
        <v>0</v>
      </c>
      <c r="O81" t="n">
        <v>0</v>
      </c>
      <c r="P81" t="n">
        <v>0</v>
      </c>
      <c r="Q81" t="n">
        <v>0</v>
      </c>
      <c r="R81" s="2" t="inlineStr"/>
    </row>
    <row r="82" ht="15" customHeight="1">
      <c r="A82" t="inlineStr">
        <is>
          <t>A 41272-2023</t>
        </is>
      </c>
      <c r="B82" s="1" t="n">
        <v>45174</v>
      </c>
      <c r="C82" s="1" t="n">
        <v>46190</v>
      </c>
      <c r="D82" t="inlineStr">
        <is>
          <t>UPPSALA LÄN</t>
        </is>
      </c>
      <c r="E82" t="inlineStr">
        <is>
          <t>ÄLVKARLEBY</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17851-2026</t>
        </is>
      </c>
      <c r="B83" s="1" t="n">
        <v>46122.481875</v>
      </c>
      <c r="C83" s="1" t="n">
        <v>46190</v>
      </c>
      <c r="D83" t="inlineStr">
        <is>
          <t>UPPSALA LÄN</t>
        </is>
      </c>
      <c r="E83" t="inlineStr">
        <is>
          <t>ÄLVKARLEBY</t>
        </is>
      </c>
      <c r="F83" t="inlineStr">
        <is>
          <t>Bergvik skog öst AB</t>
        </is>
      </c>
      <c r="G83" t="n">
        <v>3.6</v>
      </c>
      <c r="H83" t="n">
        <v>0</v>
      </c>
      <c r="I83" t="n">
        <v>0</v>
      </c>
      <c r="J83" t="n">
        <v>0</v>
      </c>
      <c r="K83" t="n">
        <v>0</v>
      </c>
      <c r="L83" t="n">
        <v>0</v>
      </c>
      <c r="M83" t="n">
        <v>0</v>
      </c>
      <c r="N83" t="n">
        <v>0</v>
      </c>
      <c r="O83" t="n">
        <v>0</v>
      </c>
      <c r="P83" t="n">
        <v>0</v>
      </c>
      <c r="Q83" t="n">
        <v>0</v>
      </c>
      <c r="R83" s="2" t="inlineStr"/>
    </row>
    <row r="84">
      <c r="A84" t="inlineStr">
        <is>
          <t>A 28670-2025</t>
        </is>
      </c>
      <c r="B84" s="1" t="n">
        <v>45819.67130787037</v>
      </c>
      <c r="C84" s="1" t="n">
        <v>46190</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2026-06-17T09:24:28Z</dcterms:created>
  <dcterms:modified xmlns:dcterms="http://purl.org/dc/terms/" xmlns:xsi="http://www.w3.org/2001/XMLSchema-instance" xsi:type="dcterms:W3CDTF">2026-06-17T09:24:28Z</dcterms:modified>
</cp:coreProperties>
</file>