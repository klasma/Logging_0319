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46065</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46065</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46065</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46065</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46065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46065</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46065</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46065</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21007-2025</t>
        </is>
      </c>
      <c r="B19" s="1" t="n">
        <v>45777</v>
      </c>
      <c r="C19" s="1" t="n">
        <v>46065</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46065</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19300-2024</t>
        </is>
      </c>
      <c r="B21" s="1" t="n">
        <v>45428.70128472222</v>
      </c>
      <c r="C21" s="1" t="n">
        <v>46065</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9521-2025</t>
        </is>
      </c>
      <c r="B22" s="1" t="n">
        <v>45715.56259259259</v>
      </c>
      <c r="C22" s="1" t="n">
        <v>46065</v>
      </c>
      <c r="D22" t="inlineStr">
        <is>
          <t>UPPSALA LÄN</t>
        </is>
      </c>
      <c r="E22" t="inlineStr">
        <is>
          <t>ÄLVKARLEBY</t>
        </is>
      </c>
      <c r="G22" t="n">
        <v>6.3</v>
      </c>
      <c r="H22" t="n">
        <v>0</v>
      </c>
      <c r="I22" t="n">
        <v>1</v>
      </c>
      <c r="J22" t="n">
        <v>0</v>
      </c>
      <c r="K22" t="n">
        <v>0</v>
      </c>
      <c r="L22" t="n">
        <v>0</v>
      </c>
      <c r="M22" t="n">
        <v>0</v>
      </c>
      <c r="N22" t="n">
        <v>0</v>
      </c>
      <c r="O22" t="n">
        <v>0</v>
      </c>
      <c r="P22" t="n">
        <v>0</v>
      </c>
      <c r="Q22" t="n">
        <v>1</v>
      </c>
      <c r="R22" s="2" t="inlineStr">
        <is>
          <t>Rödgul trumpetsvamp</t>
        </is>
      </c>
      <c r="S22">
        <f>HYPERLINK("https://klasma.github.io/Logging_0319/artfynd/A 9521-2025 artfynd.xlsx", "A 9521-2025")</f>
        <v/>
      </c>
      <c r="T22">
        <f>HYPERLINK("https://klasma.github.io/Logging_0319/kartor/A 9521-2025 karta.png", "A 9521-2025")</f>
        <v/>
      </c>
      <c r="V22">
        <f>HYPERLINK("https://klasma.github.io/Logging_0319/klagomål/A 9521-2025 FSC-klagomål.docx", "A 9521-2025")</f>
        <v/>
      </c>
      <c r="W22">
        <f>HYPERLINK("https://klasma.github.io/Logging_0319/klagomålsmail/A 9521-2025 FSC-klagomål mail.docx", "A 9521-2025")</f>
        <v/>
      </c>
      <c r="X22">
        <f>HYPERLINK("https://klasma.github.io/Logging_0319/tillsyn/A 9521-2025 tillsynsbegäran.docx", "A 9521-2025")</f>
        <v/>
      </c>
      <c r="Y22">
        <f>HYPERLINK("https://klasma.github.io/Logging_0319/tillsynsmail/A 9521-2025 tillsynsbegäran mail.docx", "A 9521-2025")</f>
        <v/>
      </c>
    </row>
    <row r="23" ht="15" customHeight="1">
      <c r="A23" t="inlineStr">
        <is>
          <t>A 21700-2024</t>
        </is>
      </c>
      <c r="B23" s="1" t="n">
        <v>45442</v>
      </c>
      <c r="C23" s="1" t="n">
        <v>46065</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46065</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39902-2025</t>
        </is>
      </c>
      <c r="B25" s="1" t="n">
        <v>45891.63597222222</v>
      </c>
      <c r="C25" s="1" t="n">
        <v>46065</v>
      </c>
      <c r="D25" t="inlineStr">
        <is>
          <t>UPPSALA LÄN</t>
        </is>
      </c>
      <c r="E25" t="inlineStr">
        <is>
          <t>ÄLVKARLEBY</t>
        </is>
      </c>
      <c r="F25" t="inlineStr">
        <is>
          <t>Bergvik skog väst AB</t>
        </is>
      </c>
      <c r="G25" t="n">
        <v>11.2</v>
      </c>
      <c r="H25" t="n">
        <v>0</v>
      </c>
      <c r="I25" t="n">
        <v>1</v>
      </c>
      <c r="J25" t="n">
        <v>0</v>
      </c>
      <c r="K25" t="n">
        <v>0</v>
      </c>
      <c r="L25" t="n">
        <v>0</v>
      </c>
      <c r="M25" t="n">
        <v>0</v>
      </c>
      <c r="N25" t="n">
        <v>0</v>
      </c>
      <c r="O25" t="n">
        <v>0</v>
      </c>
      <c r="P25" t="n">
        <v>0</v>
      </c>
      <c r="Q25" t="n">
        <v>1</v>
      </c>
      <c r="R25" s="2" t="inlineStr">
        <is>
          <t>Anisspindling</t>
        </is>
      </c>
      <c r="S25">
        <f>HYPERLINK("https://klasma.github.io/Logging_0319/artfynd/A 39902-2025 artfynd.xlsx", "A 39902-2025")</f>
        <v/>
      </c>
      <c r="T25">
        <f>HYPERLINK("https://klasma.github.io/Logging_0319/kartor/A 39902-2025 karta.png", "A 39902-2025")</f>
        <v/>
      </c>
      <c r="V25">
        <f>HYPERLINK("https://klasma.github.io/Logging_0319/klagomål/A 39902-2025 FSC-klagomål.docx", "A 39902-2025")</f>
        <v/>
      </c>
      <c r="W25">
        <f>HYPERLINK("https://klasma.github.io/Logging_0319/klagomålsmail/A 39902-2025 FSC-klagomål mail.docx", "A 39902-2025")</f>
        <v/>
      </c>
      <c r="X25">
        <f>HYPERLINK("https://klasma.github.io/Logging_0319/tillsyn/A 39902-2025 tillsynsbegäran.docx", "A 39902-2025")</f>
        <v/>
      </c>
      <c r="Y25">
        <f>HYPERLINK("https://klasma.github.io/Logging_0319/tillsynsmail/A 39902-2025 tillsynsbegäran mail.docx", "A 39902-2025")</f>
        <v/>
      </c>
    </row>
    <row r="26" ht="15" customHeight="1">
      <c r="A26" t="inlineStr">
        <is>
          <t>A 47207-2025</t>
        </is>
      </c>
      <c r="B26" s="1" t="n">
        <v>45930.37263888889</v>
      </c>
      <c r="C26" s="1" t="n">
        <v>46065</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46065</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46065</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46065</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46065</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46065</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2184-2024</t>
        </is>
      </c>
      <c r="B32" s="1" t="n">
        <v>45309</v>
      </c>
      <c r="C32" s="1" t="n">
        <v>46065</v>
      </c>
      <c r="D32" t="inlineStr">
        <is>
          <t>UPPSALA LÄN</t>
        </is>
      </c>
      <c r="E32" t="inlineStr">
        <is>
          <t>ÄLVKARLEBY</t>
        </is>
      </c>
      <c r="G32" t="n">
        <v>0.6</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46065</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19862-2025</t>
        </is>
      </c>
      <c r="B34" s="1" t="n">
        <v>45771.53560185185</v>
      </c>
      <c r="C34" s="1" t="n">
        <v>46065</v>
      </c>
      <c r="D34" t="inlineStr">
        <is>
          <t>UPPSALA LÄN</t>
        </is>
      </c>
      <c r="E34" t="inlineStr">
        <is>
          <t>ÄLVKARLEBY</t>
        </is>
      </c>
      <c r="F34" t="inlineStr">
        <is>
          <t>Kyrkan</t>
        </is>
      </c>
      <c r="G34" t="n">
        <v>3</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46065</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46065</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45372-2024</t>
        </is>
      </c>
      <c r="B37" s="1" t="n">
        <v>45576.51116898148</v>
      </c>
      <c r="C37" s="1" t="n">
        <v>46065</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46065</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41272-2023</t>
        </is>
      </c>
      <c r="B39" s="1" t="n">
        <v>45174</v>
      </c>
      <c r="C39" s="1" t="n">
        <v>46065</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46065</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26670-2025</t>
        </is>
      </c>
      <c r="B41" s="1" t="n">
        <v>45810.41489583333</v>
      </c>
      <c r="C41" s="1" t="n">
        <v>46065</v>
      </c>
      <c r="D41" t="inlineStr">
        <is>
          <t>UPPSALA LÄN</t>
        </is>
      </c>
      <c r="E41" t="inlineStr">
        <is>
          <t>ÄLVKARLEBY</t>
        </is>
      </c>
      <c r="F41" t="inlineStr">
        <is>
          <t>Bergvik skog väst AB</t>
        </is>
      </c>
      <c r="G41" t="n">
        <v>1.1</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46065</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46065</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27741-2025</t>
        </is>
      </c>
      <c r="B44" s="1" t="n">
        <v>45815.5346875</v>
      </c>
      <c r="C44" s="1" t="n">
        <v>46065</v>
      </c>
      <c r="D44" t="inlineStr">
        <is>
          <t>UPPSALA LÄN</t>
        </is>
      </c>
      <c r="E44" t="inlineStr">
        <is>
          <t>ÄLVKARLEBY</t>
        </is>
      </c>
      <c r="F44" t="inlineStr">
        <is>
          <t>Bergvik skog väst AB</t>
        </is>
      </c>
      <c r="G44" t="n">
        <v>4.4</v>
      </c>
      <c r="H44" t="n">
        <v>0</v>
      </c>
      <c r="I44" t="n">
        <v>0</v>
      </c>
      <c r="J44" t="n">
        <v>0</v>
      </c>
      <c r="K44" t="n">
        <v>0</v>
      </c>
      <c r="L44" t="n">
        <v>0</v>
      </c>
      <c r="M44" t="n">
        <v>0</v>
      </c>
      <c r="N44" t="n">
        <v>0</v>
      </c>
      <c r="O44" t="n">
        <v>0</v>
      </c>
      <c r="P44" t="n">
        <v>0</v>
      </c>
      <c r="Q44" t="n">
        <v>0</v>
      </c>
      <c r="R44" s="2" t="inlineStr"/>
    </row>
    <row r="45" ht="15" customHeight="1">
      <c r="A45" t="inlineStr">
        <is>
          <t>A 28670-2025</t>
        </is>
      </c>
      <c r="B45" s="1" t="n">
        <v>45819.67130787037</v>
      </c>
      <c r="C45" s="1" t="n">
        <v>46065</v>
      </c>
      <c r="D45" t="inlineStr">
        <is>
          <t>UPPSALA LÄN</t>
        </is>
      </c>
      <c r="E45" t="inlineStr">
        <is>
          <t>ÄLVKARLEBY</t>
        </is>
      </c>
      <c r="F45" t="inlineStr">
        <is>
          <t>Bergvik skog väst AB</t>
        </is>
      </c>
      <c r="G45" t="n">
        <v>1.6</v>
      </c>
      <c r="H45" t="n">
        <v>0</v>
      </c>
      <c r="I45" t="n">
        <v>0</v>
      </c>
      <c r="J45" t="n">
        <v>0</v>
      </c>
      <c r="K45" t="n">
        <v>0</v>
      </c>
      <c r="L45" t="n">
        <v>0</v>
      </c>
      <c r="M45" t="n">
        <v>0</v>
      </c>
      <c r="N45" t="n">
        <v>0</v>
      </c>
      <c r="O45" t="n">
        <v>0</v>
      </c>
      <c r="P45" t="n">
        <v>0</v>
      </c>
      <c r="Q45" t="n">
        <v>0</v>
      </c>
      <c r="R45" s="2" t="inlineStr"/>
    </row>
    <row r="46" ht="15" customHeight="1">
      <c r="A46" t="inlineStr">
        <is>
          <t>A 28668-2025</t>
        </is>
      </c>
      <c r="B46" s="1" t="n">
        <v>45819.66650462963</v>
      </c>
      <c r="C46" s="1" t="n">
        <v>46065</v>
      </c>
      <c r="D46" t="inlineStr">
        <is>
          <t>UPPSALA LÄN</t>
        </is>
      </c>
      <c r="E46" t="inlineStr">
        <is>
          <t>ÄLVKARLEBY</t>
        </is>
      </c>
      <c r="F46" t="inlineStr">
        <is>
          <t>Bergvik skog väst AB</t>
        </is>
      </c>
      <c r="G46" t="n">
        <v>8.300000000000001</v>
      </c>
      <c r="H46" t="n">
        <v>0</v>
      </c>
      <c r="I46" t="n">
        <v>0</v>
      </c>
      <c r="J46" t="n">
        <v>0</v>
      </c>
      <c r="K46" t="n">
        <v>0</v>
      </c>
      <c r="L46" t="n">
        <v>0</v>
      </c>
      <c r="M46" t="n">
        <v>0</v>
      </c>
      <c r="N46" t="n">
        <v>0</v>
      </c>
      <c r="O46" t="n">
        <v>0</v>
      </c>
      <c r="P46" t="n">
        <v>0</v>
      </c>
      <c r="Q46" t="n">
        <v>0</v>
      </c>
      <c r="R46" s="2" t="inlineStr"/>
    </row>
    <row r="47" ht="15" customHeight="1">
      <c r="A47" t="inlineStr">
        <is>
          <t>A 19304-2024</t>
        </is>
      </c>
      <c r="B47" s="1" t="n">
        <v>45428</v>
      </c>
      <c r="C47" s="1" t="n">
        <v>46065</v>
      </c>
      <c r="D47" t="inlineStr">
        <is>
          <t>UPPSALA LÄN</t>
        </is>
      </c>
      <c r="E47" t="inlineStr">
        <is>
          <t>ÄLVKARLEBY</t>
        </is>
      </c>
      <c r="G47" t="n">
        <v>0.2</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46065</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41929-2024</t>
        </is>
      </c>
      <c r="B49" s="1" t="n">
        <v>45561</v>
      </c>
      <c r="C49" s="1" t="n">
        <v>46065</v>
      </c>
      <c r="D49" t="inlineStr">
        <is>
          <t>UPPSALA LÄN</t>
        </is>
      </c>
      <c r="E49" t="inlineStr">
        <is>
          <t>ÄLVKARLEBY</t>
        </is>
      </c>
      <c r="F49" t="inlineStr">
        <is>
          <t>Bergvik skog väst AB</t>
        </is>
      </c>
      <c r="G49" t="n">
        <v>4.9</v>
      </c>
      <c r="H49" t="n">
        <v>0</v>
      </c>
      <c r="I49" t="n">
        <v>0</v>
      </c>
      <c r="J49" t="n">
        <v>0</v>
      </c>
      <c r="K49" t="n">
        <v>0</v>
      </c>
      <c r="L49" t="n">
        <v>0</v>
      </c>
      <c r="M49" t="n">
        <v>0</v>
      </c>
      <c r="N49" t="n">
        <v>0</v>
      </c>
      <c r="O49" t="n">
        <v>0</v>
      </c>
      <c r="P49" t="n">
        <v>0</v>
      </c>
      <c r="Q49" t="n">
        <v>0</v>
      </c>
      <c r="R49" s="2" t="inlineStr"/>
    </row>
    <row r="50" ht="15" customHeight="1">
      <c r="A50" t="inlineStr">
        <is>
          <t>A 30944-2025</t>
        </is>
      </c>
      <c r="B50" s="1" t="n">
        <v>45832.41182870371</v>
      </c>
      <c r="C50" s="1" t="n">
        <v>46065</v>
      </c>
      <c r="D50" t="inlineStr">
        <is>
          <t>UPPSALA LÄN</t>
        </is>
      </c>
      <c r="E50" t="inlineStr">
        <is>
          <t>ÄLVKARLEBY</t>
        </is>
      </c>
      <c r="F50" t="inlineStr">
        <is>
          <t>Bergvik skog öst AB</t>
        </is>
      </c>
      <c r="G50" t="n">
        <v>3.4</v>
      </c>
      <c r="H50" t="n">
        <v>0</v>
      </c>
      <c r="I50" t="n">
        <v>0</v>
      </c>
      <c r="J50" t="n">
        <v>0</v>
      </c>
      <c r="K50" t="n">
        <v>0</v>
      </c>
      <c r="L50" t="n">
        <v>0</v>
      </c>
      <c r="M50" t="n">
        <v>0</v>
      </c>
      <c r="N50" t="n">
        <v>0</v>
      </c>
      <c r="O50" t="n">
        <v>0</v>
      </c>
      <c r="P50" t="n">
        <v>0</v>
      </c>
      <c r="Q50" t="n">
        <v>0</v>
      </c>
      <c r="R50" s="2" t="inlineStr"/>
    </row>
    <row r="51" ht="15" customHeight="1">
      <c r="A51" t="inlineStr">
        <is>
          <t>A 30936-2025</t>
        </is>
      </c>
      <c r="B51" s="1" t="n">
        <v>45832.40586805555</v>
      </c>
      <c r="C51" s="1" t="n">
        <v>46065</v>
      </c>
      <c r="D51" t="inlineStr">
        <is>
          <t>UPPSALA LÄN</t>
        </is>
      </c>
      <c r="E51" t="inlineStr">
        <is>
          <t>ÄLVKARLEBY</t>
        </is>
      </c>
      <c r="F51" t="inlineStr">
        <is>
          <t>Bergvik skog öst AB</t>
        </is>
      </c>
      <c r="G51" t="n">
        <v>7.2</v>
      </c>
      <c r="H51" t="n">
        <v>0</v>
      </c>
      <c r="I51" t="n">
        <v>0</v>
      </c>
      <c r="J51" t="n">
        <v>0</v>
      </c>
      <c r="K51" t="n">
        <v>0</v>
      </c>
      <c r="L51" t="n">
        <v>0</v>
      </c>
      <c r="M51" t="n">
        <v>0</v>
      </c>
      <c r="N51" t="n">
        <v>0</v>
      </c>
      <c r="O51" t="n">
        <v>0</v>
      </c>
      <c r="P51" t="n">
        <v>0</v>
      </c>
      <c r="Q51" t="n">
        <v>0</v>
      </c>
      <c r="R51" s="2" t="inlineStr"/>
    </row>
    <row r="52" ht="15" customHeight="1">
      <c r="A52" t="inlineStr">
        <is>
          <t>A 32221-2025</t>
        </is>
      </c>
      <c r="B52" s="1" t="n">
        <v>45835.5909837963</v>
      </c>
      <c r="C52" s="1" t="n">
        <v>46065</v>
      </c>
      <c r="D52" t="inlineStr">
        <is>
          <t>UPPSALA LÄN</t>
        </is>
      </c>
      <c r="E52" t="inlineStr">
        <is>
          <t>ÄLVKARLEBY</t>
        </is>
      </c>
      <c r="F52" t="inlineStr">
        <is>
          <t>Bergvik skog väst AB</t>
        </is>
      </c>
      <c r="G52" t="n">
        <v>1.5</v>
      </c>
      <c r="H52" t="n">
        <v>0</v>
      </c>
      <c r="I52" t="n">
        <v>0</v>
      </c>
      <c r="J52" t="n">
        <v>0</v>
      </c>
      <c r="K52" t="n">
        <v>0</v>
      </c>
      <c r="L52" t="n">
        <v>0</v>
      </c>
      <c r="M52" t="n">
        <v>0</v>
      </c>
      <c r="N52" t="n">
        <v>0</v>
      </c>
      <c r="O52" t="n">
        <v>0</v>
      </c>
      <c r="P52" t="n">
        <v>0</v>
      </c>
      <c r="Q52" t="n">
        <v>0</v>
      </c>
      <c r="R52" s="2" t="inlineStr"/>
    </row>
    <row r="53" ht="15" customHeight="1">
      <c r="A53" t="inlineStr">
        <is>
          <t>A 32203-2025</t>
        </is>
      </c>
      <c r="B53" s="1" t="n">
        <v>45835.57951388889</v>
      </c>
      <c r="C53" s="1" t="n">
        <v>46065</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32186-2025</t>
        </is>
      </c>
      <c r="B54" s="1" t="n">
        <v>45835.5667824074</v>
      </c>
      <c r="C54" s="1" t="n">
        <v>46065</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32187-2025</t>
        </is>
      </c>
      <c r="B55" s="1" t="n">
        <v>45835.56949074074</v>
      </c>
      <c r="C55" s="1" t="n">
        <v>46065</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32212-2025</t>
        </is>
      </c>
      <c r="B56" s="1" t="n">
        <v>45835.58509259259</v>
      </c>
      <c r="C56" s="1" t="n">
        <v>46065</v>
      </c>
      <c r="D56" t="inlineStr">
        <is>
          <t>UPPSALA LÄN</t>
        </is>
      </c>
      <c r="E56" t="inlineStr">
        <is>
          <t>ÄLVKARLEBY</t>
        </is>
      </c>
      <c r="F56" t="inlineStr">
        <is>
          <t>Bergvik skog väst AB</t>
        </is>
      </c>
      <c r="G56" t="n">
        <v>1.5</v>
      </c>
      <c r="H56" t="n">
        <v>0</v>
      </c>
      <c r="I56" t="n">
        <v>0</v>
      </c>
      <c r="J56" t="n">
        <v>0</v>
      </c>
      <c r="K56" t="n">
        <v>0</v>
      </c>
      <c r="L56" t="n">
        <v>0</v>
      </c>
      <c r="M56" t="n">
        <v>0</v>
      </c>
      <c r="N56" t="n">
        <v>0</v>
      </c>
      <c r="O56" t="n">
        <v>0</v>
      </c>
      <c r="P56" t="n">
        <v>0</v>
      </c>
      <c r="Q56" t="n">
        <v>0</v>
      </c>
      <c r="R56" s="2" t="inlineStr"/>
    </row>
    <row r="57" ht="15" customHeight="1">
      <c r="A57" t="inlineStr">
        <is>
          <t>A 18451-2025</t>
        </is>
      </c>
      <c r="B57" s="1" t="n">
        <v>45762</v>
      </c>
      <c r="C57" s="1" t="n">
        <v>46065</v>
      </c>
      <c r="D57" t="inlineStr">
        <is>
          <t>UPPSALA LÄN</t>
        </is>
      </c>
      <c r="E57" t="inlineStr">
        <is>
          <t>ÄLVKARLEBY</t>
        </is>
      </c>
      <c r="F57" t="inlineStr">
        <is>
          <t>Bergvik skog väst AB</t>
        </is>
      </c>
      <c r="G57" t="n">
        <v>1.2</v>
      </c>
      <c r="H57" t="n">
        <v>0</v>
      </c>
      <c r="I57" t="n">
        <v>0</v>
      </c>
      <c r="J57" t="n">
        <v>0</v>
      </c>
      <c r="K57" t="n">
        <v>0</v>
      </c>
      <c r="L57" t="n">
        <v>0</v>
      </c>
      <c r="M57" t="n">
        <v>0</v>
      </c>
      <c r="N57" t="n">
        <v>0</v>
      </c>
      <c r="O57" t="n">
        <v>0</v>
      </c>
      <c r="P57" t="n">
        <v>0</v>
      </c>
      <c r="Q57" t="n">
        <v>0</v>
      </c>
      <c r="R57" s="2" t="inlineStr"/>
    </row>
    <row r="58" ht="15" customHeight="1">
      <c r="A58" t="inlineStr">
        <is>
          <t>A 11553-2021</t>
        </is>
      </c>
      <c r="B58" s="1" t="n">
        <v>44264.48725694444</v>
      </c>
      <c r="C58" s="1" t="n">
        <v>46065</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46065</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3950-2025</t>
        </is>
      </c>
      <c r="B60" s="1" t="n">
        <v>45684</v>
      </c>
      <c r="C60" s="1" t="n">
        <v>46065</v>
      </c>
      <c r="D60" t="inlineStr">
        <is>
          <t>UPPSALA LÄN</t>
        </is>
      </c>
      <c r="E60" t="inlineStr">
        <is>
          <t>ÄLVKARLEBY</t>
        </is>
      </c>
      <c r="G60" t="n">
        <v>3.1</v>
      </c>
      <c r="H60" t="n">
        <v>0</v>
      </c>
      <c r="I60" t="n">
        <v>0</v>
      </c>
      <c r="J60" t="n">
        <v>0</v>
      </c>
      <c r="K60" t="n">
        <v>0</v>
      </c>
      <c r="L60" t="n">
        <v>0</v>
      </c>
      <c r="M60" t="n">
        <v>0</v>
      </c>
      <c r="N60" t="n">
        <v>0</v>
      </c>
      <c r="O60" t="n">
        <v>0</v>
      </c>
      <c r="P60" t="n">
        <v>0</v>
      </c>
      <c r="Q60" t="n">
        <v>0</v>
      </c>
      <c r="R60" s="2" t="inlineStr"/>
    </row>
    <row r="61" ht="15" customHeight="1">
      <c r="A61" t="inlineStr">
        <is>
          <t>A 8031-2025</t>
        </is>
      </c>
      <c r="B61" s="1" t="n">
        <v>45707.59112268518</v>
      </c>
      <c r="C61" s="1" t="n">
        <v>46065</v>
      </c>
      <c r="D61" t="inlineStr">
        <is>
          <t>UPPSALA LÄN</t>
        </is>
      </c>
      <c r="E61" t="inlineStr">
        <is>
          <t>ÄLVKARLEBY</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7286-2023</t>
        </is>
      </c>
      <c r="B62" s="1" t="n">
        <v>44970</v>
      </c>
      <c r="C62" s="1" t="n">
        <v>46065</v>
      </c>
      <c r="D62" t="inlineStr">
        <is>
          <t>UPPSALA LÄN</t>
        </is>
      </c>
      <c r="E62" t="inlineStr">
        <is>
          <t>ÄLVKARLEBY</t>
        </is>
      </c>
      <c r="F62" t="inlineStr">
        <is>
          <t>Bergvik skog väst AB</t>
        </is>
      </c>
      <c r="G62" t="n">
        <v>2.5</v>
      </c>
      <c r="H62" t="n">
        <v>0</v>
      </c>
      <c r="I62" t="n">
        <v>0</v>
      </c>
      <c r="J62" t="n">
        <v>0</v>
      </c>
      <c r="K62" t="n">
        <v>0</v>
      </c>
      <c r="L62" t="n">
        <v>0</v>
      </c>
      <c r="M62" t="n">
        <v>0</v>
      </c>
      <c r="N62" t="n">
        <v>0</v>
      </c>
      <c r="O62" t="n">
        <v>0</v>
      </c>
      <c r="P62" t="n">
        <v>0</v>
      </c>
      <c r="Q62" t="n">
        <v>0</v>
      </c>
      <c r="R62" s="2" t="inlineStr"/>
    </row>
    <row r="63" ht="15" customHeight="1">
      <c r="A63" t="inlineStr">
        <is>
          <t>A 8030-2025</t>
        </is>
      </c>
      <c r="B63" s="1" t="n">
        <v>45707.59064814815</v>
      </c>
      <c r="C63" s="1" t="n">
        <v>46065</v>
      </c>
      <c r="D63" t="inlineStr">
        <is>
          <t>UPPSALA LÄN</t>
        </is>
      </c>
      <c r="E63" t="inlineStr">
        <is>
          <t>ÄLVKARLEBY</t>
        </is>
      </c>
      <c r="F63" t="inlineStr">
        <is>
          <t>Bergvik skog väst AB</t>
        </is>
      </c>
      <c r="G63" t="n">
        <v>3.6</v>
      </c>
      <c r="H63" t="n">
        <v>0</v>
      </c>
      <c r="I63" t="n">
        <v>0</v>
      </c>
      <c r="J63" t="n">
        <v>0</v>
      </c>
      <c r="K63" t="n">
        <v>0</v>
      </c>
      <c r="L63" t="n">
        <v>0</v>
      </c>
      <c r="M63" t="n">
        <v>0</v>
      </c>
      <c r="N63" t="n">
        <v>0</v>
      </c>
      <c r="O63" t="n">
        <v>0</v>
      </c>
      <c r="P63" t="n">
        <v>0</v>
      </c>
      <c r="Q63" t="n">
        <v>0</v>
      </c>
      <c r="R63" s="2" t="inlineStr"/>
    </row>
    <row r="64" ht="15" customHeight="1">
      <c r="A64" t="inlineStr">
        <is>
          <t>A 26815-2022</t>
        </is>
      </c>
      <c r="B64" s="1" t="n">
        <v>44740.44644675926</v>
      </c>
      <c r="C64" s="1" t="n">
        <v>46065</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36626-2025</t>
        </is>
      </c>
      <c r="B65" s="1" t="n">
        <v>45870.66732638889</v>
      </c>
      <c r="C65" s="1" t="n">
        <v>46065</v>
      </c>
      <c r="D65" t="inlineStr">
        <is>
          <t>UPPSALA LÄN</t>
        </is>
      </c>
      <c r="E65" t="inlineStr">
        <is>
          <t>ÄLVKARLEBY</t>
        </is>
      </c>
      <c r="F65" t="inlineStr">
        <is>
          <t>Bergvik skog väst AB</t>
        </is>
      </c>
      <c r="G65" t="n">
        <v>2.7</v>
      </c>
      <c r="H65" t="n">
        <v>0</v>
      </c>
      <c r="I65" t="n">
        <v>0</v>
      </c>
      <c r="J65" t="n">
        <v>0</v>
      </c>
      <c r="K65" t="n">
        <v>0</v>
      </c>
      <c r="L65" t="n">
        <v>0</v>
      </c>
      <c r="M65" t="n">
        <v>0</v>
      </c>
      <c r="N65" t="n">
        <v>0</v>
      </c>
      <c r="O65" t="n">
        <v>0</v>
      </c>
      <c r="P65" t="n">
        <v>0</v>
      </c>
      <c r="Q65" t="n">
        <v>0</v>
      </c>
      <c r="R65" s="2" t="inlineStr"/>
    </row>
    <row r="66" ht="15" customHeight="1">
      <c r="A66" t="inlineStr">
        <is>
          <t>A 19740-2025</t>
        </is>
      </c>
      <c r="B66" s="1" t="n">
        <v>45771</v>
      </c>
      <c r="C66" s="1" t="n">
        <v>46065</v>
      </c>
      <c r="D66" t="inlineStr">
        <is>
          <t>UPPSALA LÄN</t>
        </is>
      </c>
      <c r="E66" t="inlineStr">
        <is>
          <t>ÄLVKARLEBY</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46113-2023</t>
        </is>
      </c>
      <c r="B67" s="1" t="n">
        <v>45196.54938657407</v>
      </c>
      <c r="C67" s="1" t="n">
        <v>46065</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41979-2024</t>
        </is>
      </c>
      <c r="B68" s="1" t="n">
        <v>45561</v>
      </c>
      <c r="C68" s="1" t="n">
        <v>46065</v>
      </c>
      <c r="D68" t="inlineStr">
        <is>
          <t>UPPSALA LÄN</t>
        </is>
      </c>
      <c r="E68" t="inlineStr">
        <is>
          <t>ÄLVKARLEBY</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46065</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41276-2023</t>
        </is>
      </c>
      <c r="B70" s="1" t="n">
        <v>45174</v>
      </c>
      <c r="C70" s="1" t="n">
        <v>46065</v>
      </c>
      <c r="D70" t="inlineStr">
        <is>
          <t>UPPSALA LÄN</t>
        </is>
      </c>
      <c r="E70" t="inlineStr">
        <is>
          <t>ÄLVKARLEBY</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14590-2023</t>
        </is>
      </c>
      <c r="B71" s="1" t="n">
        <v>45013.54621527778</v>
      </c>
      <c r="C71" s="1" t="n">
        <v>46065</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41615-2025</t>
        </is>
      </c>
      <c r="B72" s="1" t="n">
        <v>45901.69556712963</v>
      </c>
      <c r="C72" s="1" t="n">
        <v>46065</v>
      </c>
      <c r="D72" t="inlineStr">
        <is>
          <t>UPPSALA LÄN</t>
        </is>
      </c>
      <c r="E72" t="inlineStr">
        <is>
          <t>ÄLVKARLEBY</t>
        </is>
      </c>
      <c r="F72" t="inlineStr">
        <is>
          <t>Bergvik skog väst AB</t>
        </is>
      </c>
      <c r="G72" t="n">
        <v>3</v>
      </c>
      <c r="H72" t="n">
        <v>0</v>
      </c>
      <c r="I72" t="n">
        <v>0</v>
      </c>
      <c r="J72" t="n">
        <v>0</v>
      </c>
      <c r="K72" t="n">
        <v>0</v>
      </c>
      <c r="L72" t="n">
        <v>0</v>
      </c>
      <c r="M72" t="n">
        <v>0</v>
      </c>
      <c r="N72" t="n">
        <v>0</v>
      </c>
      <c r="O72" t="n">
        <v>0</v>
      </c>
      <c r="P72" t="n">
        <v>0</v>
      </c>
      <c r="Q72" t="n">
        <v>0</v>
      </c>
      <c r="R72" s="2" t="inlineStr"/>
    </row>
    <row r="73" ht="15" customHeight="1">
      <c r="A73" t="inlineStr">
        <is>
          <t>A 26664-2025</t>
        </is>
      </c>
      <c r="B73" s="1" t="n">
        <v>45810</v>
      </c>
      <c r="C73" s="1" t="n">
        <v>46065</v>
      </c>
      <c r="D73" t="inlineStr">
        <is>
          <t>UPPSALA LÄN</t>
        </is>
      </c>
      <c r="E73" t="inlineStr">
        <is>
          <t>ÄLVKARLEBY</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14004-2025</t>
        </is>
      </c>
      <c r="B74" s="1" t="n">
        <v>45740.2997337963</v>
      </c>
      <c r="C74" s="1" t="n">
        <v>46065</v>
      </c>
      <c r="D74" t="inlineStr">
        <is>
          <t>UPPSALA LÄN</t>
        </is>
      </c>
      <c r="E74" t="inlineStr">
        <is>
          <t>ÄLVKARLEBY</t>
        </is>
      </c>
      <c r="F74" t="inlineStr">
        <is>
          <t>Bergvik skog öst AB</t>
        </is>
      </c>
      <c r="G74" t="n">
        <v>10.1</v>
      </c>
      <c r="H74" t="n">
        <v>0</v>
      </c>
      <c r="I74" t="n">
        <v>0</v>
      </c>
      <c r="J74" t="n">
        <v>0</v>
      </c>
      <c r="K74" t="n">
        <v>0</v>
      </c>
      <c r="L74" t="n">
        <v>0</v>
      </c>
      <c r="M74" t="n">
        <v>0</v>
      </c>
      <c r="N74" t="n">
        <v>0</v>
      </c>
      <c r="O74" t="n">
        <v>0</v>
      </c>
      <c r="P74" t="n">
        <v>0</v>
      </c>
      <c r="Q74" t="n">
        <v>0</v>
      </c>
      <c r="R74" s="2" t="inlineStr"/>
    </row>
    <row r="75" ht="15" customHeight="1">
      <c r="A75" t="inlineStr">
        <is>
          <t>A 41847-2025</t>
        </is>
      </c>
      <c r="B75" s="1" t="n">
        <v>45902.75265046296</v>
      </c>
      <c r="C75" s="1" t="n">
        <v>46065</v>
      </c>
      <c r="D75" t="inlineStr">
        <is>
          <t>UPPSALA LÄN</t>
        </is>
      </c>
      <c r="E75" t="inlineStr">
        <is>
          <t>ÄLVKARLEBY</t>
        </is>
      </c>
      <c r="F75" t="inlineStr">
        <is>
          <t>Bergvik skog väst AB</t>
        </is>
      </c>
      <c r="G75" t="n">
        <v>3.6</v>
      </c>
      <c r="H75" t="n">
        <v>0</v>
      </c>
      <c r="I75" t="n">
        <v>0</v>
      </c>
      <c r="J75" t="n">
        <v>0</v>
      </c>
      <c r="K75" t="n">
        <v>0</v>
      </c>
      <c r="L75" t="n">
        <v>0</v>
      </c>
      <c r="M75" t="n">
        <v>0</v>
      </c>
      <c r="N75" t="n">
        <v>0</v>
      </c>
      <c r="O75" t="n">
        <v>0</v>
      </c>
      <c r="P75" t="n">
        <v>0</v>
      </c>
      <c r="Q75" t="n">
        <v>0</v>
      </c>
      <c r="R75" s="2" t="inlineStr"/>
    </row>
    <row r="76" ht="15" customHeight="1">
      <c r="A76" t="inlineStr">
        <is>
          <t>A 43662-2025</t>
        </is>
      </c>
      <c r="B76" s="1" t="n">
        <v>45912.34446759259</v>
      </c>
      <c r="C76" s="1" t="n">
        <v>46065</v>
      </c>
      <c r="D76" t="inlineStr">
        <is>
          <t>UPPSALA LÄN</t>
        </is>
      </c>
      <c r="E76" t="inlineStr">
        <is>
          <t>ÄLVKARLEBY</t>
        </is>
      </c>
      <c r="F76" t="inlineStr">
        <is>
          <t>Kyrkan</t>
        </is>
      </c>
      <c r="G76" t="n">
        <v>4.5</v>
      </c>
      <c r="H76" t="n">
        <v>0</v>
      </c>
      <c r="I76" t="n">
        <v>0</v>
      </c>
      <c r="J76" t="n">
        <v>0</v>
      </c>
      <c r="K76" t="n">
        <v>0</v>
      </c>
      <c r="L76" t="n">
        <v>0</v>
      </c>
      <c r="M76" t="n">
        <v>0</v>
      </c>
      <c r="N76" t="n">
        <v>0</v>
      </c>
      <c r="O76" t="n">
        <v>0</v>
      </c>
      <c r="P76" t="n">
        <v>0</v>
      </c>
      <c r="Q76" t="n">
        <v>0</v>
      </c>
      <c r="R76" s="2" t="inlineStr"/>
    </row>
    <row r="77" ht="15" customHeight="1">
      <c r="A77" t="inlineStr">
        <is>
          <t>A 43577-2025</t>
        </is>
      </c>
      <c r="B77" s="1" t="n">
        <v>45911.64219907407</v>
      </c>
      <c r="C77" s="1" t="n">
        <v>46065</v>
      </c>
      <c r="D77" t="inlineStr">
        <is>
          <t>UPPSALA LÄN</t>
        </is>
      </c>
      <c r="E77" t="inlineStr">
        <is>
          <t>ÄLVKARLEBY</t>
        </is>
      </c>
      <c r="F77" t="inlineStr">
        <is>
          <t>Bergvik skog väst AB</t>
        </is>
      </c>
      <c r="G77" t="n">
        <v>3</v>
      </c>
      <c r="H77" t="n">
        <v>0</v>
      </c>
      <c r="I77" t="n">
        <v>0</v>
      </c>
      <c r="J77" t="n">
        <v>0</v>
      </c>
      <c r="K77" t="n">
        <v>0</v>
      </c>
      <c r="L77" t="n">
        <v>0</v>
      </c>
      <c r="M77" t="n">
        <v>0</v>
      </c>
      <c r="N77" t="n">
        <v>0</v>
      </c>
      <c r="O77" t="n">
        <v>0</v>
      </c>
      <c r="P77" t="n">
        <v>0</v>
      </c>
      <c r="Q77" t="n">
        <v>0</v>
      </c>
      <c r="R77" s="2" t="inlineStr"/>
    </row>
    <row r="78" ht="15" customHeight="1">
      <c r="A78" t="inlineStr">
        <is>
          <t>A 45033-2025</t>
        </is>
      </c>
      <c r="B78" s="1" t="n">
        <v>45918.70299768518</v>
      </c>
      <c r="C78" s="1" t="n">
        <v>46065</v>
      </c>
      <c r="D78" t="inlineStr">
        <is>
          <t>UPPSALA LÄN</t>
        </is>
      </c>
      <c r="E78" t="inlineStr">
        <is>
          <t>ÄLVKARLEBY</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9533-2025</t>
        </is>
      </c>
      <c r="B79" s="1" t="n">
        <v>45715.57082175926</v>
      </c>
      <c r="C79" s="1" t="n">
        <v>46065</v>
      </c>
      <c r="D79" t="inlineStr">
        <is>
          <t>UPPSALA LÄN</t>
        </is>
      </c>
      <c r="E79" t="inlineStr">
        <is>
          <t>ÄLVKARLEBY</t>
        </is>
      </c>
      <c r="G79" t="n">
        <v>2.1</v>
      </c>
      <c r="H79" t="n">
        <v>0</v>
      </c>
      <c r="I79" t="n">
        <v>0</v>
      </c>
      <c r="J79" t="n">
        <v>0</v>
      </c>
      <c r="K79" t="n">
        <v>0</v>
      </c>
      <c r="L79" t="n">
        <v>0</v>
      </c>
      <c r="M79" t="n">
        <v>0</v>
      </c>
      <c r="N79" t="n">
        <v>0</v>
      </c>
      <c r="O79" t="n">
        <v>0</v>
      </c>
      <c r="P79" t="n">
        <v>0</v>
      </c>
      <c r="Q79" t="n">
        <v>0</v>
      </c>
      <c r="R79" s="2" t="inlineStr"/>
    </row>
    <row r="80" ht="15" customHeight="1">
      <c r="A80" t="inlineStr">
        <is>
          <t>A 45512-2025</t>
        </is>
      </c>
      <c r="B80" s="1" t="n">
        <v>45922.58106481482</v>
      </c>
      <c r="C80" s="1" t="n">
        <v>46065</v>
      </c>
      <c r="D80" t="inlineStr">
        <is>
          <t>UPPSALA LÄN</t>
        </is>
      </c>
      <c r="E80" t="inlineStr">
        <is>
          <t>ÄLVKARLEBY</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19697-2025</t>
        </is>
      </c>
      <c r="B81" s="1" t="n">
        <v>45771</v>
      </c>
      <c r="C81" s="1" t="n">
        <v>46065</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46510-2025</t>
        </is>
      </c>
      <c r="B82" s="1" t="n">
        <v>45925.92368055556</v>
      </c>
      <c r="C82" s="1" t="n">
        <v>46065</v>
      </c>
      <c r="D82" t="inlineStr">
        <is>
          <t>UPPSALA LÄN</t>
        </is>
      </c>
      <c r="E82" t="inlineStr">
        <is>
          <t>ÄLVKARLEBY</t>
        </is>
      </c>
      <c r="G82" t="n">
        <v>2.3</v>
      </c>
      <c r="H82" t="n">
        <v>0</v>
      </c>
      <c r="I82" t="n">
        <v>0</v>
      </c>
      <c r="J82" t="n">
        <v>0</v>
      </c>
      <c r="K82" t="n">
        <v>0</v>
      </c>
      <c r="L82" t="n">
        <v>0</v>
      </c>
      <c r="M82" t="n">
        <v>0</v>
      </c>
      <c r="N82" t="n">
        <v>0</v>
      </c>
      <c r="O82" t="n">
        <v>0</v>
      </c>
      <c r="P82" t="n">
        <v>0</v>
      </c>
      <c r="Q82" t="n">
        <v>0</v>
      </c>
      <c r="R82" s="2" t="inlineStr"/>
    </row>
    <row r="83" ht="15" customHeight="1">
      <c r="A83" t="inlineStr">
        <is>
          <t>A 46335-2025</t>
        </is>
      </c>
      <c r="B83" s="1" t="n">
        <v>45925.46199074074</v>
      </c>
      <c r="C83" s="1" t="n">
        <v>46065</v>
      </c>
      <c r="D83" t="inlineStr">
        <is>
          <t>UPPSALA LÄN</t>
        </is>
      </c>
      <c r="E83" t="inlineStr">
        <is>
          <t>ÄLVKARLEBY</t>
        </is>
      </c>
      <c r="G83" t="n">
        <v>1.3</v>
      </c>
      <c r="H83" t="n">
        <v>0</v>
      </c>
      <c r="I83" t="n">
        <v>0</v>
      </c>
      <c r="J83" t="n">
        <v>0</v>
      </c>
      <c r="K83" t="n">
        <v>0</v>
      </c>
      <c r="L83" t="n">
        <v>0</v>
      </c>
      <c r="M83" t="n">
        <v>0</v>
      </c>
      <c r="N83" t="n">
        <v>0</v>
      </c>
      <c r="O83" t="n">
        <v>0</v>
      </c>
      <c r="P83" t="n">
        <v>0</v>
      </c>
      <c r="Q83" t="n">
        <v>0</v>
      </c>
      <c r="R83" s="2" t="inlineStr"/>
    </row>
    <row r="84" ht="15" customHeight="1">
      <c r="A84" t="inlineStr">
        <is>
          <t>A 22223-2025</t>
        </is>
      </c>
      <c r="B84" s="1" t="n">
        <v>45785</v>
      </c>
      <c r="C84" s="1" t="n">
        <v>46065</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48460-2025</t>
        </is>
      </c>
      <c r="B85" s="1" t="n">
        <v>45935.94372685185</v>
      </c>
      <c r="C85" s="1" t="n">
        <v>46065</v>
      </c>
      <c r="D85" t="inlineStr">
        <is>
          <t>UPPSALA LÄN</t>
        </is>
      </c>
      <c r="E85" t="inlineStr">
        <is>
          <t>ÄLVKARLEBY</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50398-2025</t>
        </is>
      </c>
      <c r="B86" s="1" t="n">
        <v>45944.62854166667</v>
      </c>
      <c r="C86" s="1" t="n">
        <v>46065</v>
      </c>
      <c r="D86" t="inlineStr">
        <is>
          <t>UPPSALA LÄN</t>
        </is>
      </c>
      <c r="E86" t="inlineStr">
        <is>
          <t>ÄLVKARLEBY</t>
        </is>
      </c>
      <c r="F86" t="inlineStr">
        <is>
          <t>Bergvik skog väst AB</t>
        </is>
      </c>
      <c r="G86" t="n">
        <v>4.4</v>
      </c>
      <c r="H86" t="n">
        <v>0</v>
      </c>
      <c r="I86" t="n">
        <v>0</v>
      </c>
      <c r="J86" t="n">
        <v>0</v>
      </c>
      <c r="K86" t="n">
        <v>0</v>
      </c>
      <c r="L86" t="n">
        <v>0</v>
      </c>
      <c r="M86" t="n">
        <v>0</v>
      </c>
      <c r="N86" t="n">
        <v>0</v>
      </c>
      <c r="O86" t="n">
        <v>0</v>
      </c>
      <c r="P86" t="n">
        <v>0</v>
      </c>
      <c r="Q86" t="n">
        <v>0</v>
      </c>
      <c r="R86" s="2" t="inlineStr"/>
    </row>
    <row r="87" ht="15" customHeight="1">
      <c r="A87" t="inlineStr">
        <is>
          <t>A 50371-2025</t>
        </is>
      </c>
      <c r="B87" s="1" t="n">
        <v>45944.58696759259</v>
      </c>
      <c r="C87" s="1" t="n">
        <v>46065</v>
      </c>
      <c r="D87" t="inlineStr">
        <is>
          <t>UPPSALA LÄN</t>
        </is>
      </c>
      <c r="E87" t="inlineStr">
        <is>
          <t>ÄLVKARLEBY</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50113-2025</t>
        </is>
      </c>
      <c r="B88" s="1" t="n">
        <v>45943.54452546296</v>
      </c>
      <c r="C88" s="1" t="n">
        <v>46065</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46065</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50869-2025</t>
        </is>
      </c>
      <c r="B90" s="1" t="n">
        <v>45946.60259259259</v>
      </c>
      <c r="C90" s="1" t="n">
        <v>46065</v>
      </c>
      <c r="D90" t="inlineStr">
        <is>
          <t>UPPSALA LÄN</t>
        </is>
      </c>
      <c r="E90" t="inlineStr">
        <is>
          <t>ÄLVKARLEBY</t>
        </is>
      </c>
      <c r="F90" t="inlineStr">
        <is>
          <t>Bergvik skog väst AB</t>
        </is>
      </c>
      <c r="G90" t="n">
        <v>11.4</v>
      </c>
      <c r="H90" t="n">
        <v>0</v>
      </c>
      <c r="I90" t="n">
        <v>0</v>
      </c>
      <c r="J90" t="n">
        <v>0</v>
      </c>
      <c r="K90" t="n">
        <v>0</v>
      </c>
      <c r="L90" t="n">
        <v>0</v>
      </c>
      <c r="M90" t="n">
        <v>0</v>
      </c>
      <c r="N90" t="n">
        <v>0</v>
      </c>
      <c r="O90" t="n">
        <v>0</v>
      </c>
      <c r="P90" t="n">
        <v>0</v>
      </c>
      <c r="Q90" t="n">
        <v>0</v>
      </c>
      <c r="R90" s="2" t="inlineStr"/>
    </row>
    <row r="91" ht="15" customHeight="1">
      <c r="A91" t="inlineStr">
        <is>
          <t>A 51238-2025</t>
        </is>
      </c>
      <c r="B91" s="1" t="n">
        <v>45947.69753472223</v>
      </c>
      <c r="C91" s="1" t="n">
        <v>46065</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51237-2025</t>
        </is>
      </c>
      <c r="B92" s="1" t="n">
        <v>45947.69307870371</v>
      </c>
      <c r="C92" s="1" t="n">
        <v>46065</v>
      </c>
      <c r="D92" t="inlineStr">
        <is>
          <t>UPPSALA LÄN</t>
        </is>
      </c>
      <c r="E92" t="inlineStr">
        <is>
          <t>ÄLVKARLEBY</t>
        </is>
      </c>
      <c r="F92" t="inlineStr">
        <is>
          <t>Bergvik skog väst AB</t>
        </is>
      </c>
      <c r="G92" t="n">
        <v>1.8</v>
      </c>
      <c r="H92" t="n">
        <v>0</v>
      </c>
      <c r="I92" t="n">
        <v>0</v>
      </c>
      <c r="J92" t="n">
        <v>0</v>
      </c>
      <c r="K92" t="n">
        <v>0</v>
      </c>
      <c r="L92" t="n">
        <v>0</v>
      </c>
      <c r="M92" t="n">
        <v>0</v>
      </c>
      <c r="N92" t="n">
        <v>0</v>
      </c>
      <c r="O92" t="n">
        <v>0</v>
      </c>
      <c r="P92" t="n">
        <v>0</v>
      </c>
      <c r="Q92" t="n">
        <v>0</v>
      </c>
      <c r="R92" s="2" t="inlineStr"/>
    </row>
    <row r="93" ht="15" customHeight="1">
      <c r="A93" t="inlineStr">
        <is>
          <t>A 52477-2025</t>
        </is>
      </c>
      <c r="B93" s="1" t="n">
        <v>45954.46980324074</v>
      </c>
      <c r="C93" s="1" t="n">
        <v>46065</v>
      </c>
      <c r="D93" t="inlineStr">
        <is>
          <t>UPPSALA LÄN</t>
        </is>
      </c>
      <c r="E93" t="inlineStr">
        <is>
          <t>ÄLVKARLEBY</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52498-2025</t>
        </is>
      </c>
      <c r="B94" s="1" t="n">
        <v>45954.49314814815</v>
      </c>
      <c r="C94" s="1" t="n">
        <v>46065</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53173-2025</t>
        </is>
      </c>
      <c r="B95" s="1" t="n">
        <v>45958.51738425926</v>
      </c>
      <c r="C95" s="1" t="n">
        <v>46065</v>
      </c>
      <c r="D95" t="inlineStr">
        <is>
          <t>UPPSALA LÄN</t>
        </is>
      </c>
      <c r="E95" t="inlineStr">
        <is>
          <t>ÄLVKARLEBY</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53184-2025</t>
        </is>
      </c>
      <c r="B96" s="1" t="n">
        <v>45958</v>
      </c>
      <c r="C96" s="1" t="n">
        <v>46065</v>
      </c>
      <c r="D96" t="inlineStr">
        <is>
          <t>UPPSALA LÄN</t>
        </is>
      </c>
      <c r="E96" t="inlineStr">
        <is>
          <t>ÄLVKARLEBY</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24591-2025</t>
        </is>
      </c>
      <c r="B97" s="1" t="n">
        <v>45798.53666666667</v>
      </c>
      <c r="C97" s="1" t="n">
        <v>46065</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25330-2025</t>
        </is>
      </c>
      <c r="B98" s="1" t="n">
        <v>45800.59114583334</v>
      </c>
      <c r="C98" s="1" t="n">
        <v>46065</v>
      </c>
      <c r="D98" t="inlineStr">
        <is>
          <t>UPPSALA LÄN</t>
        </is>
      </c>
      <c r="E98" t="inlineStr">
        <is>
          <t>ÄLVKARLEBY</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25264-2025</t>
        </is>
      </c>
      <c r="B99" s="1" t="n">
        <v>45800.5334375</v>
      </c>
      <c r="C99" s="1" t="n">
        <v>46065</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56861-2025</t>
        </is>
      </c>
      <c r="B100" s="1" t="n">
        <v>45978.50824074074</v>
      </c>
      <c r="C100" s="1" t="n">
        <v>46065</v>
      </c>
      <c r="D100" t="inlineStr">
        <is>
          <t>UPPSALA LÄN</t>
        </is>
      </c>
      <c r="E100" t="inlineStr">
        <is>
          <t>ÄLVKARLEBY</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58168-2025</t>
        </is>
      </c>
      <c r="B101" s="1" t="n">
        <v>45982.72024305556</v>
      </c>
      <c r="C101" s="1" t="n">
        <v>46065</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57734-2025</t>
        </is>
      </c>
      <c r="B102" s="1" t="n">
        <v>45981.51148148148</v>
      </c>
      <c r="C102" s="1" t="n">
        <v>46065</v>
      </c>
      <c r="D102" t="inlineStr">
        <is>
          <t>UPPSALA LÄN</t>
        </is>
      </c>
      <c r="E102" t="inlineStr">
        <is>
          <t>ÄLVKARLEBY</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58497-2025</t>
        </is>
      </c>
      <c r="B103" s="1" t="n">
        <v>45985.67912037037</v>
      </c>
      <c r="C103" s="1" t="n">
        <v>46065</v>
      </c>
      <c r="D103" t="inlineStr">
        <is>
          <t>UPPSALA LÄN</t>
        </is>
      </c>
      <c r="E103" t="inlineStr">
        <is>
          <t>ÄLVKARLEBY</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1673-2026</t>
        </is>
      </c>
      <c r="B104" s="1" t="n">
        <v>46034.56863425926</v>
      </c>
      <c r="C104" s="1" t="n">
        <v>46065</v>
      </c>
      <c r="D104" t="inlineStr">
        <is>
          <t>UPPSALA LÄN</t>
        </is>
      </c>
      <c r="E104" t="inlineStr">
        <is>
          <t>ÄLVKARLEBY</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60256-2025</t>
        </is>
      </c>
      <c r="B105" s="1" t="n">
        <v>45994.60216435185</v>
      </c>
      <c r="C105" s="1" t="n">
        <v>46065</v>
      </c>
      <c r="D105" t="inlineStr">
        <is>
          <t>UPPSALA LÄN</t>
        </is>
      </c>
      <c r="E105" t="inlineStr">
        <is>
          <t>ÄLVKARLEBY</t>
        </is>
      </c>
      <c r="G105" t="n">
        <v>1</v>
      </c>
      <c r="H105" t="n">
        <v>0</v>
      </c>
      <c r="I105" t="n">
        <v>0</v>
      </c>
      <c r="J105" t="n">
        <v>0</v>
      </c>
      <c r="K105" t="n">
        <v>0</v>
      </c>
      <c r="L105" t="n">
        <v>0</v>
      </c>
      <c r="M105" t="n">
        <v>0</v>
      </c>
      <c r="N105" t="n">
        <v>0</v>
      </c>
      <c r="O105" t="n">
        <v>0</v>
      </c>
      <c r="P105" t="n">
        <v>0</v>
      </c>
      <c r="Q105" t="n">
        <v>0</v>
      </c>
      <c r="R105" s="2" t="inlineStr"/>
    </row>
    <row r="106" ht="15" customHeight="1">
      <c r="A106" t="inlineStr">
        <is>
          <t>A 60083-2025</t>
        </is>
      </c>
      <c r="B106" s="1" t="n">
        <v>45993.69733796296</v>
      </c>
      <c r="C106" s="1" t="n">
        <v>46065</v>
      </c>
      <c r="D106" t="inlineStr">
        <is>
          <t>UPPSALA LÄN</t>
        </is>
      </c>
      <c r="E106" t="inlineStr">
        <is>
          <t>ÄLVKARLEBY</t>
        </is>
      </c>
      <c r="F106" t="inlineStr">
        <is>
          <t>Bergvik skog väst AB</t>
        </is>
      </c>
      <c r="G106" t="n">
        <v>4.7</v>
      </c>
      <c r="H106" t="n">
        <v>0</v>
      </c>
      <c r="I106" t="n">
        <v>0</v>
      </c>
      <c r="J106" t="n">
        <v>0</v>
      </c>
      <c r="K106" t="n">
        <v>0</v>
      </c>
      <c r="L106" t="n">
        <v>0</v>
      </c>
      <c r="M106" t="n">
        <v>0</v>
      </c>
      <c r="N106" t="n">
        <v>0</v>
      </c>
      <c r="O106" t="n">
        <v>0</v>
      </c>
      <c r="P106" t="n">
        <v>0</v>
      </c>
      <c r="Q106" t="n">
        <v>0</v>
      </c>
      <c r="R106" s="2" t="inlineStr"/>
    </row>
    <row r="107" ht="15" customHeight="1">
      <c r="A107" t="inlineStr">
        <is>
          <t>A 60842-2025</t>
        </is>
      </c>
      <c r="B107" s="1" t="n">
        <v>45999.48721064815</v>
      </c>
      <c r="C107" s="1" t="n">
        <v>46065</v>
      </c>
      <c r="D107" t="inlineStr">
        <is>
          <t>UPPSALA LÄN</t>
        </is>
      </c>
      <c r="E107" t="inlineStr">
        <is>
          <t>ÄLVKARLEBY</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60829-2025</t>
        </is>
      </c>
      <c r="B108" s="1" t="n">
        <v>45999.46523148148</v>
      </c>
      <c r="C108" s="1" t="n">
        <v>46065</v>
      </c>
      <c r="D108" t="inlineStr">
        <is>
          <t>UPPSALA LÄN</t>
        </is>
      </c>
      <c r="E108" t="inlineStr">
        <is>
          <t>ÄLVKARLEBY</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61694-2025</t>
        </is>
      </c>
      <c r="B109" s="1" t="n">
        <v>46002.52361111111</v>
      </c>
      <c r="C109" s="1" t="n">
        <v>46065</v>
      </c>
      <c r="D109" t="inlineStr">
        <is>
          <t>UPPSALA LÄN</t>
        </is>
      </c>
      <c r="E109" t="inlineStr">
        <is>
          <t>ÄLVKARLEBY</t>
        </is>
      </c>
      <c r="F109" t="inlineStr">
        <is>
          <t>Bergvik skog öst AB</t>
        </is>
      </c>
      <c r="G109" t="n">
        <v>1.5</v>
      </c>
      <c r="H109" t="n">
        <v>0</v>
      </c>
      <c r="I109" t="n">
        <v>0</v>
      </c>
      <c r="J109" t="n">
        <v>0</v>
      </c>
      <c r="K109" t="n">
        <v>0</v>
      </c>
      <c r="L109" t="n">
        <v>0</v>
      </c>
      <c r="M109" t="n">
        <v>0</v>
      </c>
      <c r="N109" t="n">
        <v>0</v>
      </c>
      <c r="O109" t="n">
        <v>0</v>
      </c>
      <c r="P109" t="n">
        <v>0</v>
      </c>
      <c r="Q109" t="n">
        <v>0</v>
      </c>
      <c r="R109" s="2" t="inlineStr"/>
    </row>
    <row r="110" ht="15" customHeight="1">
      <c r="A110" t="inlineStr">
        <is>
          <t>A 61691-2025</t>
        </is>
      </c>
      <c r="B110" s="1" t="n">
        <v>46002.51318287037</v>
      </c>
      <c r="C110" s="1" t="n">
        <v>46065</v>
      </c>
      <c r="D110" t="inlineStr">
        <is>
          <t>UPPSALA LÄN</t>
        </is>
      </c>
      <c r="E110" t="inlineStr">
        <is>
          <t>ÄLVKARLEBY</t>
        </is>
      </c>
      <c r="F110" t="inlineStr">
        <is>
          <t>Bergvik skog öst AB</t>
        </is>
      </c>
      <c r="G110" t="n">
        <v>0.7</v>
      </c>
      <c r="H110" t="n">
        <v>0</v>
      </c>
      <c r="I110" t="n">
        <v>0</v>
      </c>
      <c r="J110" t="n">
        <v>0</v>
      </c>
      <c r="K110" t="n">
        <v>0</v>
      </c>
      <c r="L110" t="n">
        <v>0</v>
      </c>
      <c r="M110" t="n">
        <v>0</v>
      </c>
      <c r="N110" t="n">
        <v>0</v>
      </c>
      <c r="O110" t="n">
        <v>0</v>
      </c>
      <c r="P110" t="n">
        <v>0</v>
      </c>
      <c r="Q110" t="n">
        <v>0</v>
      </c>
      <c r="R110" s="2" t="inlineStr"/>
    </row>
    <row r="111" ht="15" customHeight="1">
      <c r="A111" t="inlineStr">
        <is>
          <t>A 4131-2026</t>
        </is>
      </c>
      <c r="B111" s="1" t="n">
        <v>46044.62451388889</v>
      </c>
      <c r="C111" s="1" t="n">
        <v>46065</v>
      </c>
      <c r="D111" t="inlineStr">
        <is>
          <t>UPPSALA LÄN</t>
        </is>
      </c>
      <c r="E111" t="inlineStr">
        <is>
          <t>ÄLVKARLEBY</t>
        </is>
      </c>
      <c r="F111" t="inlineStr">
        <is>
          <t>Bergvik skog öst AB</t>
        </is>
      </c>
      <c r="G111" t="n">
        <v>2.4</v>
      </c>
      <c r="H111" t="n">
        <v>0</v>
      </c>
      <c r="I111" t="n">
        <v>0</v>
      </c>
      <c r="J111" t="n">
        <v>0</v>
      </c>
      <c r="K111" t="n">
        <v>0</v>
      </c>
      <c r="L111" t="n">
        <v>0</v>
      </c>
      <c r="M111" t="n">
        <v>0</v>
      </c>
      <c r="N111" t="n">
        <v>0</v>
      </c>
      <c r="O111" t="n">
        <v>0</v>
      </c>
      <c r="P111" t="n">
        <v>0</v>
      </c>
      <c r="Q111" t="n">
        <v>0</v>
      </c>
      <c r="R111" s="2" t="inlineStr"/>
    </row>
    <row r="112" ht="15" customHeight="1">
      <c r="A112" t="inlineStr">
        <is>
          <t>A 61685-2025</t>
        </is>
      </c>
      <c r="B112" s="1" t="n">
        <v>46002.503125</v>
      </c>
      <c r="C112" s="1" t="n">
        <v>46065</v>
      </c>
      <c r="D112" t="inlineStr">
        <is>
          <t>UPPSALA LÄN</t>
        </is>
      </c>
      <c r="E112" t="inlineStr">
        <is>
          <t>ÄLVKARLEBY</t>
        </is>
      </c>
      <c r="F112" t="inlineStr">
        <is>
          <t>Bergvik skog öst AB</t>
        </is>
      </c>
      <c r="G112" t="n">
        <v>1</v>
      </c>
      <c r="H112" t="n">
        <v>0</v>
      </c>
      <c r="I112" t="n">
        <v>0</v>
      </c>
      <c r="J112" t="n">
        <v>0</v>
      </c>
      <c r="K112" t="n">
        <v>0</v>
      </c>
      <c r="L112" t="n">
        <v>0</v>
      </c>
      <c r="M112" t="n">
        <v>0</v>
      </c>
      <c r="N112" t="n">
        <v>0</v>
      </c>
      <c r="O112" t="n">
        <v>0</v>
      </c>
      <c r="P112" t="n">
        <v>0</v>
      </c>
      <c r="Q112" t="n">
        <v>0</v>
      </c>
      <c r="R112" s="2" t="inlineStr"/>
    </row>
    <row r="113" ht="15" customHeight="1">
      <c r="A113" t="inlineStr">
        <is>
          <t>A 4133-2026</t>
        </is>
      </c>
      <c r="B113" s="1" t="n">
        <v>46044.626875</v>
      </c>
      <c r="C113" s="1" t="n">
        <v>46065</v>
      </c>
      <c r="D113" t="inlineStr">
        <is>
          <t>UPPSALA LÄN</t>
        </is>
      </c>
      <c r="E113" t="inlineStr">
        <is>
          <t>ÄLVKARLEBY</t>
        </is>
      </c>
      <c r="F113" t="inlineStr">
        <is>
          <t>Bergvik skog öst AB</t>
        </is>
      </c>
      <c r="G113" t="n">
        <v>4.1</v>
      </c>
      <c r="H113" t="n">
        <v>0</v>
      </c>
      <c r="I113" t="n">
        <v>0</v>
      </c>
      <c r="J113" t="n">
        <v>0</v>
      </c>
      <c r="K113" t="n">
        <v>0</v>
      </c>
      <c r="L113" t="n">
        <v>0</v>
      </c>
      <c r="M113" t="n">
        <v>0</v>
      </c>
      <c r="N113" t="n">
        <v>0</v>
      </c>
      <c r="O113" t="n">
        <v>0</v>
      </c>
      <c r="P113" t="n">
        <v>0</v>
      </c>
      <c r="Q113" t="n">
        <v>0</v>
      </c>
      <c r="R113" s="2" t="inlineStr"/>
    </row>
    <row r="114" ht="15" customHeight="1">
      <c r="A114" t="inlineStr">
        <is>
          <t>A 4134-2026</t>
        </is>
      </c>
      <c r="B114" s="1" t="n">
        <v>46044.6280787037</v>
      </c>
      <c r="C114" s="1" t="n">
        <v>46065</v>
      </c>
      <c r="D114" t="inlineStr">
        <is>
          <t>UPPSALA LÄN</t>
        </is>
      </c>
      <c r="E114" t="inlineStr">
        <is>
          <t>ÄLVKARLEBY</t>
        </is>
      </c>
      <c r="F114" t="inlineStr">
        <is>
          <t>Bergvik skog öst AB</t>
        </is>
      </c>
      <c r="G114" t="n">
        <v>5.1</v>
      </c>
      <c r="H114" t="n">
        <v>0</v>
      </c>
      <c r="I114" t="n">
        <v>0</v>
      </c>
      <c r="J114" t="n">
        <v>0</v>
      </c>
      <c r="K114" t="n">
        <v>0</v>
      </c>
      <c r="L114" t="n">
        <v>0</v>
      </c>
      <c r="M114" t="n">
        <v>0</v>
      </c>
      <c r="N114" t="n">
        <v>0</v>
      </c>
      <c r="O114" t="n">
        <v>0</v>
      </c>
      <c r="P114" t="n">
        <v>0</v>
      </c>
      <c r="Q114" t="n">
        <v>0</v>
      </c>
      <c r="R114" s="2" t="inlineStr"/>
    </row>
    <row r="115" ht="15" customHeight="1">
      <c r="A115" t="inlineStr">
        <is>
          <t>A 63004-2025</t>
        </is>
      </c>
      <c r="B115" s="1" t="n">
        <v>46009.56873842593</v>
      </c>
      <c r="C115" s="1" t="n">
        <v>46065</v>
      </c>
      <c r="D115" t="inlineStr">
        <is>
          <t>UPPSALA LÄN</t>
        </is>
      </c>
      <c r="E115" t="inlineStr">
        <is>
          <t>ÄLVKARLEBY</t>
        </is>
      </c>
      <c r="F115" t="inlineStr">
        <is>
          <t>Bergvik skog väst AB</t>
        </is>
      </c>
      <c r="G115" t="n">
        <v>2.2</v>
      </c>
      <c r="H115" t="n">
        <v>0</v>
      </c>
      <c r="I115" t="n">
        <v>0</v>
      </c>
      <c r="J115" t="n">
        <v>0</v>
      </c>
      <c r="K115" t="n">
        <v>0</v>
      </c>
      <c r="L115" t="n">
        <v>0</v>
      </c>
      <c r="M115" t="n">
        <v>0</v>
      </c>
      <c r="N115" t="n">
        <v>0</v>
      </c>
      <c r="O115" t="n">
        <v>0</v>
      </c>
      <c r="P115" t="n">
        <v>0</v>
      </c>
      <c r="Q115" t="n">
        <v>0</v>
      </c>
      <c r="R115" s="2" t="inlineStr"/>
    </row>
    <row r="116" ht="15" customHeight="1">
      <c r="A116" t="inlineStr">
        <is>
          <t>A 63183-2025</t>
        </is>
      </c>
      <c r="B116" s="1" t="n">
        <v>46010.42908564815</v>
      </c>
      <c r="C116" s="1" t="n">
        <v>46065</v>
      </c>
      <c r="D116" t="inlineStr">
        <is>
          <t>UPPSALA LÄN</t>
        </is>
      </c>
      <c r="E116" t="inlineStr">
        <is>
          <t>ÄLVKARLEBY</t>
        </is>
      </c>
      <c r="F116" t="inlineStr">
        <is>
          <t>Bergvik skog väst AB</t>
        </is>
      </c>
      <c r="G116" t="n">
        <v>1</v>
      </c>
      <c r="H116" t="n">
        <v>0</v>
      </c>
      <c r="I116" t="n">
        <v>0</v>
      </c>
      <c r="J116" t="n">
        <v>0</v>
      </c>
      <c r="K116" t="n">
        <v>0</v>
      </c>
      <c r="L116" t="n">
        <v>0</v>
      </c>
      <c r="M116" t="n">
        <v>0</v>
      </c>
      <c r="N116" t="n">
        <v>0</v>
      </c>
      <c r="O116" t="n">
        <v>0</v>
      </c>
      <c r="P116" t="n">
        <v>0</v>
      </c>
      <c r="Q116" t="n">
        <v>0</v>
      </c>
      <c r="R116" s="2" t="inlineStr"/>
    </row>
    <row r="117" ht="15" customHeight="1">
      <c r="A117" t="inlineStr">
        <is>
          <t>A 62938-2025</t>
        </is>
      </c>
      <c r="B117" s="1" t="n">
        <v>46009.42092592592</v>
      </c>
      <c r="C117" s="1" t="n">
        <v>46065</v>
      </c>
      <c r="D117" t="inlineStr">
        <is>
          <t>UPPSALA LÄN</t>
        </is>
      </c>
      <c r="E117" t="inlineStr">
        <is>
          <t>ÄLVKARLEBY</t>
        </is>
      </c>
      <c r="F117" t="inlineStr">
        <is>
          <t>Bergvik skog väst AB</t>
        </is>
      </c>
      <c r="G117" t="n">
        <v>10.2</v>
      </c>
      <c r="H117" t="n">
        <v>0</v>
      </c>
      <c r="I117" t="n">
        <v>0</v>
      </c>
      <c r="J117" t="n">
        <v>0</v>
      </c>
      <c r="K117" t="n">
        <v>0</v>
      </c>
      <c r="L117" t="n">
        <v>0</v>
      </c>
      <c r="M117" t="n">
        <v>0</v>
      </c>
      <c r="N117" t="n">
        <v>0</v>
      </c>
      <c r="O117" t="n">
        <v>0</v>
      </c>
      <c r="P117" t="n">
        <v>0</v>
      </c>
      <c r="Q117" t="n">
        <v>0</v>
      </c>
      <c r="R117" s="2" t="inlineStr"/>
    </row>
    <row r="118" ht="15" customHeight="1">
      <c r="A118" t="inlineStr">
        <is>
          <t>A 63341-2025</t>
        </is>
      </c>
      <c r="B118" s="1" t="n">
        <v>46010.65505787037</v>
      </c>
      <c r="C118" s="1" t="n">
        <v>46065</v>
      </c>
      <c r="D118" t="inlineStr">
        <is>
          <t>UPPSALA LÄN</t>
        </is>
      </c>
      <c r="E118" t="inlineStr">
        <is>
          <t>ÄLVKARLEBY</t>
        </is>
      </c>
      <c r="F118" t="inlineStr">
        <is>
          <t>Bergvik skog väst AB</t>
        </is>
      </c>
      <c r="G118" t="n">
        <v>4.3</v>
      </c>
      <c r="H118" t="n">
        <v>0</v>
      </c>
      <c r="I118" t="n">
        <v>0</v>
      </c>
      <c r="J118" t="n">
        <v>0</v>
      </c>
      <c r="K118" t="n">
        <v>0</v>
      </c>
      <c r="L118" t="n">
        <v>0</v>
      </c>
      <c r="M118" t="n">
        <v>0</v>
      </c>
      <c r="N118" t="n">
        <v>0</v>
      </c>
      <c r="O118" t="n">
        <v>0</v>
      </c>
      <c r="P118" t="n">
        <v>0</v>
      </c>
      <c r="Q118" t="n">
        <v>0</v>
      </c>
      <c r="R118" s="2" t="inlineStr"/>
    </row>
    <row r="119" ht="15" customHeight="1">
      <c r="A119" t="inlineStr">
        <is>
          <t>A 63365-2025</t>
        </is>
      </c>
      <c r="B119" s="1" t="n">
        <v>46010.70717592593</v>
      </c>
      <c r="C119" s="1" t="n">
        <v>46065</v>
      </c>
      <c r="D119" t="inlineStr">
        <is>
          <t>UPPSALA LÄN</t>
        </is>
      </c>
      <c r="E119" t="inlineStr">
        <is>
          <t>ÄLVKARLEBY</t>
        </is>
      </c>
      <c r="F119" t="inlineStr">
        <is>
          <t>Bergvik skog väst AB</t>
        </is>
      </c>
      <c r="G119" t="n">
        <v>1.5</v>
      </c>
      <c r="H119" t="n">
        <v>0</v>
      </c>
      <c r="I119" t="n">
        <v>0</v>
      </c>
      <c r="J119" t="n">
        <v>0</v>
      </c>
      <c r="K119" t="n">
        <v>0</v>
      </c>
      <c r="L119" t="n">
        <v>0</v>
      </c>
      <c r="M119" t="n">
        <v>0</v>
      </c>
      <c r="N119" t="n">
        <v>0</v>
      </c>
      <c r="O119" t="n">
        <v>0</v>
      </c>
      <c r="P119" t="n">
        <v>0</v>
      </c>
      <c r="Q119" t="n">
        <v>0</v>
      </c>
      <c r="R119" s="2" t="inlineStr"/>
    </row>
    <row r="120">
      <c r="A120" t="inlineStr">
        <is>
          <t>A 61839-2025</t>
        </is>
      </c>
      <c r="B120" s="1" t="n">
        <v>46003.35768518518</v>
      </c>
      <c r="C120" s="1" t="n">
        <v>46065</v>
      </c>
      <c r="D120" t="inlineStr">
        <is>
          <t>UPPSALA LÄN</t>
        </is>
      </c>
      <c r="E120" t="inlineStr">
        <is>
          <t>ÄLVKARLEBY</t>
        </is>
      </c>
      <c r="F120" t="inlineStr">
        <is>
          <t>Bergvik skog väst AB</t>
        </is>
      </c>
      <c r="G120" t="n">
        <v>2.3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2026-02-12T11:05:19Z</dcterms:created>
  <dcterms:modified xmlns:dcterms="http://purl.org/dc/terms/" xmlns:xsi="http://www.w3.org/2001/XMLSchema-instance" xsi:type="dcterms:W3CDTF">2026-02-12T11:05:19Z</dcterms:modified>
</cp:coreProperties>
</file>