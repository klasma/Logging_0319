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45941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45941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45941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45941</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45941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45941</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45941</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45925.91729166666</v>
      </c>
      <c r="C9" s="1" t="n">
        <v>45941</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45941</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45941</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34798-2024</t>
        </is>
      </c>
      <c r="B12" s="1" t="n">
        <v>45526</v>
      </c>
      <c r="C12" s="1" t="n">
        <v>45941</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70017-2021</t>
        </is>
      </c>
      <c r="B13" s="1" t="n">
        <v>44533</v>
      </c>
      <c r="C13" s="1" t="n">
        <v>45941</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21007-2025</t>
        </is>
      </c>
      <c r="B14" s="1" t="n">
        <v>45777</v>
      </c>
      <c r="C14" s="1" t="n">
        <v>45941</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12427-2025</t>
        </is>
      </c>
      <c r="B15" s="1" t="n">
        <v>45730.45799768518</v>
      </c>
      <c r="C15" s="1" t="n">
        <v>45941</v>
      </c>
      <c r="D15" t="inlineStr">
        <is>
          <t>UPPSALA LÄN</t>
        </is>
      </c>
      <c r="E15" t="inlineStr">
        <is>
          <t>ÄLVKARLEBY</t>
        </is>
      </c>
      <c r="F15" t="inlineStr">
        <is>
          <t>Bergvik skog öst AB</t>
        </is>
      </c>
      <c r="G15" t="n">
        <v>9.300000000000001</v>
      </c>
      <c r="H15" t="n">
        <v>1</v>
      </c>
      <c r="I15" t="n">
        <v>1</v>
      </c>
      <c r="J15" t="n">
        <v>0</v>
      </c>
      <c r="K15" t="n">
        <v>0</v>
      </c>
      <c r="L15" t="n">
        <v>0</v>
      </c>
      <c r="M15" t="n">
        <v>0</v>
      </c>
      <c r="N15" t="n">
        <v>0</v>
      </c>
      <c r="O15" t="n">
        <v>0</v>
      </c>
      <c r="P15" t="n">
        <v>0</v>
      </c>
      <c r="Q15" t="n">
        <v>1</v>
      </c>
      <c r="R15" s="2" t="inlineStr">
        <is>
          <t>Guckusko</t>
        </is>
      </c>
      <c r="S15">
        <f>HYPERLINK("https://klasma.github.io/Logging_0319/artfynd/A 12427-2025 artfynd.xlsx", "A 12427-2025")</f>
        <v/>
      </c>
      <c r="T15">
        <f>HYPERLINK("https://klasma.github.io/Logging_0319/kartor/A 12427-2025 karta.png", "A 12427-2025")</f>
        <v/>
      </c>
      <c r="V15">
        <f>HYPERLINK("https://klasma.github.io/Logging_0319/klagomål/A 12427-2025 FSC-klagomål.docx", "A 12427-2025")</f>
        <v/>
      </c>
      <c r="W15">
        <f>HYPERLINK("https://klasma.github.io/Logging_0319/klagomålsmail/A 12427-2025 FSC-klagomål mail.docx", "A 12427-2025")</f>
        <v/>
      </c>
      <c r="X15">
        <f>HYPERLINK("https://klasma.github.io/Logging_0319/tillsyn/A 12427-2025 tillsynsbegäran.docx", "A 12427-2025")</f>
        <v/>
      </c>
      <c r="Y15">
        <f>HYPERLINK("https://klasma.github.io/Logging_0319/tillsynsmail/A 12427-2025 tillsynsbegäran mail.docx", "A 12427-2025")</f>
        <v/>
      </c>
    </row>
    <row r="16" ht="15" customHeight="1">
      <c r="A16" t="inlineStr">
        <is>
          <t>A 66277-2020</t>
        </is>
      </c>
      <c r="B16" s="1" t="n">
        <v>44176</v>
      </c>
      <c r="C16" s="1" t="n">
        <v>45941</v>
      </c>
      <c r="D16" t="inlineStr">
        <is>
          <t>UPPSALA LÄN</t>
        </is>
      </c>
      <c r="E16" t="inlineStr">
        <is>
          <t>ÄLVKARLEBY</t>
        </is>
      </c>
      <c r="F16" t="inlineStr">
        <is>
          <t>Bergvik skog väst AB</t>
        </is>
      </c>
      <c r="G16" t="n">
        <v>2.6</v>
      </c>
      <c r="H16" t="n">
        <v>1</v>
      </c>
      <c r="I16" t="n">
        <v>0</v>
      </c>
      <c r="J16" t="n">
        <v>0</v>
      </c>
      <c r="K16" t="n">
        <v>0</v>
      </c>
      <c r="L16" t="n">
        <v>0</v>
      </c>
      <c r="M16" t="n">
        <v>0</v>
      </c>
      <c r="N16" t="n">
        <v>0</v>
      </c>
      <c r="O16" t="n">
        <v>0</v>
      </c>
      <c r="P16" t="n">
        <v>0</v>
      </c>
      <c r="Q16" t="n">
        <v>1</v>
      </c>
      <c r="R16" s="2" t="inlineStr">
        <is>
          <t>Vanlig padda</t>
        </is>
      </c>
      <c r="S16">
        <f>HYPERLINK("https://klasma.github.io/Logging_0319/artfynd/A 66277-2020 artfynd.xlsx", "A 66277-2020")</f>
        <v/>
      </c>
      <c r="T16">
        <f>HYPERLINK("https://klasma.github.io/Logging_0319/kartor/A 66277-2020 karta.png", "A 66277-2020")</f>
        <v/>
      </c>
      <c r="V16">
        <f>HYPERLINK("https://klasma.github.io/Logging_0319/klagomål/A 66277-2020 FSC-klagomål.docx", "A 66277-2020")</f>
        <v/>
      </c>
      <c r="W16">
        <f>HYPERLINK("https://klasma.github.io/Logging_0319/klagomålsmail/A 66277-2020 FSC-klagomål mail.docx", "A 66277-2020")</f>
        <v/>
      </c>
      <c r="X16">
        <f>HYPERLINK("https://klasma.github.io/Logging_0319/tillsyn/A 66277-2020 tillsynsbegäran.docx", "A 66277-2020")</f>
        <v/>
      </c>
      <c r="Y16">
        <f>HYPERLINK("https://klasma.github.io/Logging_0319/tillsynsmail/A 66277-2020 tillsynsbegäran mail.docx", "A 66277-2020")</f>
        <v/>
      </c>
    </row>
    <row r="17" ht="15" customHeight="1">
      <c r="A17" t="inlineStr">
        <is>
          <t>A 19300-2024</t>
        </is>
      </c>
      <c r="B17" s="1" t="n">
        <v>45428.70128472222</v>
      </c>
      <c r="C17" s="1" t="n">
        <v>45941</v>
      </c>
      <c r="D17" t="inlineStr">
        <is>
          <t>UPPSALA LÄN</t>
        </is>
      </c>
      <c r="E17" t="inlineStr">
        <is>
          <t>ÄLVKARLEBY</t>
        </is>
      </c>
      <c r="G17" t="n">
        <v>0.9</v>
      </c>
      <c r="H17" t="n">
        <v>1</v>
      </c>
      <c r="I17" t="n">
        <v>0</v>
      </c>
      <c r="J17" t="n">
        <v>0</v>
      </c>
      <c r="K17" t="n">
        <v>1</v>
      </c>
      <c r="L17" t="n">
        <v>0</v>
      </c>
      <c r="M17" t="n">
        <v>0</v>
      </c>
      <c r="N17" t="n">
        <v>0</v>
      </c>
      <c r="O17" t="n">
        <v>1</v>
      </c>
      <c r="P17" t="n">
        <v>1</v>
      </c>
      <c r="Q17" t="n">
        <v>1</v>
      </c>
      <c r="R17" s="2" t="inlineStr">
        <is>
          <t>Kricka</t>
        </is>
      </c>
      <c r="S17">
        <f>HYPERLINK("https://klasma.github.io/Logging_0319/artfynd/A 19300-2024 artfynd.xlsx", "A 19300-2024")</f>
        <v/>
      </c>
      <c r="T17">
        <f>HYPERLINK("https://klasma.github.io/Logging_0319/kartor/A 19300-2024 karta.png", "A 19300-2024")</f>
        <v/>
      </c>
      <c r="V17">
        <f>HYPERLINK("https://klasma.github.io/Logging_0319/klagomål/A 19300-2024 FSC-klagomål.docx", "A 19300-2024")</f>
        <v/>
      </c>
      <c r="W17">
        <f>HYPERLINK("https://klasma.github.io/Logging_0319/klagomålsmail/A 19300-2024 FSC-klagomål mail.docx", "A 19300-2024")</f>
        <v/>
      </c>
      <c r="X17">
        <f>HYPERLINK("https://klasma.github.io/Logging_0319/tillsyn/A 19300-2024 tillsynsbegäran.docx", "A 19300-2024")</f>
        <v/>
      </c>
      <c r="Y17">
        <f>HYPERLINK("https://klasma.github.io/Logging_0319/tillsynsmail/A 19300-2024 tillsynsbegäran mail.docx", "A 19300-2024")</f>
        <v/>
      </c>
      <c r="Z17">
        <f>HYPERLINK("https://klasma.github.io/Logging_0319/fåglar/A 19300-2024 prioriterade fågelarter.docx", "A 19300-2024")</f>
        <v/>
      </c>
    </row>
    <row r="18" ht="15" customHeight="1">
      <c r="A18" t="inlineStr">
        <is>
          <t>A 9521-2025</t>
        </is>
      </c>
      <c r="B18" s="1" t="n">
        <v>45715.56259259259</v>
      </c>
      <c r="C18" s="1" t="n">
        <v>45941</v>
      </c>
      <c r="D18" t="inlineStr">
        <is>
          <t>UPPSALA LÄN</t>
        </is>
      </c>
      <c r="E18" t="inlineStr">
        <is>
          <t>ÄLVKARLEBY</t>
        </is>
      </c>
      <c r="G18" t="n">
        <v>6.3</v>
      </c>
      <c r="H18" t="n">
        <v>0</v>
      </c>
      <c r="I18" t="n">
        <v>1</v>
      </c>
      <c r="J18" t="n">
        <v>0</v>
      </c>
      <c r="K18" t="n">
        <v>0</v>
      </c>
      <c r="L18" t="n">
        <v>0</v>
      </c>
      <c r="M18" t="n">
        <v>0</v>
      </c>
      <c r="N18" t="n">
        <v>0</v>
      </c>
      <c r="O18" t="n">
        <v>0</v>
      </c>
      <c r="P18" t="n">
        <v>0</v>
      </c>
      <c r="Q18" t="n">
        <v>1</v>
      </c>
      <c r="R18" s="2" t="inlineStr">
        <is>
          <t>Rödgul trumpetsvamp</t>
        </is>
      </c>
      <c r="S18">
        <f>HYPERLINK("https://klasma.github.io/Logging_0319/artfynd/A 9521-2025 artfynd.xlsx", "A 9521-2025")</f>
        <v/>
      </c>
      <c r="T18">
        <f>HYPERLINK("https://klasma.github.io/Logging_0319/kartor/A 9521-2025 karta.png", "A 9521-2025")</f>
        <v/>
      </c>
      <c r="V18">
        <f>HYPERLINK("https://klasma.github.io/Logging_0319/klagomål/A 9521-2025 FSC-klagomål.docx", "A 9521-2025")</f>
        <v/>
      </c>
      <c r="W18">
        <f>HYPERLINK("https://klasma.github.io/Logging_0319/klagomålsmail/A 9521-2025 FSC-klagomål mail.docx", "A 9521-2025")</f>
        <v/>
      </c>
      <c r="X18">
        <f>HYPERLINK("https://klasma.github.io/Logging_0319/tillsyn/A 9521-2025 tillsynsbegäran.docx", "A 9521-2025")</f>
        <v/>
      </c>
      <c r="Y18">
        <f>HYPERLINK("https://klasma.github.io/Logging_0319/tillsynsmail/A 9521-2025 tillsynsbegäran mail.docx", "A 9521-2025")</f>
        <v/>
      </c>
    </row>
    <row r="19" ht="15" customHeight="1">
      <c r="A19" t="inlineStr">
        <is>
          <t>A 47207-2025</t>
        </is>
      </c>
      <c r="B19" s="1" t="n">
        <v>45930.37263888889</v>
      </c>
      <c r="C19" s="1" t="n">
        <v>45941</v>
      </c>
      <c r="D19" t="inlineStr">
        <is>
          <t>UPPSALA LÄN</t>
        </is>
      </c>
      <c r="E19" t="inlineStr">
        <is>
          <t>ÄLVKARLEBY</t>
        </is>
      </c>
      <c r="F19" t="inlineStr">
        <is>
          <t>Bergvik skog väst AB</t>
        </is>
      </c>
      <c r="G19" t="n">
        <v>2.2</v>
      </c>
      <c r="H19" t="n">
        <v>0</v>
      </c>
      <c r="I19" t="n">
        <v>0</v>
      </c>
      <c r="J19" t="n">
        <v>1</v>
      </c>
      <c r="K19" t="n">
        <v>0</v>
      </c>
      <c r="L19" t="n">
        <v>0</v>
      </c>
      <c r="M19" t="n">
        <v>0</v>
      </c>
      <c r="N19" t="n">
        <v>0</v>
      </c>
      <c r="O19" t="n">
        <v>1</v>
      </c>
      <c r="P19" t="n">
        <v>0</v>
      </c>
      <c r="Q19" t="n">
        <v>1</v>
      </c>
      <c r="R19" s="2" t="inlineStr">
        <is>
          <t>Sumpviol</t>
        </is>
      </c>
      <c r="S19">
        <f>HYPERLINK("https://klasma.github.io/Logging_0319/artfynd/A 47207-2025 artfynd.xlsx", "A 47207-2025")</f>
        <v/>
      </c>
      <c r="T19">
        <f>HYPERLINK("https://klasma.github.io/Logging_0319/kartor/A 47207-2025 karta.png", "A 47207-2025")</f>
        <v/>
      </c>
      <c r="V19">
        <f>HYPERLINK("https://klasma.github.io/Logging_0319/klagomål/A 47207-2025 FSC-klagomål.docx", "A 47207-2025")</f>
        <v/>
      </c>
      <c r="W19">
        <f>HYPERLINK("https://klasma.github.io/Logging_0319/klagomålsmail/A 47207-2025 FSC-klagomål mail.docx", "A 47207-2025")</f>
        <v/>
      </c>
      <c r="X19">
        <f>HYPERLINK("https://klasma.github.io/Logging_0319/tillsyn/A 47207-2025 tillsynsbegäran.docx", "A 47207-2025")</f>
        <v/>
      </c>
      <c r="Y19">
        <f>HYPERLINK("https://klasma.github.io/Logging_0319/tillsynsmail/A 47207-2025 tillsynsbegäran mail.docx", "A 47207-2025")</f>
        <v/>
      </c>
    </row>
    <row r="20" ht="15" customHeight="1">
      <c r="A20" t="inlineStr">
        <is>
          <t>A 39902-2025</t>
        </is>
      </c>
      <c r="B20" s="1" t="n">
        <v>45891.63597222222</v>
      </c>
      <c r="C20" s="1" t="n">
        <v>45941</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21700-2024</t>
        </is>
      </c>
      <c r="B21" s="1" t="n">
        <v>45442</v>
      </c>
      <c r="C21" s="1" t="n">
        <v>45941</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45941</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36217-2022</t>
        </is>
      </c>
      <c r="B23" s="1" t="n">
        <v>44803</v>
      </c>
      <c r="C23" s="1" t="n">
        <v>45941</v>
      </c>
      <c r="D23" t="inlineStr">
        <is>
          <t>UPPSALA LÄN</t>
        </is>
      </c>
      <c r="E23" t="inlineStr">
        <is>
          <t>ÄLVKARLEBY</t>
        </is>
      </c>
      <c r="F23" t="inlineStr">
        <is>
          <t>Bergvik skog väst AB</t>
        </is>
      </c>
      <c r="G23" t="n">
        <v>0.2</v>
      </c>
      <c r="H23" t="n">
        <v>0</v>
      </c>
      <c r="I23" t="n">
        <v>0</v>
      </c>
      <c r="J23" t="n">
        <v>0</v>
      </c>
      <c r="K23" t="n">
        <v>0</v>
      </c>
      <c r="L23" t="n">
        <v>0</v>
      </c>
      <c r="M23" t="n">
        <v>0</v>
      </c>
      <c r="N23" t="n">
        <v>0</v>
      </c>
      <c r="O23" t="n">
        <v>0</v>
      </c>
      <c r="P23" t="n">
        <v>0</v>
      </c>
      <c r="Q23" t="n">
        <v>0</v>
      </c>
      <c r="R23" s="2" t="inlineStr"/>
    </row>
    <row r="24" ht="15" customHeight="1">
      <c r="A24" t="inlineStr">
        <is>
          <t>A 29116-2022</t>
        </is>
      </c>
      <c r="B24" s="1" t="n">
        <v>44750</v>
      </c>
      <c r="C24" s="1" t="n">
        <v>45941</v>
      </c>
      <c r="D24" t="inlineStr">
        <is>
          <t>UPPSALA LÄN</t>
        </is>
      </c>
      <c r="E24" t="inlineStr">
        <is>
          <t>ÄLVKARLEBY</t>
        </is>
      </c>
      <c r="F24" t="inlineStr">
        <is>
          <t>Kommuner</t>
        </is>
      </c>
      <c r="G24" t="n">
        <v>1.6</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45941</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2184-2024</t>
        </is>
      </c>
      <c r="B26" s="1" t="n">
        <v>45309</v>
      </c>
      <c r="C26" s="1" t="n">
        <v>45941</v>
      </c>
      <c r="D26" t="inlineStr">
        <is>
          <t>UPPSALA LÄN</t>
        </is>
      </c>
      <c r="E26" t="inlineStr">
        <is>
          <t>ÄLVKARLEBY</t>
        </is>
      </c>
      <c r="G26" t="n">
        <v>0.6</v>
      </c>
      <c r="H26" t="n">
        <v>0</v>
      </c>
      <c r="I26" t="n">
        <v>0</v>
      </c>
      <c r="J26" t="n">
        <v>0</v>
      </c>
      <c r="K26" t="n">
        <v>0</v>
      </c>
      <c r="L26" t="n">
        <v>0</v>
      </c>
      <c r="M26" t="n">
        <v>0</v>
      </c>
      <c r="N26" t="n">
        <v>0</v>
      </c>
      <c r="O26" t="n">
        <v>0</v>
      </c>
      <c r="P26" t="n">
        <v>0</v>
      </c>
      <c r="Q26" t="n">
        <v>0</v>
      </c>
      <c r="R26" s="2" t="inlineStr"/>
    </row>
    <row r="27" ht="15" customHeight="1">
      <c r="A27" t="inlineStr">
        <is>
          <t>A 19303-2024</t>
        </is>
      </c>
      <c r="B27" s="1" t="n">
        <v>45428.70386574074</v>
      </c>
      <c r="C27" s="1" t="n">
        <v>45941</v>
      </c>
      <c r="D27" t="inlineStr">
        <is>
          <t>UPPSALA LÄN</t>
        </is>
      </c>
      <c r="E27" t="inlineStr">
        <is>
          <t>ÄLVKARLEBY</t>
        </is>
      </c>
      <c r="G27" t="n">
        <v>0.4</v>
      </c>
      <c r="H27" t="n">
        <v>0</v>
      </c>
      <c r="I27" t="n">
        <v>0</v>
      </c>
      <c r="J27" t="n">
        <v>0</v>
      </c>
      <c r="K27" t="n">
        <v>0</v>
      </c>
      <c r="L27" t="n">
        <v>0</v>
      </c>
      <c r="M27" t="n">
        <v>0</v>
      </c>
      <c r="N27" t="n">
        <v>0</v>
      </c>
      <c r="O27" t="n">
        <v>0</v>
      </c>
      <c r="P27" t="n">
        <v>0</v>
      </c>
      <c r="Q27" t="n">
        <v>0</v>
      </c>
      <c r="R27" s="2" t="inlineStr"/>
    </row>
    <row r="28" ht="15" customHeight="1">
      <c r="A28" t="inlineStr">
        <is>
          <t>A 41272-2023</t>
        </is>
      </c>
      <c r="B28" s="1" t="n">
        <v>45174</v>
      </c>
      <c r="C28" s="1" t="n">
        <v>45941</v>
      </c>
      <c r="D28" t="inlineStr">
        <is>
          <t>UPPSALA LÄN</t>
        </is>
      </c>
      <c r="E28" t="inlineStr">
        <is>
          <t>ÄLVKARLEBY</t>
        </is>
      </c>
      <c r="F28" t="inlineStr">
        <is>
          <t>Bergvik skog väst AB</t>
        </is>
      </c>
      <c r="G28" t="n">
        <v>0.9</v>
      </c>
      <c r="H28" t="n">
        <v>0</v>
      </c>
      <c r="I28" t="n">
        <v>0</v>
      </c>
      <c r="J28" t="n">
        <v>0</v>
      </c>
      <c r="K28" t="n">
        <v>0</v>
      </c>
      <c r="L28" t="n">
        <v>0</v>
      </c>
      <c r="M28" t="n">
        <v>0</v>
      </c>
      <c r="N28" t="n">
        <v>0</v>
      </c>
      <c r="O28" t="n">
        <v>0</v>
      </c>
      <c r="P28" t="n">
        <v>0</v>
      </c>
      <c r="Q28" t="n">
        <v>0</v>
      </c>
      <c r="R28" s="2" t="inlineStr"/>
    </row>
    <row r="29" ht="15" customHeight="1">
      <c r="A29" t="inlineStr">
        <is>
          <t>A 2183-2024</t>
        </is>
      </c>
      <c r="B29" s="1" t="n">
        <v>45309</v>
      </c>
      <c r="C29" s="1" t="n">
        <v>45941</v>
      </c>
      <c r="D29" t="inlineStr">
        <is>
          <t>UPPSALA LÄN</t>
        </is>
      </c>
      <c r="E29" t="inlineStr">
        <is>
          <t>ÄLVKARLEBY</t>
        </is>
      </c>
      <c r="G29" t="n">
        <v>0.5</v>
      </c>
      <c r="H29" t="n">
        <v>0</v>
      </c>
      <c r="I29" t="n">
        <v>0</v>
      </c>
      <c r="J29" t="n">
        <v>0</v>
      </c>
      <c r="K29" t="n">
        <v>0</v>
      </c>
      <c r="L29" t="n">
        <v>0</v>
      </c>
      <c r="M29" t="n">
        <v>0</v>
      </c>
      <c r="N29" t="n">
        <v>0</v>
      </c>
      <c r="O29" t="n">
        <v>0</v>
      </c>
      <c r="P29" t="n">
        <v>0</v>
      </c>
      <c r="Q29" t="n">
        <v>0</v>
      </c>
      <c r="R29" s="2" t="inlineStr"/>
    </row>
    <row r="30" ht="15" customHeight="1">
      <c r="A30" t="inlineStr">
        <is>
          <t>A 15739-2025</t>
        </is>
      </c>
      <c r="B30" s="1" t="n">
        <v>45748.54612268518</v>
      </c>
      <c r="C30" s="1" t="n">
        <v>45941</v>
      </c>
      <c r="D30" t="inlineStr">
        <is>
          <t>UPPSALA LÄN</t>
        </is>
      </c>
      <c r="E30" t="inlineStr">
        <is>
          <t>ÄLVKARLEBY</t>
        </is>
      </c>
      <c r="F30" t="inlineStr">
        <is>
          <t>Kyrkan</t>
        </is>
      </c>
      <c r="G30" t="n">
        <v>2.4</v>
      </c>
      <c r="H30" t="n">
        <v>0</v>
      </c>
      <c r="I30" t="n">
        <v>0</v>
      </c>
      <c r="J30" t="n">
        <v>0</v>
      </c>
      <c r="K30" t="n">
        <v>0</v>
      </c>
      <c r="L30" t="n">
        <v>0</v>
      </c>
      <c r="M30" t="n">
        <v>0</v>
      </c>
      <c r="N30" t="n">
        <v>0</v>
      </c>
      <c r="O30" t="n">
        <v>0</v>
      </c>
      <c r="P30" t="n">
        <v>0</v>
      </c>
      <c r="Q30" t="n">
        <v>0</v>
      </c>
      <c r="R30" s="2" t="inlineStr"/>
    </row>
    <row r="31" ht="15" customHeight="1">
      <c r="A31" t="inlineStr">
        <is>
          <t>A 26670-2025</t>
        </is>
      </c>
      <c r="B31" s="1" t="n">
        <v>45810.41489583333</v>
      </c>
      <c r="C31" s="1" t="n">
        <v>45941</v>
      </c>
      <c r="D31" t="inlineStr">
        <is>
          <t>UPPSALA LÄN</t>
        </is>
      </c>
      <c r="E31" t="inlineStr">
        <is>
          <t>ÄLVKARLEBY</t>
        </is>
      </c>
      <c r="F31" t="inlineStr">
        <is>
          <t>Bergvik skog väst AB</t>
        </is>
      </c>
      <c r="G31" t="n">
        <v>1.1</v>
      </c>
      <c r="H31" t="n">
        <v>0</v>
      </c>
      <c r="I31" t="n">
        <v>0</v>
      </c>
      <c r="J31" t="n">
        <v>0</v>
      </c>
      <c r="K31" t="n">
        <v>0</v>
      </c>
      <c r="L31" t="n">
        <v>0</v>
      </c>
      <c r="M31" t="n">
        <v>0</v>
      </c>
      <c r="N31" t="n">
        <v>0</v>
      </c>
      <c r="O31" t="n">
        <v>0</v>
      </c>
      <c r="P31" t="n">
        <v>0</v>
      </c>
      <c r="Q31" t="n">
        <v>0</v>
      </c>
      <c r="R31" s="2" t="inlineStr"/>
    </row>
    <row r="32" ht="15" customHeight="1">
      <c r="A32" t="inlineStr">
        <is>
          <t>A 26668-2025</t>
        </is>
      </c>
      <c r="B32" s="1" t="n">
        <v>45810.41017361111</v>
      </c>
      <c r="C32" s="1" t="n">
        <v>45941</v>
      </c>
      <c r="D32" t="inlineStr">
        <is>
          <t>UPPSALA LÄN</t>
        </is>
      </c>
      <c r="E32" t="inlineStr">
        <is>
          <t>ÄLVKARLEBY</t>
        </is>
      </c>
      <c r="F32" t="inlineStr">
        <is>
          <t>Bergvik skog väst AB</t>
        </is>
      </c>
      <c r="G32" t="n">
        <v>2.6</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45941</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38226-2023</t>
        </is>
      </c>
      <c r="B34" s="1" t="n">
        <v>45161</v>
      </c>
      <c r="C34" s="1" t="n">
        <v>45941</v>
      </c>
      <c r="D34" t="inlineStr">
        <is>
          <t>UPPSALA LÄN</t>
        </is>
      </c>
      <c r="E34" t="inlineStr">
        <is>
          <t>ÄLVKARLEBY</t>
        </is>
      </c>
      <c r="F34" t="inlineStr">
        <is>
          <t>Bergvik skog väst AB</t>
        </is>
      </c>
      <c r="G34" t="n">
        <v>4.5</v>
      </c>
      <c r="H34" t="n">
        <v>0</v>
      </c>
      <c r="I34" t="n">
        <v>0</v>
      </c>
      <c r="J34" t="n">
        <v>0</v>
      </c>
      <c r="K34" t="n">
        <v>0</v>
      </c>
      <c r="L34" t="n">
        <v>0</v>
      </c>
      <c r="M34" t="n">
        <v>0</v>
      </c>
      <c r="N34" t="n">
        <v>0</v>
      </c>
      <c r="O34" t="n">
        <v>0</v>
      </c>
      <c r="P34" t="n">
        <v>0</v>
      </c>
      <c r="Q34" t="n">
        <v>0</v>
      </c>
      <c r="R34" s="2" t="inlineStr"/>
    </row>
    <row r="35" ht="15" customHeight="1">
      <c r="A35" t="inlineStr">
        <is>
          <t>A 19304-2024</t>
        </is>
      </c>
      <c r="B35" s="1" t="n">
        <v>45428</v>
      </c>
      <c r="C35" s="1" t="n">
        <v>45941</v>
      </c>
      <c r="D35" t="inlineStr">
        <is>
          <t>UPPSALA LÄN</t>
        </is>
      </c>
      <c r="E35" t="inlineStr">
        <is>
          <t>ÄLVKARLEBY</t>
        </is>
      </c>
      <c r="G35" t="n">
        <v>0.2</v>
      </c>
      <c r="H35" t="n">
        <v>0</v>
      </c>
      <c r="I35" t="n">
        <v>0</v>
      </c>
      <c r="J35" t="n">
        <v>0</v>
      </c>
      <c r="K35" t="n">
        <v>0</v>
      </c>
      <c r="L35" t="n">
        <v>0</v>
      </c>
      <c r="M35" t="n">
        <v>0</v>
      </c>
      <c r="N35" t="n">
        <v>0</v>
      </c>
      <c r="O35" t="n">
        <v>0</v>
      </c>
      <c r="P35" t="n">
        <v>0</v>
      </c>
      <c r="Q35" t="n">
        <v>0</v>
      </c>
      <c r="R35" s="2" t="inlineStr"/>
    </row>
    <row r="36" ht="15" customHeight="1">
      <c r="A36" t="inlineStr">
        <is>
          <t>A 27743-2025</t>
        </is>
      </c>
      <c r="B36" s="1" t="n">
        <v>45815.53981481482</v>
      </c>
      <c r="C36" s="1" t="n">
        <v>45941</v>
      </c>
      <c r="D36" t="inlineStr">
        <is>
          <t>UPPSALA LÄN</t>
        </is>
      </c>
      <c r="E36" t="inlineStr">
        <is>
          <t>ÄLVKARLEBY</t>
        </is>
      </c>
      <c r="F36" t="inlineStr">
        <is>
          <t>Bergvik skog väst AB</t>
        </is>
      </c>
      <c r="G36" t="n">
        <v>1.1</v>
      </c>
      <c r="H36" t="n">
        <v>0</v>
      </c>
      <c r="I36" t="n">
        <v>0</v>
      </c>
      <c r="J36" t="n">
        <v>0</v>
      </c>
      <c r="K36" t="n">
        <v>0</v>
      </c>
      <c r="L36" t="n">
        <v>0</v>
      </c>
      <c r="M36" t="n">
        <v>0</v>
      </c>
      <c r="N36" t="n">
        <v>0</v>
      </c>
      <c r="O36" t="n">
        <v>0</v>
      </c>
      <c r="P36" t="n">
        <v>0</v>
      </c>
      <c r="Q36" t="n">
        <v>0</v>
      </c>
      <c r="R36" s="2" t="inlineStr"/>
    </row>
    <row r="37" ht="15" customHeight="1">
      <c r="A37" t="inlineStr">
        <is>
          <t>A 27742-2025</t>
        </is>
      </c>
      <c r="B37" s="1" t="n">
        <v>45815.53724537037</v>
      </c>
      <c r="C37" s="1" t="n">
        <v>45941</v>
      </c>
      <c r="D37" t="inlineStr">
        <is>
          <t>UPPSALA LÄN</t>
        </is>
      </c>
      <c r="E37" t="inlineStr">
        <is>
          <t>ÄLVKARLEBY</t>
        </is>
      </c>
      <c r="F37" t="inlineStr">
        <is>
          <t>Bergvik skog väst AB</t>
        </is>
      </c>
      <c r="G37" t="n">
        <v>1.4</v>
      </c>
      <c r="H37" t="n">
        <v>0</v>
      </c>
      <c r="I37" t="n">
        <v>0</v>
      </c>
      <c r="J37" t="n">
        <v>0</v>
      </c>
      <c r="K37" t="n">
        <v>0</v>
      </c>
      <c r="L37" t="n">
        <v>0</v>
      </c>
      <c r="M37" t="n">
        <v>0</v>
      </c>
      <c r="N37" t="n">
        <v>0</v>
      </c>
      <c r="O37" t="n">
        <v>0</v>
      </c>
      <c r="P37" t="n">
        <v>0</v>
      </c>
      <c r="Q37" t="n">
        <v>0</v>
      </c>
      <c r="R37" s="2" t="inlineStr"/>
    </row>
    <row r="38" ht="15" customHeight="1">
      <c r="A38" t="inlineStr">
        <is>
          <t>A 27741-2025</t>
        </is>
      </c>
      <c r="B38" s="1" t="n">
        <v>45815.5346875</v>
      </c>
      <c r="C38" s="1" t="n">
        <v>45941</v>
      </c>
      <c r="D38" t="inlineStr">
        <is>
          <t>UPPSALA LÄN</t>
        </is>
      </c>
      <c r="E38" t="inlineStr">
        <is>
          <t>ÄLVKARLEBY</t>
        </is>
      </c>
      <c r="F38" t="inlineStr">
        <is>
          <t>Bergvik skog väst AB</t>
        </is>
      </c>
      <c r="G38" t="n">
        <v>4.4</v>
      </c>
      <c r="H38" t="n">
        <v>0</v>
      </c>
      <c r="I38" t="n">
        <v>0</v>
      </c>
      <c r="J38" t="n">
        <v>0</v>
      </c>
      <c r="K38" t="n">
        <v>0</v>
      </c>
      <c r="L38" t="n">
        <v>0</v>
      </c>
      <c r="M38" t="n">
        <v>0</v>
      </c>
      <c r="N38" t="n">
        <v>0</v>
      </c>
      <c r="O38" t="n">
        <v>0</v>
      </c>
      <c r="P38" t="n">
        <v>0</v>
      </c>
      <c r="Q38" t="n">
        <v>0</v>
      </c>
      <c r="R38" s="2" t="inlineStr"/>
    </row>
    <row r="39" ht="15" customHeight="1">
      <c r="A39" t="inlineStr">
        <is>
          <t>A 28670-2025</t>
        </is>
      </c>
      <c r="B39" s="1" t="n">
        <v>45819.67130787037</v>
      </c>
      <c r="C39" s="1" t="n">
        <v>45941</v>
      </c>
      <c r="D39" t="inlineStr">
        <is>
          <t>UPPSALA LÄN</t>
        </is>
      </c>
      <c r="E39" t="inlineStr">
        <is>
          <t>ÄLVKARLEBY</t>
        </is>
      </c>
      <c r="F39" t="inlineStr">
        <is>
          <t>Bergvik skog väst AB</t>
        </is>
      </c>
      <c r="G39" t="n">
        <v>1.6</v>
      </c>
      <c r="H39" t="n">
        <v>0</v>
      </c>
      <c r="I39" t="n">
        <v>0</v>
      </c>
      <c r="J39" t="n">
        <v>0</v>
      </c>
      <c r="K39" t="n">
        <v>0</v>
      </c>
      <c r="L39" t="n">
        <v>0</v>
      </c>
      <c r="M39" t="n">
        <v>0</v>
      </c>
      <c r="N39" t="n">
        <v>0</v>
      </c>
      <c r="O39" t="n">
        <v>0</v>
      </c>
      <c r="P39" t="n">
        <v>0</v>
      </c>
      <c r="Q39" t="n">
        <v>0</v>
      </c>
      <c r="R39" s="2" t="inlineStr"/>
    </row>
    <row r="40" ht="15" customHeight="1">
      <c r="A40" t="inlineStr">
        <is>
          <t>A 28668-2025</t>
        </is>
      </c>
      <c r="B40" s="1" t="n">
        <v>45819.66650462963</v>
      </c>
      <c r="C40" s="1" t="n">
        <v>45941</v>
      </c>
      <c r="D40" t="inlineStr">
        <is>
          <t>UPPSALA LÄN</t>
        </is>
      </c>
      <c r="E40" t="inlineStr">
        <is>
          <t>ÄLVKARLEBY</t>
        </is>
      </c>
      <c r="F40" t="inlineStr">
        <is>
          <t>Bergvik skog väst AB</t>
        </is>
      </c>
      <c r="G40" t="n">
        <v>8.300000000000001</v>
      </c>
      <c r="H40" t="n">
        <v>0</v>
      </c>
      <c r="I40" t="n">
        <v>0</v>
      </c>
      <c r="J40" t="n">
        <v>0</v>
      </c>
      <c r="K40" t="n">
        <v>0</v>
      </c>
      <c r="L40" t="n">
        <v>0</v>
      </c>
      <c r="M40" t="n">
        <v>0</v>
      </c>
      <c r="N40" t="n">
        <v>0</v>
      </c>
      <c r="O40" t="n">
        <v>0</v>
      </c>
      <c r="P40" t="n">
        <v>0</v>
      </c>
      <c r="Q40" t="n">
        <v>0</v>
      </c>
      <c r="R40" s="2" t="inlineStr"/>
    </row>
    <row r="41" ht="15" customHeight="1">
      <c r="A41" t="inlineStr">
        <is>
          <t>A 30483-2025</t>
        </is>
      </c>
      <c r="B41" s="1" t="n">
        <v>45828.68988425926</v>
      </c>
      <c r="C41" s="1" t="n">
        <v>45941</v>
      </c>
      <c r="D41" t="inlineStr">
        <is>
          <t>UPPSALA LÄN</t>
        </is>
      </c>
      <c r="E41" t="inlineStr">
        <is>
          <t>ÄLVKARLEBY</t>
        </is>
      </c>
      <c r="F41" t="inlineStr">
        <is>
          <t>Bergvik skog väst AB</t>
        </is>
      </c>
      <c r="G41" t="n">
        <v>1.8</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45941</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30944-2025</t>
        </is>
      </c>
      <c r="B43" s="1" t="n">
        <v>45832.41182870371</v>
      </c>
      <c r="C43" s="1" t="n">
        <v>45941</v>
      </c>
      <c r="D43" t="inlineStr">
        <is>
          <t>UPPSALA LÄN</t>
        </is>
      </c>
      <c r="E43" t="inlineStr">
        <is>
          <t>ÄLVKARLEBY</t>
        </is>
      </c>
      <c r="F43" t="inlineStr">
        <is>
          <t>Bergvik skog öst AB</t>
        </is>
      </c>
      <c r="G43" t="n">
        <v>3.4</v>
      </c>
      <c r="H43" t="n">
        <v>0</v>
      </c>
      <c r="I43" t="n">
        <v>0</v>
      </c>
      <c r="J43" t="n">
        <v>0</v>
      </c>
      <c r="K43" t="n">
        <v>0</v>
      </c>
      <c r="L43" t="n">
        <v>0</v>
      </c>
      <c r="M43" t="n">
        <v>0</v>
      </c>
      <c r="N43" t="n">
        <v>0</v>
      </c>
      <c r="O43" t="n">
        <v>0</v>
      </c>
      <c r="P43" t="n">
        <v>0</v>
      </c>
      <c r="Q43" t="n">
        <v>0</v>
      </c>
      <c r="R43" s="2" t="inlineStr"/>
    </row>
    <row r="44" ht="15" customHeight="1">
      <c r="A44" t="inlineStr">
        <is>
          <t>A 30936-2025</t>
        </is>
      </c>
      <c r="B44" s="1" t="n">
        <v>45832.40586805555</v>
      </c>
      <c r="C44" s="1" t="n">
        <v>45941</v>
      </c>
      <c r="D44" t="inlineStr">
        <is>
          <t>UPPSALA LÄN</t>
        </is>
      </c>
      <c r="E44" t="inlineStr">
        <is>
          <t>ÄLVKARLEBY</t>
        </is>
      </c>
      <c r="F44" t="inlineStr">
        <is>
          <t>Bergvik skog öst AB</t>
        </is>
      </c>
      <c r="G44" t="n">
        <v>7.2</v>
      </c>
      <c r="H44" t="n">
        <v>0</v>
      </c>
      <c r="I44" t="n">
        <v>0</v>
      </c>
      <c r="J44" t="n">
        <v>0</v>
      </c>
      <c r="K44" t="n">
        <v>0</v>
      </c>
      <c r="L44" t="n">
        <v>0</v>
      </c>
      <c r="M44" t="n">
        <v>0</v>
      </c>
      <c r="N44" t="n">
        <v>0</v>
      </c>
      <c r="O44" t="n">
        <v>0</v>
      </c>
      <c r="P44" t="n">
        <v>0</v>
      </c>
      <c r="Q44" t="n">
        <v>0</v>
      </c>
      <c r="R44" s="2" t="inlineStr"/>
    </row>
    <row r="45" ht="15" customHeight="1">
      <c r="A45" t="inlineStr">
        <is>
          <t>A 16990-2022</t>
        </is>
      </c>
      <c r="B45" s="1" t="n">
        <v>44676.6122337963</v>
      </c>
      <c r="C45" s="1" t="n">
        <v>45941</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32221-2025</t>
        </is>
      </c>
      <c r="B46" s="1" t="n">
        <v>45835.5909837963</v>
      </c>
      <c r="C46" s="1" t="n">
        <v>45941</v>
      </c>
      <c r="D46" t="inlineStr">
        <is>
          <t>UPPSALA LÄN</t>
        </is>
      </c>
      <c r="E46" t="inlineStr">
        <is>
          <t>ÄLVKARLEBY</t>
        </is>
      </c>
      <c r="F46" t="inlineStr">
        <is>
          <t>Bergvik skog väst AB</t>
        </is>
      </c>
      <c r="G46" t="n">
        <v>1.5</v>
      </c>
      <c r="H46" t="n">
        <v>0</v>
      </c>
      <c r="I46" t="n">
        <v>0</v>
      </c>
      <c r="J46" t="n">
        <v>0</v>
      </c>
      <c r="K46" t="n">
        <v>0</v>
      </c>
      <c r="L46" t="n">
        <v>0</v>
      </c>
      <c r="M46" t="n">
        <v>0</v>
      </c>
      <c r="N46" t="n">
        <v>0</v>
      </c>
      <c r="O46" t="n">
        <v>0</v>
      </c>
      <c r="P46" t="n">
        <v>0</v>
      </c>
      <c r="Q46" t="n">
        <v>0</v>
      </c>
      <c r="R46" s="2" t="inlineStr"/>
    </row>
    <row r="47" ht="15" customHeight="1">
      <c r="A47" t="inlineStr">
        <is>
          <t>A 32203-2025</t>
        </is>
      </c>
      <c r="B47" s="1" t="n">
        <v>45835.57951388889</v>
      </c>
      <c r="C47" s="1" t="n">
        <v>45941</v>
      </c>
      <c r="D47" t="inlineStr">
        <is>
          <t>UPPSALA LÄN</t>
        </is>
      </c>
      <c r="E47" t="inlineStr">
        <is>
          <t>ÄLVKARLEBY</t>
        </is>
      </c>
      <c r="F47" t="inlineStr">
        <is>
          <t>Bergvik skog väst AB</t>
        </is>
      </c>
      <c r="G47" t="n">
        <v>0.8</v>
      </c>
      <c r="H47" t="n">
        <v>0</v>
      </c>
      <c r="I47" t="n">
        <v>0</v>
      </c>
      <c r="J47" t="n">
        <v>0</v>
      </c>
      <c r="K47" t="n">
        <v>0</v>
      </c>
      <c r="L47" t="n">
        <v>0</v>
      </c>
      <c r="M47" t="n">
        <v>0</v>
      </c>
      <c r="N47" t="n">
        <v>0</v>
      </c>
      <c r="O47" t="n">
        <v>0</v>
      </c>
      <c r="P47" t="n">
        <v>0</v>
      </c>
      <c r="Q47" t="n">
        <v>0</v>
      </c>
      <c r="R47" s="2" t="inlineStr"/>
    </row>
    <row r="48" ht="15" customHeight="1">
      <c r="A48" t="inlineStr">
        <is>
          <t>A 32186-2025</t>
        </is>
      </c>
      <c r="B48" s="1" t="n">
        <v>45835.5667824074</v>
      </c>
      <c r="C48" s="1" t="n">
        <v>45941</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32187-2025</t>
        </is>
      </c>
      <c r="B49" s="1" t="n">
        <v>45835.56949074074</v>
      </c>
      <c r="C49" s="1" t="n">
        <v>45941</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32212-2025</t>
        </is>
      </c>
      <c r="B50" s="1" t="n">
        <v>45835.58509259259</v>
      </c>
      <c r="C50" s="1" t="n">
        <v>45941</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11553-2021</t>
        </is>
      </c>
      <c r="B51" s="1" t="n">
        <v>44264.48725694444</v>
      </c>
      <c r="C51" s="1" t="n">
        <v>45941</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43285-2023</t>
        </is>
      </c>
      <c r="B52" s="1" t="n">
        <v>45183.5630787037</v>
      </c>
      <c r="C52" s="1" t="n">
        <v>45941</v>
      </c>
      <c r="D52" t="inlineStr">
        <is>
          <t>UPPSALA LÄN</t>
        </is>
      </c>
      <c r="E52" t="inlineStr">
        <is>
          <t>ÄLVKARLEBY</t>
        </is>
      </c>
      <c r="F52" t="inlineStr">
        <is>
          <t>Bergvik skog väst AB</t>
        </is>
      </c>
      <c r="G52" t="n">
        <v>1.3</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45941</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3950-2025</t>
        </is>
      </c>
      <c r="B54" s="1" t="n">
        <v>45684</v>
      </c>
      <c r="C54" s="1" t="n">
        <v>45941</v>
      </c>
      <c r="D54" t="inlineStr">
        <is>
          <t>UPPSALA LÄN</t>
        </is>
      </c>
      <c r="E54" t="inlineStr">
        <is>
          <t>ÄLVKARLEBY</t>
        </is>
      </c>
      <c r="G54" t="n">
        <v>3.1</v>
      </c>
      <c r="H54" t="n">
        <v>0</v>
      </c>
      <c r="I54" t="n">
        <v>0</v>
      </c>
      <c r="J54" t="n">
        <v>0</v>
      </c>
      <c r="K54" t="n">
        <v>0</v>
      </c>
      <c r="L54" t="n">
        <v>0</v>
      </c>
      <c r="M54" t="n">
        <v>0</v>
      </c>
      <c r="N54" t="n">
        <v>0</v>
      </c>
      <c r="O54" t="n">
        <v>0</v>
      </c>
      <c r="P54" t="n">
        <v>0</v>
      </c>
      <c r="Q54" t="n">
        <v>0</v>
      </c>
      <c r="R54" s="2" t="inlineStr"/>
    </row>
    <row r="55" ht="15" customHeight="1">
      <c r="A55" t="inlineStr">
        <is>
          <t>A 41847-2025</t>
        </is>
      </c>
      <c r="B55" s="1" t="n">
        <v>45902.75265046296</v>
      </c>
      <c r="C55" s="1" t="n">
        <v>45941</v>
      </c>
      <c r="D55" t="inlineStr">
        <is>
          <t>UPPSALA LÄN</t>
        </is>
      </c>
      <c r="E55" t="inlineStr">
        <is>
          <t>ÄLVKARLEBY</t>
        </is>
      </c>
      <c r="F55" t="inlineStr">
        <is>
          <t>Bergvik skog väst AB</t>
        </is>
      </c>
      <c r="G55" t="n">
        <v>3.6</v>
      </c>
      <c r="H55" t="n">
        <v>0</v>
      </c>
      <c r="I55" t="n">
        <v>0</v>
      </c>
      <c r="J55" t="n">
        <v>0</v>
      </c>
      <c r="K55" t="n">
        <v>0</v>
      </c>
      <c r="L55" t="n">
        <v>0</v>
      </c>
      <c r="M55" t="n">
        <v>0</v>
      </c>
      <c r="N55" t="n">
        <v>0</v>
      </c>
      <c r="O55" t="n">
        <v>0</v>
      </c>
      <c r="P55" t="n">
        <v>0</v>
      </c>
      <c r="Q55" t="n">
        <v>0</v>
      </c>
      <c r="R55" s="2" t="inlineStr"/>
    </row>
    <row r="56" ht="15" customHeight="1">
      <c r="A56" t="inlineStr">
        <is>
          <t>A 41615-2025</t>
        </is>
      </c>
      <c r="B56" s="1" t="n">
        <v>45901.69556712963</v>
      </c>
      <c r="C56" s="1" t="n">
        <v>45941</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8030-2025</t>
        </is>
      </c>
      <c r="B57" s="1" t="n">
        <v>45707.59064814815</v>
      </c>
      <c r="C57" s="1" t="n">
        <v>45941</v>
      </c>
      <c r="D57" t="inlineStr">
        <is>
          <t>UPPSALA LÄN</t>
        </is>
      </c>
      <c r="E57" t="inlineStr">
        <is>
          <t>ÄLVKARLEBY</t>
        </is>
      </c>
      <c r="F57" t="inlineStr">
        <is>
          <t>Bergvik skog väst AB</t>
        </is>
      </c>
      <c r="G57" t="n">
        <v>3.6</v>
      </c>
      <c r="H57" t="n">
        <v>0</v>
      </c>
      <c r="I57" t="n">
        <v>0</v>
      </c>
      <c r="J57" t="n">
        <v>0</v>
      </c>
      <c r="K57" t="n">
        <v>0</v>
      </c>
      <c r="L57" t="n">
        <v>0</v>
      </c>
      <c r="M57" t="n">
        <v>0</v>
      </c>
      <c r="N57" t="n">
        <v>0</v>
      </c>
      <c r="O57" t="n">
        <v>0</v>
      </c>
      <c r="P57" t="n">
        <v>0</v>
      </c>
      <c r="Q57" t="n">
        <v>0</v>
      </c>
      <c r="R57" s="2" t="inlineStr"/>
    </row>
    <row r="58" ht="15" customHeight="1">
      <c r="A58" t="inlineStr">
        <is>
          <t>A 26664-2025</t>
        </is>
      </c>
      <c r="B58" s="1" t="n">
        <v>45810</v>
      </c>
      <c r="C58" s="1" t="n">
        <v>45941</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36626-2025</t>
        </is>
      </c>
      <c r="B59" s="1" t="n">
        <v>45870.66732638889</v>
      </c>
      <c r="C59" s="1" t="n">
        <v>45941</v>
      </c>
      <c r="D59" t="inlineStr">
        <is>
          <t>UPPSALA LÄN</t>
        </is>
      </c>
      <c r="E59" t="inlineStr">
        <is>
          <t>ÄLVKARLEBY</t>
        </is>
      </c>
      <c r="F59" t="inlineStr">
        <is>
          <t>Bergvik skog väst AB</t>
        </is>
      </c>
      <c r="G59" t="n">
        <v>2.7</v>
      </c>
      <c r="H59" t="n">
        <v>0</v>
      </c>
      <c r="I59" t="n">
        <v>0</v>
      </c>
      <c r="J59" t="n">
        <v>0</v>
      </c>
      <c r="K59" t="n">
        <v>0</v>
      </c>
      <c r="L59" t="n">
        <v>0</v>
      </c>
      <c r="M59" t="n">
        <v>0</v>
      </c>
      <c r="N59" t="n">
        <v>0</v>
      </c>
      <c r="O59" t="n">
        <v>0</v>
      </c>
      <c r="P59" t="n">
        <v>0</v>
      </c>
      <c r="Q59" t="n">
        <v>0</v>
      </c>
      <c r="R59" s="2" t="inlineStr"/>
    </row>
    <row r="60" ht="15" customHeight="1">
      <c r="A60" t="inlineStr">
        <is>
          <t>A 43662-2025</t>
        </is>
      </c>
      <c r="B60" s="1" t="n">
        <v>45912.34446759259</v>
      </c>
      <c r="C60" s="1" t="n">
        <v>45941</v>
      </c>
      <c r="D60" t="inlineStr">
        <is>
          <t>UPPSALA LÄN</t>
        </is>
      </c>
      <c r="E60" t="inlineStr">
        <is>
          <t>ÄLVKARLEBY</t>
        </is>
      </c>
      <c r="F60" t="inlineStr">
        <is>
          <t>Kyrkan</t>
        </is>
      </c>
      <c r="G60" t="n">
        <v>4.5</v>
      </c>
      <c r="H60" t="n">
        <v>0</v>
      </c>
      <c r="I60" t="n">
        <v>0</v>
      </c>
      <c r="J60" t="n">
        <v>0</v>
      </c>
      <c r="K60" t="n">
        <v>0</v>
      </c>
      <c r="L60" t="n">
        <v>0</v>
      </c>
      <c r="M60" t="n">
        <v>0</v>
      </c>
      <c r="N60" t="n">
        <v>0</v>
      </c>
      <c r="O60" t="n">
        <v>0</v>
      </c>
      <c r="P60" t="n">
        <v>0</v>
      </c>
      <c r="Q60" t="n">
        <v>0</v>
      </c>
      <c r="R60" s="2" t="inlineStr"/>
    </row>
    <row r="61" ht="15" customHeight="1">
      <c r="A61" t="inlineStr">
        <is>
          <t>A 43577-2025</t>
        </is>
      </c>
      <c r="B61" s="1" t="n">
        <v>45911.64219907407</v>
      </c>
      <c r="C61" s="1" t="n">
        <v>45941</v>
      </c>
      <c r="D61" t="inlineStr">
        <is>
          <t>UPPSALA LÄN</t>
        </is>
      </c>
      <c r="E61" t="inlineStr">
        <is>
          <t>ÄLVKARLEBY</t>
        </is>
      </c>
      <c r="F61" t="inlineStr">
        <is>
          <t>Bergvik skog väst AB</t>
        </is>
      </c>
      <c r="G61" t="n">
        <v>3</v>
      </c>
      <c r="H61" t="n">
        <v>0</v>
      </c>
      <c r="I61" t="n">
        <v>0</v>
      </c>
      <c r="J61" t="n">
        <v>0</v>
      </c>
      <c r="K61" t="n">
        <v>0</v>
      </c>
      <c r="L61" t="n">
        <v>0</v>
      </c>
      <c r="M61" t="n">
        <v>0</v>
      </c>
      <c r="N61" t="n">
        <v>0</v>
      </c>
      <c r="O61" t="n">
        <v>0</v>
      </c>
      <c r="P61" t="n">
        <v>0</v>
      </c>
      <c r="Q61" t="n">
        <v>0</v>
      </c>
      <c r="R61" s="2" t="inlineStr"/>
    </row>
    <row r="62" ht="15" customHeight="1">
      <c r="A62" t="inlineStr">
        <is>
          <t>A 19703-2025</t>
        </is>
      </c>
      <c r="B62" s="1" t="n">
        <v>45771</v>
      </c>
      <c r="C62" s="1" t="n">
        <v>45941</v>
      </c>
      <c r="D62" t="inlineStr">
        <is>
          <t>UPPSALA LÄN</t>
        </is>
      </c>
      <c r="E62" t="inlineStr">
        <is>
          <t>ÄLVKARLEBY</t>
        </is>
      </c>
      <c r="F62" t="inlineStr">
        <is>
          <t>Bergvik skog väst AB</t>
        </is>
      </c>
      <c r="G62" t="n">
        <v>3.8</v>
      </c>
      <c r="H62" t="n">
        <v>0</v>
      </c>
      <c r="I62" t="n">
        <v>0</v>
      </c>
      <c r="J62" t="n">
        <v>0</v>
      </c>
      <c r="K62" t="n">
        <v>0</v>
      </c>
      <c r="L62" t="n">
        <v>0</v>
      </c>
      <c r="M62" t="n">
        <v>0</v>
      </c>
      <c r="N62" t="n">
        <v>0</v>
      </c>
      <c r="O62" t="n">
        <v>0</v>
      </c>
      <c r="P62" t="n">
        <v>0</v>
      </c>
      <c r="Q62" t="n">
        <v>0</v>
      </c>
      <c r="R62" s="2" t="inlineStr"/>
    </row>
    <row r="63" ht="15" customHeight="1">
      <c r="A63" t="inlineStr">
        <is>
          <t>A 46113-2023</t>
        </is>
      </c>
      <c r="B63" s="1" t="n">
        <v>45196.54938657407</v>
      </c>
      <c r="C63" s="1" t="n">
        <v>45941</v>
      </c>
      <c r="D63" t="inlineStr">
        <is>
          <t>UPPSALA LÄN</t>
        </is>
      </c>
      <c r="E63" t="inlineStr">
        <is>
          <t>ÄLVKARLEBY</t>
        </is>
      </c>
      <c r="F63" t="inlineStr">
        <is>
          <t>Bergvik skog väst AB</t>
        </is>
      </c>
      <c r="G63" t="n">
        <v>0.6</v>
      </c>
      <c r="H63" t="n">
        <v>0</v>
      </c>
      <c r="I63" t="n">
        <v>0</v>
      </c>
      <c r="J63" t="n">
        <v>0</v>
      </c>
      <c r="K63" t="n">
        <v>0</v>
      </c>
      <c r="L63" t="n">
        <v>0</v>
      </c>
      <c r="M63" t="n">
        <v>0</v>
      </c>
      <c r="N63" t="n">
        <v>0</v>
      </c>
      <c r="O63" t="n">
        <v>0</v>
      </c>
      <c r="P63" t="n">
        <v>0</v>
      </c>
      <c r="Q63" t="n">
        <v>0</v>
      </c>
      <c r="R63" s="2" t="inlineStr"/>
    </row>
    <row r="64" ht="15" customHeight="1">
      <c r="A64" t="inlineStr">
        <is>
          <t>A 45033-2025</t>
        </is>
      </c>
      <c r="B64" s="1" t="n">
        <v>45918.70299768518</v>
      </c>
      <c r="C64" s="1" t="n">
        <v>45941</v>
      </c>
      <c r="D64" t="inlineStr">
        <is>
          <t>UPPSALA LÄN</t>
        </is>
      </c>
      <c r="E64" t="inlineStr">
        <is>
          <t>ÄLVKARLEBY</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45941</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41979-2024</t>
        </is>
      </c>
      <c r="B66" s="1" t="n">
        <v>45561</v>
      </c>
      <c r="C66" s="1" t="n">
        <v>45941</v>
      </c>
      <c r="D66" t="inlineStr">
        <is>
          <t>UPPSALA LÄN</t>
        </is>
      </c>
      <c r="E66" t="inlineStr">
        <is>
          <t>ÄLVKARLEBY</t>
        </is>
      </c>
      <c r="F66" t="inlineStr">
        <is>
          <t>Bergvik skog väst AB</t>
        </is>
      </c>
      <c r="G66" t="n">
        <v>2.8</v>
      </c>
      <c r="H66" t="n">
        <v>0</v>
      </c>
      <c r="I66" t="n">
        <v>0</v>
      </c>
      <c r="J66" t="n">
        <v>0</v>
      </c>
      <c r="K66" t="n">
        <v>0</v>
      </c>
      <c r="L66" t="n">
        <v>0</v>
      </c>
      <c r="M66" t="n">
        <v>0</v>
      </c>
      <c r="N66" t="n">
        <v>0</v>
      </c>
      <c r="O66" t="n">
        <v>0</v>
      </c>
      <c r="P66" t="n">
        <v>0</v>
      </c>
      <c r="Q66" t="n">
        <v>0</v>
      </c>
      <c r="R66" s="2" t="inlineStr"/>
    </row>
    <row r="67" ht="15" customHeight="1">
      <c r="A67" t="inlineStr">
        <is>
          <t>A 967-2021</t>
        </is>
      </c>
      <c r="B67" s="1" t="n">
        <v>44207</v>
      </c>
      <c r="C67" s="1" t="n">
        <v>45941</v>
      </c>
      <c r="D67" t="inlineStr">
        <is>
          <t>UPPSALA LÄN</t>
        </is>
      </c>
      <c r="E67" t="inlineStr">
        <is>
          <t>ÄLVKARLEBY</t>
        </is>
      </c>
      <c r="G67" t="n">
        <v>0.7</v>
      </c>
      <c r="H67" t="n">
        <v>0</v>
      </c>
      <c r="I67" t="n">
        <v>0</v>
      </c>
      <c r="J67" t="n">
        <v>0</v>
      </c>
      <c r="K67" t="n">
        <v>0</v>
      </c>
      <c r="L67" t="n">
        <v>0</v>
      </c>
      <c r="M67" t="n">
        <v>0</v>
      </c>
      <c r="N67" t="n">
        <v>0</v>
      </c>
      <c r="O67" t="n">
        <v>0</v>
      </c>
      <c r="P67" t="n">
        <v>0</v>
      </c>
      <c r="Q67" t="n">
        <v>0</v>
      </c>
      <c r="R67" s="2" t="inlineStr"/>
    </row>
    <row r="68" ht="15" customHeight="1">
      <c r="A68" t="inlineStr">
        <is>
          <t>A 14004-2025</t>
        </is>
      </c>
      <c r="B68" s="1" t="n">
        <v>45740.2997337963</v>
      </c>
      <c r="C68" s="1" t="n">
        <v>45941</v>
      </c>
      <c r="D68" t="inlineStr">
        <is>
          <t>UPPSALA LÄN</t>
        </is>
      </c>
      <c r="E68" t="inlineStr">
        <is>
          <t>ÄLVKARLEBY</t>
        </is>
      </c>
      <c r="F68" t="inlineStr">
        <is>
          <t>Bergvik skog öst AB</t>
        </is>
      </c>
      <c r="G68" t="n">
        <v>10.1</v>
      </c>
      <c r="H68" t="n">
        <v>0</v>
      </c>
      <c r="I68" t="n">
        <v>0</v>
      </c>
      <c r="J68" t="n">
        <v>0</v>
      </c>
      <c r="K68" t="n">
        <v>0</v>
      </c>
      <c r="L68" t="n">
        <v>0</v>
      </c>
      <c r="M68" t="n">
        <v>0</v>
      </c>
      <c r="N68" t="n">
        <v>0</v>
      </c>
      <c r="O68" t="n">
        <v>0</v>
      </c>
      <c r="P68" t="n">
        <v>0</v>
      </c>
      <c r="Q68" t="n">
        <v>0</v>
      </c>
      <c r="R68" s="2" t="inlineStr"/>
    </row>
    <row r="69" ht="15" customHeight="1">
      <c r="A69" t="inlineStr">
        <is>
          <t>A 45512-2025</t>
        </is>
      </c>
      <c r="B69" s="1" t="n">
        <v>45922.58106481482</v>
      </c>
      <c r="C69" s="1" t="n">
        <v>45941</v>
      </c>
      <c r="D69" t="inlineStr">
        <is>
          <t>UPPSALA LÄN</t>
        </is>
      </c>
      <c r="E69" t="inlineStr">
        <is>
          <t>ÄLVKARLEBY</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8031-2025</t>
        </is>
      </c>
      <c r="B70" s="1" t="n">
        <v>45707.59112268518</v>
      </c>
      <c r="C70" s="1" t="n">
        <v>45941</v>
      </c>
      <c r="D70" t="inlineStr">
        <is>
          <t>UPPSALA LÄN</t>
        </is>
      </c>
      <c r="E70" t="inlineStr">
        <is>
          <t>ÄLVKARLEBY</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45941</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26815-2022</t>
        </is>
      </c>
      <c r="B72" s="1" t="n">
        <v>44740.44644675926</v>
      </c>
      <c r="C72" s="1" t="n">
        <v>45941</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39791-2021</t>
        </is>
      </c>
      <c r="B73" s="1" t="n">
        <v>44417</v>
      </c>
      <c r="C73" s="1" t="n">
        <v>45941</v>
      </c>
      <c r="D73" t="inlineStr">
        <is>
          <t>UPPSALA LÄN</t>
        </is>
      </c>
      <c r="E73" t="inlineStr">
        <is>
          <t>ÄLVKARLEBY</t>
        </is>
      </c>
      <c r="G73" t="n">
        <v>1.8</v>
      </c>
      <c r="H73" t="n">
        <v>0</v>
      </c>
      <c r="I73" t="n">
        <v>0</v>
      </c>
      <c r="J73" t="n">
        <v>0</v>
      </c>
      <c r="K73" t="n">
        <v>0</v>
      </c>
      <c r="L73" t="n">
        <v>0</v>
      </c>
      <c r="M73" t="n">
        <v>0</v>
      </c>
      <c r="N73" t="n">
        <v>0</v>
      </c>
      <c r="O73" t="n">
        <v>0</v>
      </c>
      <c r="P73" t="n">
        <v>0</v>
      </c>
      <c r="Q73" t="n">
        <v>0</v>
      </c>
      <c r="R73" s="2" t="inlineStr"/>
    </row>
    <row r="74" ht="15" customHeight="1">
      <c r="A74" t="inlineStr">
        <is>
          <t>A 41276-2023</t>
        </is>
      </c>
      <c r="B74" s="1" t="n">
        <v>45174</v>
      </c>
      <c r="C74" s="1" t="n">
        <v>45941</v>
      </c>
      <c r="D74" t="inlineStr">
        <is>
          <t>UPPSALA LÄN</t>
        </is>
      </c>
      <c r="E74" t="inlineStr">
        <is>
          <t>ÄLVKARLEBY</t>
        </is>
      </c>
      <c r="F74" t="inlineStr">
        <is>
          <t>Bergvik skog väst AB</t>
        </is>
      </c>
      <c r="G74" t="n">
        <v>0.3</v>
      </c>
      <c r="H74" t="n">
        <v>0</v>
      </c>
      <c r="I74" t="n">
        <v>0</v>
      </c>
      <c r="J74" t="n">
        <v>0</v>
      </c>
      <c r="K74" t="n">
        <v>0</v>
      </c>
      <c r="L74" t="n">
        <v>0</v>
      </c>
      <c r="M74" t="n">
        <v>0</v>
      </c>
      <c r="N74" t="n">
        <v>0</v>
      </c>
      <c r="O74" t="n">
        <v>0</v>
      </c>
      <c r="P74" t="n">
        <v>0</v>
      </c>
      <c r="Q74" t="n">
        <v>0</v>
      </c>
      <c r="R74" s="2" t="inlineStr"/>
    </row>
    <row r="75" ht="15" customHeight="1">
      <c r="A75" t="inlineStr">
        <is>
          <t>A 46510-2025</t>
        </is>
      </c>
      <c r="B75" s="1" t="n">
        <v>45925.92368055556</v>
      </c>
      <c r="C75" s="1" t="n">
        <v>45941</v>
      </c>
      <c r="D75" t="inlineStr">
        <is>
          <t>UPPSALA LÄN</t>
        </is>
      </c>
      <c r="E75" t="inlineStr">
        <is>
          <t>ÄLVKARLEBY</t>
        </is>
      </c>
      <c r="G75" t="n">
        <v>2.3</v>
      </c>
      <c r="H75" t="n">
        <v>0</v>
      </c>
      <c r="I75" t="n">
        <v>0</v>
      </c>
      <c r="J75" t="n">
        <v>0</v>
      </c>
      <c r="K75" t="n">
        <v>0</v>
      </c>
      <c r="L75" t="n">
        <v>0</v>
      </c>
      <c r="M75" t="n">
        <v>0</v>
      </c>
      <c r="N75" t="n">
        <v>0</v>
      </c>
      <c r="O75" t="n">
        <v>0</v>
      </c>
      <c r="P75" t="n">
        <v>0</v>
      </c>
      <c r="Q75" t="n">
        <v>0</v>
      </c>
      <c r="R75" s="2" t="inlineStr"/>
    </row>
    <row r="76" ht="15" customHeight="1">
      <c r="A76" t="inlineStr">
        <is>
          <t>A 19740-2025</t>
        </is>
      </c>
      <c r="B76" s="1" t="n">
        <v>45771</v>
      </c>
      <c r="C76" s="1" t="n">
        <v>45941</v>
      </c>
      <c r="D76" t="inlineStr">
        <is>
          <t>UPPSALA LÄN</t>
        </is>
      </c>
      <c r="E76" t="inlineStr">
        <is>
          <t>ÄLVKARLEBY</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41929-2024</t>
        </is>
      </c>
      <c r="B77" s="1" t="n">
        <v>45561</v>
      </c>
      <c r="C77" s="1" t="n">
        <v>45941</v>
      </c>
      <c r="D77" t="inlineStr">
        <is>
          <t>UPPSALA LÄN</t>
        </is>
      </c>
      <c r="E77" t="inlineStr">
        <is>
          <t>ÄLVKARLEBY</t>
        </is>
      </c>
      <c r="F77" t="inlineStr">
        <is>
          <t>Bergvik skog väst AB</t>
        </is>
      </c>
      <c r="G77" t="n">
        <v>4.9</v>
      </c>
      <c r="H77" t="n">
        <v>0</v>
      </c>
      <c r="I77" t="n">
        <v>0</v>
      </c>
      <c r="J77" t="n">
        <v>0</v>
      </c>
      <c r="K77" t="n">
        <v>0</v>
      </c>
      <c r="L77" t="n">
        <v>0</v>
      </c>
      <c r="M77" t="n">
        <v>0</v>
      </c>
      <c r="N77" t="n">
        <v>0</v>
      </c>
      <c r="O77" t="n">
        <v>0</v>
      </c>
      <c r="P77" t="n">
        <v>0</v>
      </c>
      <c r="Q77" t="n">
        <v>0</v>
      </c>
      <c r="R77" s="2" t="inlineStr"/>
    </row>
    <row r="78" ht="15" customHeight="1">
      <c r="A78" t="inlineStr">
        <is>
          <t>A 18451-2025</t>
        </is>
      </c>
      <c r="B78" s="1" t="n">
        <v>45762</v>
      </c>
      <c r="C78" s="1" t="n">
        <v>45941</v>
      </c>
      <c r="D78" t="inlineStr">
        <is>
          <t>UPPSALA LÄN</t>
        </is>
      </c>
      <c r="E78" t="inlineStr">
        <is>
          <t>ÄLVKARLEBY</t>
        </is>
      </c>
      <c r="F78" t="inlineStr">
        <is>
          <t>Bergvik skog väst AB</t>
        </is>
      </c>
      <c r="G78" t="n">
        <v>1.2</v>
      </c>
      <c r="H78" t="n">
        <v>0</v>
      </c>
      <c r="I78" t="n">
        <v>0</v>
      </c>
      <c r="J78" t="n">
        <v>0</v>
      </c>
      <c r="K78" t="n">
        <v>0</v>
      </c>
      <c r="L78" t="n">
        <v>0</v>
      </c>
      <c r="M78" t="n">
        <v>0</v>
      </c>
      <c r="N78" t="n">
        <v>0</v>
      </c>
      <c r="O78" t="n">
        <v>0</v>
      </c>
      <c r="P78" t="n">
        <v>0</v>
      </c>
      <c r="Q78" t="n">
        <v>0</v>
      </c>
      <c r="R78" s="2" t="inlineStr"/>
    </row>
    <row r="79" ht="15" customHeight="1">
      <c r="A79" t="inlineStr">
        <is>
          <t>A 19862-2025</t>
        </is>
      </c>
      <c r="B79" s="1" t="n">
        <v>45771.53560185185</v>
      </c>
      <c r="C79" s="1" t="n">
        <v>45941</v>
      </c>
      <c r="D79" t="inlineStr">
        <is>
          <t>UPPSALA LÄN</t>
        </is>
      </c>
      <c r="E79" t="inlineStr">
        <is>
          <t>ÄLVKARLEBY</t>
        </is>
      </c>
      <c r="F79" t="inlineStr">
        <is>
          <t>Kyrkan</t>
        </is>
      </c>
      <c r="G79" t="n">
        <v>3</v>
      </c>
      <c r="H79" t="n">
        <v>0</v>
      </c>
      <c r="I79" t="n">
        <v>0</v>
      </c>
      <c r="J79" t="n">
        <v>0</v>
      </c>
      <c r="K79" t="n">
        <v>0</v>
      </c>
      <c r="L79" t="n">
        <v>0</v>
      </c>
      <c r="M79" t="n">
        <v>0</v>
      </c>
      <c r="N79" t="n">
        <v>0</v>
      </c>
      <c r="O79" t="n">
        <v>0</v>
      </c>
      <c r="P79" t="n">
        <v>0</v>
      </c>
      <c r="Q79" t="n">
        <v>0</v>
      </c>
      <c r="R79" s="2" t="inlineStr"/>
    </row>
    <row r="80" ht="15" customHeight="1">
      <c r="A80" t="inlineStr">
        <is>
          <t>A 14590-2023</t>
        </is>
      </c>
      <c r="B80" s="1" t="n">
        <v>45013.54621527778</v>
      </c>
      <c r="C80" s="1" t="n">
        <v>45941</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9533-2025</t>
        </is>
      </c>
      <c r="B81" s="1" t="n">
        <v>45715.57082175926</v>
      </c>
      <c r="C81" s="1" t="n">
        <v>45941</v>
      </c>
      <c r="D81" t="inlineStr">
        <is>
          <t>UPPSALA LÄN</t>
        </is>
      </c>
      <c r="E81" t="inlineStr">
        <is>
          <t>ÄLVKARLEBY</t>
        </is>
      </c>
      <c r="G81" t="n">
        <v>2.1</v>
      </c>
      <c r="H81" t="n">
        <v>0</v>
      </c>
      <c r="I81" t="n">
        <v>0</v>
      </c>
      <c r="J81" t="n">
        <v>0</v>
      </c>
      <c r="K81" t="n">
        <v>0</v>
      </c>
      <c r="L81" t="n">
        <v>0</v>
      </c>
      <c r="M81" t="n">
        <v>0</v>
      </c>
      <c r="N81" t="n">
        <v>0</v>
      </c>
      <c r="O81" t="n">
        <v>0</v>
      </c>
      <c r="P81" t="n">
        <v>0</v>
      </c>
      <c r="Q81" t="n">
        <v>0</v>
      </c>
      <c r="R81" s="2" t="inlineStr"/>
    </row>
    <row r="82" ht="15" customHeight="1">
      <c r="A82" t="inlineStr">
        <is>
          <t>A 19697-2025</t>
        </is>
      </c>
      <c r="B82" s="1" t="n">
        <v>45771</v>
      </c>
      <c r="C82" s="1" t="n">
        <v>45941</v>
      </c>
      <c r="D82" t="inlineStr">
        <is>
          <t>UPPSALA LÄN</t>
        </is>
      </c>
      <c r="E82" t="inlineStr">
        <is>
          <t>ÄLVKARLEBY</t>
        </is>
      </c>
      <c r="F82" t="inlineStr">
        <is>
          <t>Bergvik skog väst AB</t>
        </is>
      </c>
      <c r="G82" t="n">
        <v>3.3</v>
      </c>
      <c r="H82" t="n">
        <v>0</v>
      </c>
      <c r="I82" t="n">
        <v>0</v>
      </c>
      <c r="J82" t="n">
        <v>0</v>
      </c>
      <c r="K82" t="n">
        <v>0</v>
      </c>
      <c r="L82" t="n">
        <v>0</v>
      </c>
      <c r="M82" t="n">
        <v>0</v>
      </c>
      <c r="N82" t="n">
        <v>0</v>
      </c>
      <c r="O82" t="n">
        <v>0</v>
      </c>
      <c r="P82" t="n">
        <v>0</v>
      </c>
      <c r="Q82" t="n">
        <v>0</v>
      </c>
      <c r="R82" s="2" t="inlineStr"/>
    </row>
    <row r="83" ht="15" customHeight="1">
      <c r="A83" t="inlineStr">
        <is>
          <t>A 21012-2025</t>
        </is>
      </c>
      <c r="B83" s="1" t="n">
        <v>45777</v>
      </c>
      <c r="C83" s="1" t="n">
        <v>45941</v>
      </c>
      <c r="D83" t="inlineStr">
        <is>
          <t>UPPSALA LÄN</t>
        </is>
      </c>
      <c r="E83" t="inlineStr">
        <is>
          <t>ÄLVKARLEBY</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22223-2025</t>
        </is>
      </c>
      <c r="B84" s="1" t="n">
        <v>45785</v>
      </c>
      <c r="C84" s="1" t="n">
        <v>45941</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24591-2025</t>
        </is>
      </c>
      <c r="B85" s="1" t="n">
        <v>45798.53666666667</v>
      </c>
      <c r="C85" s="1" t="n">
        <v>45941</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25330-2025</t>
        </is>
      </c>
      <c r="B86" s="1" t="n">
        <v>45800.59114583334</v>
      </c>
      <c r="C86" s="1" t="n">
        <v>45941</v>
      </c>
      <c r="D86" t="inlineStr">
        <is>
          <t>UPPSALA LÄN</t>
        </is>
      </c>
      <c r="E86" t="inlineStr">
        <is>
          <t>ÄLVKARLEBY</t>
        </is>
      </c>
      <c r="F86" t="inlineStr">
        <is>
          <t>Bergvik skog väst AB</t>
        </is>
      </c>
      <c r="G86" t="n">
        <v>5</v>
      </c>
      <c r="H86" t="n">
        <v>0</v>
      </c>
      <c r="I86" t="n">
        <v>0</v>
      </c>
      <c r="J86" t="n">
        <v>0</v>
      </c>
      <c r="K86" t="n">
        <v>0</v>
      </c>
      <c r="L86" t="n">
        <v>0</v>
      </c>
      <c r="M86" t="n">
        <v>0</v>
      </c>
      <c r="N86" t="n">
        <v>0</v>
      </c>
      <c r="O86" t="n">
        <v>0</v>
      </c>
      <c r="P86" t="n">
        <v>0</v>
      </c>
      <c r="Q86" t="n">
        <v>0</v>
      </c>
      <c r="R86" s="2" t="inlineStr"/>
    </row>
    <row r="87">
      <c r="A87" t="inlineStr">
        <is>
          <t>A 25264-2025</t>
        </is>
      </c>
      <c r="B87" s="1" t="n">
        <v>45800.5334375</v>
      </c>
      <c r="C87" s="1" t="n">
        <v>45941</v>
      </c>
      <c r="D87" t="inlineStr">
        <is>
          <t>UPPSALA LÄN</t>
        </is>
      </c>
      <c r="E87" t="inlineStr">
        <is>
          <t>ÄLVKARLEBY</t>
        </is>
      </c>
      <c r="F87" t="inlineStr">
        <is>
          <t>Bergvik skog väst AB</t>
        </is>
      </c>
      <c r="G87" t="n">
        <v>3.4</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2025-10-11T12:36:46Z</dcterms:created>
  <dcterms:modified xmlns:dcterms="http://purl.org/dc/terms/" xmlns:xsi="http://www.w3.org/2001/XMLSchema-instance" xsi:type="dcterms:W3CDTF">2025-10-11T12:36:46Z</dcterms:modified>
</cp:coreProperties>
</file>